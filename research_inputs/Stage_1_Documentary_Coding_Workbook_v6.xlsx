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hort_Tracker" sheetId="2" state="visible" r:id="rId4"/>
    <sheet name="O1_Community_Attributes" sheetId="3" state="visible" r:id="rId5"/>
    <sheet name="O2_Practice_Matrix" sheetId="4" state="visible" r:id="rId6"/>
    <sheet name="O2b_Practice_Evidence" sheetId="5" state="visible" r:id="rId7"/>
    <sheet name="O3_Onset_Register" sheetId="6" state="visible" r:id="rId8"/>
    <sheet name="O4_Reliability_Report" sheetId="7" state="visible" r:id="rId9"/>
    <sheet name="O5_Disagreement_Log" sheetId="8" state="visible" r:id="rId10"/>
    <sheet name="O6_Source_Index" sheetId="9" state="visible" r:id="rId11"/>
    <sheet name="O7_Search_Log" sheetId="10" state="visible" r:id="rId12"/>
    <sheet name="O8_Enquiry_Record" sheetId="11" state="visible" r:id="rId13"/>
    <sheet name="O9_Claim_Signature_Map" sheetId="12" state="visible" r:id="rId14"/>
    <sheet name="O10_Polygon_And_Area" sheetId="13" state="visible" r:id="rId15"/>
    <sheet name="O11_Source_Set" sheetId="14" state="visible" r:id="rId16"/>
    <sheet name="R1_Codebook" sheetId="15" state="visible" r:id="rId17"/>
    <sheet name="R2_Calibration" sheetId="16" state="visible" r:id="rId18"/>
    <sheet name="R3_Decision_Log" sheetId="17" state="visible" r:id="rId19"/>
    <sheet name="Reference_Codes" sheetId="18" state="visible" r:id="rId20"/>
  </sheets>
  <definedNames>
    <definedName function="false" hidden="true" localSheetId="2" name="_xlnm._FilterDatabase" vbProcedure="false">O1_Community_Attributes!$A$1:$BN$1</definedName>
    <definedName function="false" hidden="true" localSheetId="12" name="_xlnm._FilterDatabase" vbProcedure="false">O10_Polygon_And_Area!$A$1:$Z$1</definedName>
    <definedName function="false" hidden="true" localSheetId="13" name="_xlnm._FilterDatabase" vbProcedure="false">O11_Source_Set!$A$1:$Q$1</definedName>
    <definedName function="false" hidden="true" localSheetId="3" name="_xlnm._FilterDatabase" vbProcedure="false">O2_Practice_Matrix!$A$1:$R$1</definedName>
    <definedName function="false" hidden="true" localSheetId="4" name="_xlnm._FilterDatabase" vbProcedure="false">O2b_Practice_Evidence!$A$1:$L$1</definedName>
    <definedName function="false" hidden="true" localSheetId="5" name="_xlnm._FilterDatabase" vbProcedure="false">O3_Onset_Register!$A$1:$V$1</definedName>
    <definedName function="false" hidden="true" localSheetId="6" name="_xlnm._FilterDatabase" vbProcedure="false">O4_Reliability_Report!$A$1:$P$1</definedName>
    <definedName function="false" hidden="true" localSheetId="7" name="_xlnm._FilterDatabase" vbProcedure="false">O5_Disagreement_Log!$A$1:$N$1</definedName>
    <definedName function="false" hidden="true" localSheetId="8" name="_xlnm._FilterDatabase" vbProcedure="false">O6_Source_Index!$A$1:$Q$1</definedName>
    <definedName function="false" hidden="true" localSheetId="9" name="_xlnm._FilterDatabase" vbProcedure="false">O7_Search_Log!$A$1:$L$1</definedName>
    <definedName function="false" hidden="true" localSheetId="10" name="_xlnm._FilterDatabase" vbProcedure="false">O8_Enquiry_Record!$A$1:$S$1</definedName>
    <definedName function="false" hidden="true" localSheetId="11" name="_xlnm._FilterDatabase" vbProcedure="false">O9_Claim_Signature_Map!$A$1:$I$1</definedName>
    <definedName function="false" hidden="true" localSheetId="14" name="_xlnm._FilterDatabase" vbProcedure="false">R1_Codebook!$A$1:$M$1</definedName>
    <definedName function="false" hidden="true" localSheetId="15" name="_xlnm._FilterDatabase" vbProcedure="false">R2_Calibration!$A$1:$L$1</definedName>
    <definedName function="false" hidden="true" localSheetId="16" name="_xlnm._FilterDatabase" vbProcedure="false">R3_Decision_Log!$A$1:$L$1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<sst xmlns="http://schemas.openxmlformats.org/spreadsheetml/2006/main" count="1171" uniqueCount="878">
  <si>
    <t xml:space="preserve">STAGE 1 — DOCUMENTARY CODING WORKBOOK</t>
  </si>
  <si>
    <t xml:space="preserve">Version 6.0 · aligned to THE_SIMPLIFIED_PLAN_v3.8 and the web-search register v2.4</t>
  </si>
  <si>
    <t xml:space="preserve">THE ONE RULE</t>
  </si>
  <si>
    <t xml:space="preserve">You are documenting what communities SAY, what independent sources say, and what can be established historically. You are NOT judging whether a community performed well. The satellite side answers that later, and the separation between the two is what makes hypothesis H6 — claims versus delivery — meaningful.</t>
  </si>
  <si>
    <t xml:space="preserve">Boundary with Stage 2</t>
  </si>
  <si>
    <t xml:space="preserve">Stage 1 produces coded facts. Stage 2 consumes them to build the matched control sample. Never record an eligibility VERDICT on these sheets.</t>
  </si>
  <si>
    <t xml:space="preserve">Blindness</t>
  </si>
  <si>
    <t xml:space="preserve">Do not view satellite metrics, index values or any outcome data while coding. Historical imagery is permitted ONLY to answer 'between which two image dates did a physical feature appear?', and every use is logged in O3.</t>
  </si>
  <si>
    <t xml:space="preserve">WHAT CHANGED IN VERSION 6.0</t>
  </si>
  <si>
    <t xml:space="preserve">New sheet: O11_Source_Set</t>
  </si>
  <si>
    <t xml:space="preserve">One row per web address per community. Most communities have more than one — a website, a Facebook page, a YouTube channel, an old domain that still holds the oldest material. Version 5 had nowhere to record which addresses were crawled and which were blocked, so 'we searched everything' could not be audited. This sheet is that audit trail, and it is what the register's Stage 0 fills.</t>
  </si>
  <si>
    <t xml:space="preserve">Corroboration counts GROUPS, not URLs</t>
  </si>
  <si>
    <t xml:space="preserve">New column independence_group in O6_Source_Index. Two sources corroborate each other only if neither is a copy of the other. A directory listing whose text came from the community's own website belongs to the SAME group as that website and counts once. Block D channel counts and the 'three independent sources' target both count groups.</t>
  </si>
  <si>
    <t xml:space="preserve">Decision D4 formula corrected</t>
  </si>
  <si>
    <t xml:space="preserve">Cohort_Tracker read the number of communities CODED, not the number of cohort candidates at confidence tier A or B. It would have printed PROCEED at community 50 whatever the cohort looked like. It now reads B6 and stays on KEEP CODING until community 100, which is what plan 11.3 actually says.</t>
  </si>
  <si>
    <t xml:space="preserve">The documentary area fields now link</t>
  </si>
  <si>
    <t xml:space="preserve">O1 is the single paste target for everything the ChatGPT register returns. O10's six documentary columns read themselves from O1, and O1's polygon_area_ha reads itself from O10. In version 5 the same fields sat in two sheets with no link, so pasting into one left the other empty — and area_agreement_tier, which decides which sites SC16 keeps, silently stayed blank.</t>
  </si>
  <si>
    <t xml:space="preserve">area_agreement_tier and area_ratio fixed</t>
  </si>
  <si>
    <t xml:space="preserve">Plan 7.1a puts a site with a polygon but NO documentary figure in tier B. The version 5 formula returned a blank, which looked identical to a site nobody had coded yet. area_ratio also displayed 0.00 on every uncoded row, because an empty numerator divides to zero rather than to an error.</t>
  </si>
  <si>
    <t xml:space="preserve">Four new columns in O1</t>
  </si>
  <si>
    <t xml:space="preserve">documentary_area_note, independence_groups, stages_completed and crawl_truncated. They are appended at the right-hand end rather than inserted beside the fields they belong with, because inserting a column mid-sheet silently shifts every dropdown range and formula that follows it.</t>
  </si>
  <si>
    <t xml:space="preserve">crawl_truncated is the one that matters</t>
  </si>
  <si>
    <t xml:space="preserve">It records that a search stopped early. Without it an incompletely searched community is indistinguishable from a thoroughly searched one that genuinely has nothing, and the two mean opposite things.</t>
  </si>
  <si>
    <t xml:space="preserve">Reference_Codes brought to v3.8</t>
  </si>
  <si>
    <t xml:space="preserve">The size-class block (100/150/200 m radii) and the size-class confidence block were superseded by hand-drawn polygons in plan v3.6. They are replaced by the five reference circles and the area-agreement tiers, and three new vocabularies for O11 are added.</t>
  </si>
  <si>
    <t xml:space="preserve">Field names match the register</t>
  </si>
  <si>
    <t xml:space="preserve">O1, O2, O3, O10 and O11 use exactly the field names in WEB_SEARCH_FIELD_REGISTER_AND_CHATGPT_PROMPT_v2.4, so its output pastes straight in.</t>
  </si>
  <si>
    <t xml:space="preserve">HOW TO USE THIS FILE</t>
  </si>
  <si>
    <t xml:space="preserve">Dark header row</t>
  </si>
  <si>
    <t xml:space="preserve">Every sheet has one, with an auto-filter. Type into the rows beneath it.</t>
  </si>
  <si>
    <t xml:space="preserve">Grey pre-filled rows</t>
  </si>
  <si>
    <t xml:space="preserve">R1_Codebook, O9_Claim_Signature_Map and O4_Reliability_Report arrive PRE-FILLED from the plan. Complete the blank columns; do not alter the pre-filled content.</t>
  </si>
  <si>
    <t xml:space="preserve">Italic grey EXAMPLE row</t>
  </si>
  <si>
    <t xml:space="preserve">Row 2 of most sheets is a worked example showing the expected format. DELETE IT before you begin.</t>
  </si>
  <si>
    <t xml:space="preserve">Yellow cells</t>
  </si>
  <si>
    <t xml:space="preserve">Cells you must fill: the freeze-control date at R1_Codebook P3, and the deposit fields in O9.</t>
  </si>
  <si>
    <t xml:space="preserve">Dropdowns</t>
  </si>
  <si>
    <t xml:space="preserve">Every controlled-vocabulary column has one. Use it. Free-typed variants ('Evidenced' vs 'evidenced') will corrupt the reliability statistics in O4.</t>
  </si>
  <si>
    <t xml:space="preserve">Cells that fill themselves</t>
  </si>
  <si>
    <t xml:space="preserve">O1 polygon_area_ha; O3 onset_band_width_years; O10 below_minimum_flag, reference_circle, area_ratio, area_agreement_tier and the six documentary columns M to R; R1 frozen_date. Do not type into them.</t>
  </si>
  <si>
    <t xml:space="preserve">Reference_Codes</t>
  </si>
  <si>
    <t xml:space="preserve">The full vocabulary with the rule behind each value, plus the list of quantities NOT to search for. Consult it rather than guessing.</t>
  </si>
  <si>
    <t xml:space="preserve">SEQUENCE — do not start at IC001</t>
  </si>
  <si>
    <t xml:space="preserve">1–3  Freeze</t>
  </si>
  <si>
    <t xml:space="preserve">Complete R1_Codebook and confirm every threshold. Complete and deposit O9_Claim_Signature_Map with a timestamp. Declare every reliability threshold in O4.</t>
  </si>
  <si>
    <t xml:space="preserve">4–5  Design</t>
  </si>
  <si>
    <t xml:space="preserve">Draw the &gt;=20% double-coding subsample with a recorded seed, stratified by region and expected activity tier. Log the draw in R3.</t>
  </si>
  <si>
    <t xml:space="preserve">6–8  Calibrate</t>
  </si>
  <si>
    <t xml:space="preserve">Train on communities NOT in the study sample. Record in R2. A coder proceeds only after meeting the declared threshold. THEN enter the freeze date at R1!P3.</t>
  </si>
  <si>
    <t xml:space="preserve">9–11  Code</t>
  </si>
  <si>
    <t xml:space="preserve">Code all 212 communities. Fill O11_Source_Set for every community before coding it, so you know what you are working from. Double-code the predefined subsample after at least four weeks. Resolve every disagreement in O5 under the rule invoked, not by preference.</t>
  </si>
  <si>
    <t xml:space="preserve">12  Decide</t>
  </si>
  <si>
    <t xml:space="preserve">At community 100, read Cohort_Tracker and make decision D4 on the longitudinal cohort.</t>
  </si>
  <si>
    <t xml:space="preserve">13–14  Close</t>
  </si>
  <si>
    <t xml:space="preserve">Complete every sheet. Compute reliability PER VARIABLE in O4. Freeze and version the dataset, then hand it to Stage 2.</t>
  </si>
  <si>
    <t xml:space="preserve">EIGHT RULES MOST OFTEN BROKEN</t>
  </si>
  <si>
    <t xml:space="preserve">Founding year is not onset</t>
  </si>
  <si>
    <t xml:space="preserve">Record all four dates. Only 'environmental intervention onset' is the study's onset. A community founded 1985 that began ecological work in 1992 has an onset of 1992.</t>
  </si>
  <si>
    <t xml:space="preserve">Silence is not absence</t>
  </si>
  <si>
    <t xml:space="preserve">'not mentioned' and 'explicitly absent' are different codes. Communities describe what they consider notable; treating silence as absence records communication style as practice.</t>
  </si>
  <si>
    <t xml:space="preserve">Managed area is not total holding</t>
  </si>
  <si>
    <t xml:space="preserve">A community holding 200 ha and working 15 ha has a managed area of 15 ha. Record both separately.</t>
  </si>
  <si>
    <t xml:space="preserve">Unknown is not dissolved</t>
  </si>
  <si>
    <t xml:space="preserve">A vanished website is not a vanished community. Dissolution requires POSITIVE evidence.</t>
  </si>
  <si>
    <t xml:space="preserve">Non-response is never exclusion</t>
  </si>
  <si>
    <t xml:space="preserve">Communities that answer unsolicited academic enquiries differ systematically from those that do not. Code from documents and widen the uncertainty band.</t>
  </si>
  <si>
    <t xml:space="preserve">Trace structure, never colour</t>
  </si>
  <si>
    <t xml:space="preserve">When drawing a community's polygon, use field edges, tracks, terraces and changes in field pattern — never greenness. A ploughed brown field is as managed as a green one. If colour influenced the drawing it does NOT cancel against the controls, because a control receives the settlement's shape translated rather than a drawing of its own.</t>
  </si>
  <si>
    <t xml:space="preserve">A copy is not a second source</t>
  </si>
  <si>
    <t xml:space="preserve">Four addresses belonging to one community are one voice, not four. Two sources corroborate only across independence groups. This is the same rule as 'two pages of one website are ONE channel', applied to the whole source set.</t>
  </si>
  <si>
    <t xml:space="preserve">Never accept an unverified citation</t>
  </si>
  <si>
    <t xml:space="preserve">For every S1 and S2 source, open the DOI or repository record yourself and set verified_resolves = yes in O6. A fabricated citation looks like your strongest evidence and will be believed.</t>
  </si>
  <si>
    <t xml:space="preserve">PROGRESS</t>
  </si>
  <si>
    <t xml:space="preserve">Sheet</t>
  </si>
  <si>
    <t xml:space="preserve">Target</t>
  </si>
  <si>
    <t xml:space="preserve">Rows filled</t>
  </si>
  <si>
    <t xml:space="preserve">O1_Community_Attributes</t>
  </si>
  <si>
    <t xml:space="preserve">212 communities</t>
  </si>
  <si>
    <t xml:space="preserve">O2_Practice_Matrix</t>
  </si>
  <si>
    <t xml:space="preserve">O3_Onset_Register</t>
  </si>
  <si>
    <t xml:space="preserve">O10_Polygon_And_Area</t>
  </si>
  <si>
    <t xml:space="preserve">O11_Source_Set</t>
  </si>
  <si>
    <t xml:space="preserve">as required</t>
  </si>
  <si>
    <t xml:space="preserve">O2b_Practice_Evidence</t>
  </si>
  <si>
    <t xml:space="preserve">O6_Source_Index</t>
  </si>
  <si>
    <t xml:space="preserve">O7_Search_Log</t>
  </si>
  <si>
    <t xml:space="preserve">O5_Disagreement_Log</t>
  </si>
  <si>
    <t xml:space="preserve">Counts subtract the example row, so they read -1 until you begin and 211 once the example is deleted and 212 communities are entered.</t>
  </si>
  <si>
    <t xml:space="preserve">LONGITUDINAL COHORT TRACKER — decision D4</t>
  </si>
  <si>
    <t xml:space="preserve">The cohort (analysis A8) needs about 65 communities with onset in 2020 or 2021. Decide at community 100, not at the end.</t>
  </si>
  <si>
    <t xml:space="preserve">Communities coded so far</t>
  </si>
  <si>
    <t xml:space="preserve">Excludes the example row</t>
  </si>
  <si>
    <t xml:space="preserve">cohort_candidate = core (2020-2021)</t>
  </si>
  <si>
    <t xml:space="preserve">THE NUMBER THAT MATTERS</t>
  </si>
  <si>
    <t xml:space="preserve">  of those, confidence tier A or B</t>
  </si>
  <si>
    <t xml:space="preserve">Tier C onsets are too uncertain to anchor a before-and-after window</t>
  </si>
  <si>
    <t xml:space="preserve">cohort_candidate = extension (2019)</t>
  </si>
  <si>
    <t xml:space="preserve">Usable if the core falls short — costs one pre-year</t>
  </si>
  <si>
    <t xml:space="preserve">cohort_candidate = uncertain</t>
  </si>
  <si>
    <t xml:space="preserve">Resolve these before deciding</t>
  </si>
  <si>
    <t xml:space="preserve">DECISION D4 STATUS</t>
  </si>
  <si>
    <t xml:space="preserve">Thresholds from plan 11.3, counted on B6 (core AND tier A or B): above 50 proceed, 40-50 exploratory, below 40 drop. CORRECTED IN v6 — v5 counted B4, the number of communities coded.</t>
  </si>
  <si>
    <t xml:space="preserve">Why a running tally. An underpowered before-and-after test placed beside your main result invites a reviewer to read a null as contradicting it, which it would not — but the misreading costs more than the component gains. Better to know at community 100.</t>
  </si>
  <si>
    <t xml:space="preserve">site_id</t>
  </si>
  <si>
    <t xml:space="preserve">community_name_official</t>
  </si>
  <si>
    <t xml:space="preserve">alternative_names</t>
  </si>
  <si>
    <t xml:space="preserve">country</t>
  </si>
  <si>
    <t xml:space="preserve">admin_region</t>
  </si>
  <si>
    <t xml:space="preserve">latitude</t>
  </si>
  <si>
    <t xml:space="preserve">longitude</t>
  </si>
  <si>
    <t xml:space="preserve">coordinate_agreement</t>
  </si>
  <si>
    <t xml:space="preserve">e1_network_listing</t>
  </si>
  <si>
    <t xml:space="preserve">e1_pathway</t>
  </si>
  <si>
    <t xml:space="preserve">e1_self_identification</t>
  </si>
  <si>
    <t xml:space="preserve">e2_settlement_type</t>
  </si>
  <si>
    <t xml:space="preserve">e2_evidence_note</t>
  </si>
  <si>
    <t xml:space="preserve">e3_population_value</t>
  </si>
  <si>
    <t xml:space="preserve">e5_active_currently</t>
  </si>
  <si>
    <t xml:space="preserve">e8_setting_at_onset</t>
  </si>
  <si>
    <t xml:space="preserve">population_value</t>
  </si>
  <si>
    <t xml:space="preserve">population_lower</t>
  </si>
  <si>
    <t xml:space="preserve">population_upper</t>
  </si>
  <si>
    <t xml:space="preserve">population_source_date</t>
  </si>
  <si>
    <t xml:space="preserve">polygon_area_ha</t>
  </si>
  <si>
    <t xml:space="preserve">managed_area_ha</t>
  </si>
  <si>
    <t xml:space="preserve">managed_area_lower_ha</t>
  </si>
  <si>
    <t xml:space="preserve">managed_area_upper_ha</t>
  </si>
  <si>
    <t xml:space="preserve">managed_area_basis</t>
  </si>
  <si>
    <t xml:space="preserve">managed_area_source_class</t>
  </si>
  <si>
    <t xml:space="preserve">total_holding_ha</t>
  </si>
  <si>
    <t xml:space="preserve">area_type</t>
  </si>
  <si>
    <t xml:space="preserve">tenure_type</t>
  </si>
  <si>
    <t xml:space="preserve">parcel_structure</t>
  </si>
  <si>
    <t xml:space="preserve">site_plan_published</t>
  </si>
  <si>
    <t xml:space="preserve">v1_self_documentation</t>
  </si>
  <si>
    <t xml:space="preserve">v2_external_documentation</t>
  </si>
  <si>
    <t xml:space="preserve">v3_substantive_affiliation</t>
  </si>
  <si>
    <t xml:space="preserve">v4_visual_documentation</t>
  </si>
  <si>
    <t xml:space="preserve">v5_continuity_evidence</t>
  </si>
  <si>
    <t xml:space="preserve">channel_count</t>
  </si>
  <si>
    <t xml:space="preserve">activity_tier</t>
  </si>
  <si>
    <t xml:space="preserve">activity_tier_note</t>
  </si>
  <si>
    <t xml:space="preserve">status_current</t>
  </si>
  <si>
    <t xml:space="preserve">status_evidence</t>
  </si>
  <si>
    <t xml:space="preserve">first_listing_year</t>
  </si>
  <si>
    <t xml:space="preserve">last_listing_year</t>
  </si>
  <si>
    <t xml:space="preserve">dissolution_year</t>
  </si>
  <si>
    <t xml:space="preserve">delisting_reason</t>
  </si>
  <si>
    <t xml:space="preserve">movement_tradition</t>
  </si>
  <si>
    <t xml:space="preserve">founding_decade</t>
  </si>
  <si>
    <t xml:space="preserve">education_volunteer_program</t>
  </si>
  <si>
    <t xml:space="preserve">agricultural_orientation</t>
  </si>
  <si>
    <t xml:space="preserve">external_funding_or_programme</t>
  </si>
  <si>
    <t xml:space="preserve">protected_area_status</t>
  </si>
  <si>
    <t xml:space="preserve">notable_context</t>
  </si>
  <si>
    <t xml:space="preserve">pages_opened_count</t>
  </si>
  <si>
    <t xml:space="preserve">documents_opened</t>
  </si>
  <si>
    <t xml:space="preserve">source_classes_found</t>
  </si>
  <si>
    <t xml:space="preserve">search_languages</t>
  </si>
  <si>
    <t xml:space="preserve">negative_consultations</t>
  </si>
  <si>
    <t xml:space="preserve">coder_id</t>
  </si>
  <si>
    <t xml:space="preserve">coding_date</t>
  </si>
  <si>
    <t xml:space="preserve">double_coded</t>
  </si>
  <si>
    <t xml:space="preserve">second_coder_id</t>
  </si>
  <si>
    <t xml:space="preserve">notes</t>
  </si>
  <si>
    <t xml:space="preserve">documentary_area_note</t>
  </si>
  <si>
    <t xml:space="preserve">independence_groups</t>
  </si>
  <si>
    <t xml:space="preserve">stages_completed</t>
  </si>
  <si>
    <t xml:space="preserve">crawl_truncated</t>
  </si>
  <si>
    <t xml:space="preserve">One row per community. Field names match the ChatGPT register (v2.4) exactly, so its output pastes straight in. THIS SHEET IS THE PASTE TARGET for everything the register returns — O10 reads its six documentary area fields from here. Never record an ELIGIBILITY DECISION here; this sheet holds coded facts and Stage 2 makes the decisions.</t>
  </si>
  <si>
    <t xml:space="preserve">IC001</t>
  </si>
  <si>
    <t xml:space="preserve">EXAMPLE ROW — DELETE BEFORE USE</t>
  </si>
  <si>
    <t xml:space="preserve">Quinta do Vale; Vale Farm</t>
  </si>
  <si>
    <t xml:space="preserve">Portugal</t>
  </si>
  <si>
    <t xml:space="preserve">Leiria</t>
  </si>
  <si>
    <t xml:space="preserve">agrees</t>
  </si>
  <si>
    <t xml:space="preserve">GEN Europe; national permaculture registry</t>
  </si>
  <si>
    <t xml:space="preserve">both</t>
  </si>
  <si>
    <t xml:space="preserve">regenerating this valley since the 1990s</t>
  </si>
  <si>
    <t xml:space="preserve">village-scale permanent residence</t>
  </si>
  <si>
    <t xml:space="preserve">Permanent residents on one contiguous title; not a retreat centre</t>
  </si>
  <si>
    <t xml:space="preserve">yes</t>
  </si>
  <si>
    <t xml:space="preserve">rural</t>
  </si>
  <si>
    <t xml:space="preserve">measured</t>
  </si>
  <si>
    <t xml:space="preserve">S1</t>
  </si>
  <si>
    <t xml:space="preserve">both recorded</t>
  </si>
  <si>
    <t xml:space="preserve">freehold collective</t>
  </si>
  <si>
    <t xml:space="preserve">contiguous</t>
  </si>
  <si>
    <t xml:space="preserve">yes — https://example.org/siteplan.pdf</t>
  </si>
  <si>
    <t xml:space="preserve">no</t>
  </si>
  <si>
    <t xml:space="preserve">A</t>
  </si>
  <si>
    <t xml:space="preserve">3 channels incl. 1 external, plus continuity across 2011-2023 snapshots</t>
  </si>
  <si>
    <t xml:space="preserve">active</t>
  </si>
  <si>
    <t xml:space="preserve">Website updated 2025; listed in current GEN directory</t>
  </si>
  <si>
    <t xml:space="preserve">n/a</t>
  </si>
  <si>
    <t xml:space="preserve">permaculture</t>
  </si>
  <si>
    <t xml:space="preserve">mixed</t>
  </si>
  <si>
    <t xml:space="preserve">LIFE grant 2014 for riparian restoration (CORDIS record)</t>
  </si>
  <si>
    <t xml:space="preserve">adjacent</t>
  </si>
  <si>
    <t xml:space="preserve">none found</t>
  </si>
  <si>
    <t xml:space="preserve">Annual report 2019.pdf; Site design 2012.pdf</t>
  </si>
  <si>
    <t xml:space="preserve">S1;S2;S4;S5;S6</t>
  </si>
  <si>
    <t xml:space="preserve">English; Portuguese</t>
  </si>
  <si>
    <t xml:space="preserve">S3 none found; S8 not attempted</t>
  </si>
  <si>
    <t xml:space="preserve">RC1</t>
  </si>
  <si>
    <t xml:space="preserve">2026-09-14</t>
  </si>
  <si>
    <t xml:space="preserve">Onset band 1990-1994 from a rank-3 retrospective statement</t>
  </si>
  <si>
    <t xml:space="preserve">States 15 ha under cultivation; separate 200 ha total holding</t>
  </si>
  <si>
    <t xml:space="preserve">0-9 complete</t>
  </si>
  <si>
    <t xml:space="preserve">community_name</t>
  </si>
  <si>
    <t xml:space="preserve">pc01_rainwater</t>
  </si>
  <si>
    <t xml:space="preserve">pc02_swales</t>
  </si>
  <si>
    <t xml:space="preserve">pc03_irrigation</t>
  </si>
  <si>
    <t xml:space="preserve">pc04_no_till</t>
  </si>
  <si>
    <t xml:space="preserve">pc05_mulching</t>
  </si>
  <si>
    <t xml:space="preserve">pc06_cover_crop</t>
  </si>
  <si>
    <t xml:space="preserve">pc07_tree_planting</t>
  </si>
  <si>
    <t xml:space="preserve">pc08_agroforestry</t>
  </si>
  <si>
    <t xml:space="preserve">pc09_polyculture</t>
  </si>
  <si>
    <t xml:space="preserve">pc10_hedgerows</t>
  </si>
  <si>
    <t xml:space="preserve">pc11_small_parcel</t>
  </si>
  <si>
    <t xml:space="preserve">pc12_organic</t>
  </si>
  <si>
    <t xml:space="preserve">pc13_restoration</t>
  </si>
  <si>
    <t xml:space="preserve">THIRTEEN codes (v3.3 added pc13_restoration). Five levels only. 'not mentioned' is NOT 'explicitly absent'. Provenance for each coded cell goes in O2b.</t>
  </si>
  <si>
    <t xml:space="preserve">evidenced</t>
  </si>
  <si>
    <t xml:space="preserve">documented</t>
  </si>
  <si>
    <t xml:space="preserve">claimed</t>
  </si>
  <si>
    <t xml:space="preserve">Irrigation claimed for the nursery only; see O2b SRC0031</t>
  </si>
  <si>
    <t xml:space="preserve">practice_code</t>
  </si>
  <si>
    <t xml:space="preserve">coding_level</t>
  </si>
  <si>
    <t xml:space="preserve">source_id</t>
  </si>
  <si>
    <t xml:space="preserve">source_class</t>
  </si>
  <si>
    <t xml:space="preserve">full_text_or_abstract</t>
  </si>
  <si>
    <t xml:space="preserve">evidence_date</t>
  </si>
  <si>
    <t xml:space="preserve">validity_from</t>
  </si>
  <si>
    <t xml:space="preserve">validity_to</t>
  </si>
  <si>
    <t xml:space="preserve">supporting_passage</t>
  </si>
  <si>
    <t xml:space="preserve">One row per CODED practice per site (levels evidenced/documented/claimed/explicitly absent). 'not mentioned' needs no row. An ACADEMIC or GREY source is what upgrades a code from 'claimed' to 'evidenced'.</t>
  </si>
  <si>
    <t xml:space="preserve">SRC0012</t>
  </si>
  <si>
    <t xml:space="preserve">full text</t>
  </si>
  <si>
    <t xml:space="preserve">Describes a 1.8 ha seven-layer food forest established from 2016</t>
  </si>
  <si>
    <t xml:space="preserve">validity_to blank = still current at the source date</t>
  </si>
  <si>
    <t xml:space="preserve">date_formal_founding</t>
  </si>
  <si>
    <t xml:space="preserve">date_land_acquisition</t>
  </si>
  <si>
    <t xml:space="preserve">date_first_residence</t>
  </si>
  <si>
    <t xml:space="preserve">date_intervention_onset</t>
  </si>
  <si>
    <t xml:space="preserve">onset_lower_bound</t>
  </si>
  <si>
    <t xml:space="preserve">onset_upper_bound</t>
  </si>
  <si>
    <t xml:space="preserve">onset_band_width_years</t>
  </si>
  <si>
    <t xml:space="preserve">onset_evidence_rank</t>
  </si>
  <si>
    <t xml:space="preserve">onset_evidence_description</t>
  </si>
  <si>
    <t xml:space="preserve">onset_conflicting_sources</t>
  </si>
  <si>
    <t xml:space="preserve">resolution_rule</t>
  </si>
  <si>
    <t xml:space="preserve">onset_proxy_flag</t>
  </si>
  <si>
    <t xml:space="preserve">onset_confidence_tier</t>
  </si>
  <si>
    <t xml:space="preserve">onset_first_or_major</t>
  </si>
  <si>
    <t xml:space="preserve">cohort_candidate</t>
  </si>
  <si>
    <t xml:space="preserve">domain_onsets</t>
  </si>
  <si>
    <t xml:space="preserve">source_ids</t>
  </si>
  <si>
    <t xml:space="preserve">Four candidate dates are all retained. ONLY date_intervention_onset is the study's onset. Rank 5 (a directory founding year) is a PROXY, never a true onset. Almost every RANK 1 source comes from academic or grey literature — see O7_Search_Log.</t>
  </si>
  <si>
    <t xml:space="preserve">Community 20th-anniversary timeline, dated 2012</t>
  </si>
  <si>
    <t xml:space="preserve">Website says 1990, newsletter says 1992</t>
  </si>
  <si>
    <t xml:space="preserve">Equal rank: earlier year as point estimate, the gap becomes the band</t>
  </si>
  <si>
    <t xml:space="preserve">B</t>
  </si>
  <si>
    <t xml:space="preserve">first intervention</t>
  </si>
  <si>
    <t xml:space="preserve">water 1998; vegetation 1992; soil 1995</t>
  </si>
  <si>
    <t xml:space="preserve">SRC0007; SRC0012</t>
  </si>
  <si>
    <t xml:space="preserve">Overall onset = earliest domain onset (vegetation 1992)</t>
  </si>
  <si>
    <t xml:space="preserve">variable</t>
  </si>
  <si>
    <t xml:space="preserve">variable_type</t>
  </si>
  <si>
    <t xml:space="preserve">agreement_method</t>
  </si>
  <si>
    <t xml:space="preserve">threshold_declared</t>
  </si>
  <si>
    <t xml:space="preserve">raw_agreement</t>
  </si>
  <si>
    <t xml:space="preserve">agreement_coefficient</t>
  </si>
  <si>
    <t xml:space="preserve">icc</t>
  </si>
  <si>
    <t xml:space="preserve">mean_absolute_difference</t>
  </si>
  <si>
    <t xml:space="preserve">within_uncertainty_band</t>
  </si>
  <si>
    <t xml:space="preserve">marginal_distribution_notes</t>
  </si>
  <si>
    <t xml:space="preserve">calibration_start</t>
  </si>
  <si>
    <t xml:space="preserve">calibration_midpoint</t>
  </si>
  <si>
    <t xml:space="preserve">calibration_end</t>
  </si>
  <si>
    <t xml:space="preserve">drift_result</t>
  </si>
  <si>
    <t xml:space="preserve">action_if_below_threshold</t>
  </si>
  <si>
    <t xml:space="preserve">PRE-FILLED with the variables THE_SIMPLIFIED_PLAN_v3.8 requires. Report reliability PER VARIABLE — never one figure for the whole codebook. Add 13 rows for the individual practice codes when you compute them.</t>
  </si>
  <si>
    <t xml:space="preserve">date</t>
  </si>
  <si>
    <t xml:space="preserve">ICC + mean absolute difference + agreement within band</t>
  </si>
  <si>
    <t xml:space="preserve">declared before coding</t>
  </si>
  <si>
    <t xml:space="preserve">Report MAD in YEARS beside the coefficient</t>
  </si>
  <si>
    <t xml:space="preserve">Revise the codebook definition, re-code this variable in full, report both figures</t>
  </si>
  <si>
    <t xml:space="preserve">ordered categorical</t>
  </si>
  <si>
    <t xml:space="preserve">weighted chance-corrected agreement</t>
  </si>
  <si>
    <t xml:space="preserve">Weights disagreements by distance between ranks</t>
  </si>
  <si>
    <t xml:space="preserve">Load-bearing for the longitudinal cohort (decision D4)</t>
  </si>
  <si>
    <t xml:space="preserve">categorical</t>
  </si>
  <si>
    <t xml:space="preserve">chance-corrected agreement</t>
  </si>
  <si>
    <t xml:space="preserve">Determines which communities enter analysis A8</t>
  </si>
  <si>
    <t xml:space="preserve">Report the marginal distribution: tiers are usually skewed</t>
  </si>
  <si>
    <t xml:space="preserve">continuous</t>
  </si>
  <si>
    <t xml:space="preserve">ICC + mean absolute difference</t>
  </si>
  <si>
    <t xml:space="preserve">Report MAD in HECTARES. Since plan v3.6 this CORROBORATES the drawn polygon rather than setting geometry: it produces area_agreement_tier and table T8b, and SC16 restricts to tier A.</t>
  </si>
  <si>
    <t xml:space="preserve">ICC + mean absolute difference, from the 20% redraw</t>
  </si>
  <si>
    <t xml:space="preserve">Report MAD in HECTARES. This is the reliability figure for the study's PRIMARY MEASUREMENT GEOMETRY</t>
  </si>
  <si>
    <t xml:space="preserve">polygon_iou (redraw overlap)</t>
  </si>
  <si>
    <t xml:space="preserve">mean overlap, and the count below 0.80</t>
  </si>
  <si>
    <t xml:space="preserve">Shared area / combined area between your two drawings. Below a mean of 0.80, report SC1 (circles) as primary instead</t>
  </si>
  <si>
    <t xml:space="preserve">reference_circle</t>
  </si>
  <si>
    <t xml:space="preserve">Derived from polygon area, so its reliability follows the polygon's</t>
  </si>
  <si>
    <t xml:space="preserve">practice codes (each of THIRTEEN, reported separately)</t>
  </si>
  <si>
    <t xml:space="preserve">see R1_Codebook per code</t>
  </si>
  <si>
    <t xml:space="preserve">Where a code is strongly skewed, report raw agreement and the marginal distribution beside the coefficient</t>
  </si>
  <si>
    <t xml:space="preserve">disagreement_id</t>
  </si>
  <si>
    <t xml:space="preserve">coder_1_value</t>
  </si>
  <si>
    <t xml:space="preserve">coder_2_value</t>
  </si>
  <si>
    <t xml:space="preserve">evidence_in_question</t>
  </si>
  <si>
    <t xml:space="preserve">rule_invoked</t>
  </si>
  <si>
    <t xml:space="preserve">resolution_type</t>
  </si>
  <si>
    <t xml:space="preserve">third_coder</t>
  </si>
  <si>
    <t xml:space="preserve">final_value</t>
  </si>
  <si>
    <t xml:space="preserve">codebook_amended</t>
  </si>
  <si>
    <t xml:space="preserve">re_coding_required</t>
  </si>
  <si>
    <t xml:space="preserve">date_resolved</t>
  </si>
  <si>
    <t xml:space="preserve">Every disagreement and its resolution. The disagreement RATE is itself a reported diagnostic.</t>
  </si>
  <si>
    <t xml:space="preserve">DIS001</t>
  </si>
  <si>
    <t xml:space="preserve">3</t>
  </si>
  <si>
    <t xml:space="preserve">2</t>
  </si>
  <si>
    <t xml:space="preserve">Archived 2011 snapshot: does it describe work as ALREADY under way?</t>
  </si>
  <si>
    <t xml:space="preserve">Rank 2 requires the work be described as already under way</t>
  </si>
  <si>
    <t xml:space="preserve">rule applied</t>
  </si>
  <si>
    <t xml:space="preserve">2026-09-20</t>
  </si>
  <si>
    <t xml:space="preserve">Snapshot announced an intention, not work in progress</t>
  </si>
  <si>
    <t xml:space="preserve">source_type</t>
  </si>
  <si>
    <t xml:space="preserve">title</t>
  </si>
  <si>
    <t xml:space="preserve">url_or_reference</t>
  </si>
  <si>
    <t xml:space="preserve">publication_or_snapshot_date</t>
  </si>
  <si>
    <t xml:space="preserve">retrieval_date</t>
  </si>
  <si>
    <t xml:space="preserve">specific_passage_or_page</t>
  </si>
  <si>
    <t xml:space="preserve">value_supported</t>
  </si>
  <si>
    <t xml:space="preserve">language</t>
  </si>
  <si>
    <t xml:space="preserve">translation_used</t>
  </si>
  <si>
    <t xml:space="preserve">doi_or_identifier</t>
  </si>
  <si>
    <t xml:space="preserve">verified_resolves</t>
  </si>
  <si>
    <t xml:space="preserve">independence_group</t>
  </si>
  <si>
    <t xml:space="preserve">One row per source. VERIFIED_RESOLVES is mandatory for every S1 and S2 source: open the DOI or repository record yourself and confirm it exists. A fabricated citation looks like your strongest evidence and will be believed. INDEPENDENCE_GROUP: sources that derive from the same underlying statement share one group id. A directory listing copied from the community's website is the SAME group as that website. Corroboration counts groups, not URLs.</t>
  </si>
  <si>
    <t xml:space="preserve">peer-reviewed paper</t>
  </si>
  <si>
    <t xml:space="preserve">Agroecological transition at a Portuguese ecovillage</t>
  </si>
  <si>
    <t xml:space="preserve">https://doi.org/10.xxxx/example</t>
  </si>
  <si>
    <t xml:space="preserve">2026-09-10</t>
  </si>
  <si>
    <t xml:space="preserve">p.114, Table 2 and Fig. 3</t>
  </si>
  <si>
    <t xml:space="preserve">pc08_agroforestry = evidenced; intervention onset &gt;= 2016</t>
  </si>
  <si>
    <t xml:space="preserve">Portuguese</t>
  </si>
  <si>
    <t xml:space="preserve">10.xxxx/example</t>
  </si>
  <si>
    <t xml:space="preserve">Archived copy retained locally; only this provenance row is deposited</t>
  </si>
  <si>
    <t xml:space="preserve">G1</t>
  </si>
  <si>
    <t xml:space="preserve">database_or_source</t>
  </si>
  <si>
    <t xml:space="preserve">database_type</t>
  </si>
  <si>
    <t xml:space="preserve">search_strings_used</t>
  </si>
  <si>
    <t xml:space="preserve">hits_returned</t>
  </si>
  <si>
    <t xml:space="preserve">full_text_opened</t>
  </si>
  <si>
    <t xml:space="preserve">abstract_only</t>
  </si>
  <si>
    <t xml:space="preserve">result</t>
  </si>
  <si>
    <t xml:space="preserve">date_searched</t>
  </si>
  <si>
    <t xml:space="preserve">One row per database per site — INCLUDING those that returned nothing. A recorded negative consultation is what makes 'no academic literature exists' a finding rather than an absence of effort. Log every database named in Stages 5 and 6 of the ChatGPT prompt. Web ADDRESSES belong in O11_Source_Set, not here: this sheet is for databases searched.</t>
  </si>
  <si>
    <t xml:space="preserve">Google Scholar</t>
  </si>
  <si>
    <t xml:space="preserve">academic</t>
  </si>
  <si>
    <t xml:space="preserve">"Quinta do Vale" ecovillage; Vale Farm permaculture; Leiria intentional community</t>
  </si>
  <si>
    <t xml:space="preserve">hits found</t>
  </si>
  <si>
    <t xml:space="preserve">Two papers relevant; one behind a paywall, abstract only</t>
  </si>
  <si>
    <t xml:space="preserve">enquiry_id</t>
  </si>
  <si>
    <t xml:space="preserve">reason_for_contact</t>
  </si>
  <si>
    <t xml:space="preserve">date_sent</t>
  </si>
  <si>
    <t xml:space="preserve">medium</t>
  </si>
  <si>
    <t xml:space="preserve">response_status</t>
  </si>
  <si>
    <t xml:space="preserve">date_responded</t>
  </si>
  <si>
    <t xml:space="preserve">consent_to_answer</t>
  </si>
  <si>
    <t xml:space="preserve">consent_to_identification</t>
  </si>
  <si>
    <t xml:space="preserve">consent_to_location_disclosure</t>
  </si>
  <si>
    <t xml:space="preserve">withdrawal_request</t>
  </si>
  <si>
    <t xml:space="preserve">onset_information</t>
  </si>
  <si>
    <t xml:space="preserve">managed_area_information</t>
  </si>
  <si>
    <t xml:space="preserve">other_facts_supplied</t>
  </si>
  <si>
    <t xml:space="preserve">personal_identifiers_retained</t>
  </si>
  <si>
    <t xml:space="preserve">ethics_reference</t>
  </si>
  <si>
    <t xml:space="preserve">Decision D1 recommends coding from PUBLISHED SOURCES ONLY, contacting only communities whose onset stays undeterminable — usually a small number. If you contact nobody, this sheet stays empty and no ethics application is needed. Consent is THREE separate permissions; silence is never consent; non-response is NEVER an exclusion.</t>
  </si>
  <si>
    <t xml:space="preserve">ENQ001</t>
  </si>
  <si>
    <t xml:space="preserve">Onset undeterminable from published sources</t>
  </si>
  <si>
    <t xml:space="preserve">2026-10-14</t>
  </si>
  <si>
    <t xml:space="preserve">email</t>
  </si>
  <si>
    <t xml:space="preserve">responded</t>
  </si>
  <si>
    <t xml:space="preserve">2026-10-21</t>
  </si>
  <si>
    <t xml:space="preserve">Confirms first planting 1992</t>
  </si>
  <si>
    <t xml:space="preserve">Manages 15 ha of 200 ha held</t>
  </si>
  <si>
    <t xml:space="preserve">Two parcels, one contiguous block</t>
  </si>
  <si>
    <t xml:space="preserve">S8</t>
  </si>
  <si>
    <t xml:space="preserve">REC-2026-014</t>
  </si>
  <si>
    <t xml:space="preserve">Location disclosure withheld -&gt; restricted tier</t>
  </si>
  <si>
    <t xml:space="preserve">claim_code</t>
  </si>
  <si>
    <t xml:space="preserve">practice_label</t>
  </si>
  <si>
    <t xml:space="preserve">predicted_signature</t>
  </si>
  <si>
    <t xml:space="preserve">mapped_metric_or_flag</t>
  </si>
  <si>
    <t xml:space="preserve">mapping_version</t>
  </si>
  <si>
    <t xml:space="preserve">deposit_timestamp</t>
  </si>
  <si>
    <t xml:space="preserve">approved_before_coding</t>
  </si>
  <si>
    <t xml:space="preserve">PRE-FILLED from THE_SIMPLIFIED_PLAN and unchanged through v3.8 — mapping_version stays 1.0 because the mapping itself has not moved. MUST be deposited with a timestamp BEFORE any coding begins and before any index value exists. Fill deposit_timestamp and approved_before_coding, then do NOT alter the mapping. This is what makes hypothesis H6 falsifiable.</t>
  </si>
  <si>
    <t xml:space="preserve">CS01</t>
  </si>
  <si>
    <t xml:space="preserve">Rainwater harvesting</t>
  </si>
  <si>
    <t xml:space="preserve">Water-subsidy flag NOT raised</t>
  </si>
  <si>
    <t xml:space="preserve">Water-subsidy flag (FC1+FC2)</t>
  </si>
  <si>
    <t xml:space="preserve">1.0</t>
  </si>
  <si>
    <t xml:space="preserve">CS02</t>
  </si>
  <si>
    <t xml:space="preserve">Swales, keyline earthworks, contour water works</t>
  </si>
  <si>
    <t xml:space="preserve">HIGHER CONTOUR ALIGNMENT (CA) - the most practice-specific prediction in the codebook. Also: water-subsidy flag not raised; higher dry-season minimum NDVI (VM3)</t>
  </si>
  <si>
    <t xml:space="preserve">CA contour alignment (SC15); FC1/FC2; VM3</t>
  </si>
  <si>
    <t xml:space="preserve">CS03</t>
  </si>
  <si>
    <t xml:space="preserve">Irrigation used</t>
  </si>
  <si>
    <t xml:space="preserve">Water-subsidy flag RAISED. A claim predicting an UNFAVOURABLE signature - included so the instrument is not one-sided</t>
  </si>
  <si>
    <t xml:space="preserve">CS04</t>
  </si>
  <si>
    <t xml:space="preserve">No-till or minimum tillage</t>
  </si>
  <si>
    <t xml:space="preserve">Disturbance flag not raised; lower bare-ground fraction (VM6)</t>
  </si>
  <si>
    <t xml:space="preserve">Disturbance flag (FC3+FC4); VM6</t>
  </si>
  <si>
    <t xml:space="preserve">CS05</t>
  </si>
  <si>
    <t xml:space="preserve">Permanent ground cover and mulching</t>
  </si>
  <si>
    <t xml:space="preserve">Longer green cover duration (VM5); lower bare-ground fraction (VM6)</t>
  </si>
  <si>
    <t xml:space="preserve">VM5; VM6</t>
  </si>
  <si>
    <t xml:space="preserve">CS06</t>
  </si>
  <si>
    <t xml:space="preserve">Cover cropping or green manure</t>
  </si>
  <si>
    <t xml:space="preserve">Longer green cover duration (VM5)</t>
  </si>
  <si>
    <t xml:space="preserve">VM5</t>
  </si>
  <si>
    <t xml:space="preserve">CS07</t>
  </si>
  <si>
    <t xml:space="preserve">Tree planting or reforestation</t>
  </si>
  <si>
    <t xml:space="preserve">Higher canopy height (VM8) and woody cover (VM9), conditional on onset age</t>
  </si>
  <si>
    <t xml:space="preserve">VM8; VM9</t>
  </si>
  <si>
    <t xml:space="preserve">CS08</t>
  </si>
  <si>
    <t xml:space="preserve">Food forest or agroforestry</t>
  </si>
  <si>
    <t xml:space="preserve">Higher structure score; higher phenological asynchrony (VM11)</t>
  </si>
  <si>
    <t xml:space="preserve">VCI-T structure; VM11</t>
  </si>
  <si>
    <t xml:space="preserve">CS09</t>
  </si>
  <si>
    <t xml:space="preserve">Perennial polyculture</t>
  </si>
  <si>
    <t xml:space="preserve">Higher phenological asynchrony (VM11); higher spectral diversity (VM10)</t>
  </si>
  <si>
    <t xml:space="preserve">VM11; VM10</t>
  </si>
  <si>
    <t xml:space="preserve">CS10</t>
  </si>
  <si>
    <t xml:space="preserve">Hedgerows and windbreaks</t>
  </si>
  <si>
    <t xml:space="preserve">Higher edge density (VM12). NOTE: a 2-4 m hedgerow is SUB-PIXEL, so only a network dense enough to change field-scale pattern is detectable</t>
  </si>
  <si>
    <t xml:space="preserve">VM12</t>
  </si>
  <si>
    <t xml:space="preserve">CS11</t>
  </si>
  <si>
    <t xml:space="preserve">Small-parcel diversified planting</t>
  </si>
  <si>
    <t xml:space="preserve">Higher spectral diversity (VM10); higher edge density (VM12)</t>
  </si>
  <si>
    <t xml:space="preserve">VM10; VM12</t>
  </si>
  <si>
    <t xml:space="preserve">CS12</t>
  </si>
  <si>
    <t xml:space="preserve">Organic or no synthetic inputs</t>
  </si>
  <si>
    <t xml:space="preserve">Reported DESCRIPTIVELY ONLY - this study has no input-intensity flag, so no signature is predicted</t>
  </si>
  <si>
    <t xml:space="preserve">none - descriptive only</t>
  </si>
  <si>
    <t xml:space="preserve">CS13</t>
  </si>
  <si>
    <t xml:space="preserve">Land restoration or rehabilitation, NON-TREE</t>
  </si>
  <si>
    <t xml:space="preserve">Lower bare-ground fraction (VM6); longer green cover duration (VM5); higher dry-season minimum NDVI (VM3)</t>
  </si>
  <si>
    <t xml:space="preserve">VM6; VM5; VM3</t>
  </si>
  <si>
    <t xml:space="preserve">polygon_file_id</t>
  </si>
  <si>
    <t xml:space="preserve">polygon_imagery_date</t>
  </si>
  <si>
    <t xml:space="preserve">polygon_imagery_source</t>
  </si>
  <si>
    <t xml:space="preserve">polygon_confidence</t>
  </si>
  <si>
    <t xml:space="preserve">below_minimum_flag</t>
  </si>
  <si>
    <t xml:space="preserve">polygon_redrawn</t>
  </si>
  <si>
    <t xml:space="preserve">redraw_area_ha</t>
  </si>
  <si>
    <t xml:space="preserve">polygon_iou</t>
  </si>
  <si>
    <t xml:space="preserve">area_ratio</t>
  </si>
  <si>
    <t xml:space="preserve">area_agreement_tier</t>
  </si>
  <si>
    <t xml:space="preserve">agreement_note</t>
  </si>
  <si>
    <t xml:space="preserve">controls_translated</t>
  </si>
  <si>
    <t xml:space="preserve">drawn_by</t>
  </si>
  <si>
    <t xml:space="preserve">drawn_date</t>
  </si>
  <si>
    <t xml:space="preserve">redraw_date</t>
  </si>
  <si>
    <t xml:space="preserve">HOW THIS SHEET WORKS — plan 7.1a</t>
  </si>
  <si>
    <t xml:space="preserve">POLY_IC001</t>
  </si>
  <si>
    <t xml:space="preserve">2023-07-11</t>
  </si>
  <si>
    <t xml:space="preserve">Google Earth</t>
  </si>
  <si>
    <t xml:space="preserve">clear</t>
  </si>
  <si>
    <t xml:space="preserve">Drawn 13.4 ha against a stated 15 ha — within 30%</t>
  </si>
  <si>
    <t xml:space="preserve">2026-10-19</t>
  </si>
  <si>
    <t xml:space="preserve">Long valley strip; a 150 m circle would have caught under half of it</t>
  </si>
  <si>
    <t xml:space="preserve">1. DRAW one polygon per settlement on high-resolution imagery. Follow the real outline — a strip if the land is a strip.</t>
  </si>
  <si>
    <t xml:space="preserve">2. DRAW FROM STRUCTURE, NEVER COLOUR. Field edges, tracks, walls, terrace lines, changes in field pattern.</t>
  </si>
  <si>
    <t xml:space="preserve">3. MINIMUM 1.0 ha. Below that use a 75 m circle instead — below_minimum_flag fills itself.</t>
  </si>
  <si>
    <t xml:space="preserve">4. TRANSLATE the polygon onto each of the 3 controls: slide it so its centre sits on the control village. No resizing, no reshaping, NO ROTATION.</t>
  </si>
  <si>
    <t xml:space="preserve">5. REDRAW a random 20% after four weeks without looking at your first version. polygon_iou is the overlap: shared area / combined area.</t>
  </si>
  <si>
    <t xml:space="preserve">6. The documentary figure is the CHECK. area_ratio and area_agreement_tier fill themselves: within 30% = A, 30-100% apart = B, more than 2x apart = C, investigate.</t>
  </si>
  <si>
    <t xml:space="preserve">The POLYGON always defines the geometry. The documentary figure only says how well corroborated it is.</t>
  </si>
  <si>
    <t xml:space="preserve">A gap beyond 2x usually means the source quoted the TOTAL HOLDING rather than the worked area.</t>
  </si>
  <si>
    <t xml:space="preserve">below_minimum_flag, reference_circle, area_ratio and area_agreement_tier all calculate themselves.</t>
  </si>
  <si>
    <t xml:space="preserve">NEW IN v6 — columns M to R READ THEMSELVES FROM O1_Community_Attributes and must not be typed into. Paste the register's Block E into O1; it arrives here on its own.</t>
  </si>
  <si>
    <t xml:space="preserve">NEW IN v6 — a site with a polygon but NO documentary figure is tier B, per plan 7.1a. In v5 it was left blank, which looked identical to a site not yet coded.</t>
  </si>
  <si>
    <t xml:space="preserve">address_id</t>
  </si>
  <si>
    <t xml:space="preserve">url</t>
  </si>
  <si>
    <t xml:space="preserve">platform_type</t>
  </si>
  <si>
    <t xml:space="preserve">supplied_or_discovered</t>
  </si>
  <si>
    <t xml:space="preserve">crawl_status</t>
  </si>
  <si>
    <t xml:space="preserve">pages_opened</t>
  </si>
  <si>
    <t xml:space="preserve">archive_checked</t>
  </si>
  <si>
    <t xml:space="preserve">archive_earliest_snapshot</t>
  </si>
  <si>
    <t xml:space="preserve">earliest_dated_item</t>
  </si>
  <si>
    <t xml:space="preserve">latest_dated_item</t>
  </si>
  <si>
    <t xml:space="preserve">yielded_fields</t>
  </si>
  <si>
    <t xml:space="preserve">date_crawled</t>
  </si>
  <si>
    <t xml:space="preserve">NEW IN v6. ONE ROW PER WEB ADDRESS PER COMMUNITY — every address you supply to the search assistant and every one it finds. Most communities have several, and version 5 had nowhere to record which were actually read. Fill this BEFORE coding a community. Two rules do the real work here. First, an address that was BLOCKED or DEAD is recorded as such: a reported block is data, a guess about its contents is fabrication. Second, INDEPENDENCE_GROUP — four addresses belonging to one community are ONE voice, not four, and corroboration counts groups rather than URLs. Databases searched go in O7_Search_Log, not here.</t>
  </si>
  <si>
    <t xml:space="preserve">IC001-02</t>
  </si>
  <si>
    <t xml:space="preserve">https://www.example.org/old-site</t>
  </si>
  <si>
    <t xml:space="preserve">secondary or former website</t>
  </si>
  <si>
    <t xml:space="preserve">discovered</t>
  </si>
  <si>
    <t xml:space="preserve">crawled</t>
  </si>
  <si>
    <t xml:space="preserve">2009-04-17</t>
  </si>
  <si>
    <t xml:space="preserve">2008</t>
  </si>
  <si>
    <t xml:space="preserve">2014</t>
  </si>
  <si>
    <t xml:space="preserve">date_intervention_onset; managed_area_ha; pc07_tree_planting</t>
  </si>
  <si>
    <t xml:space="preserve">pt</t>
  </si>
  <si>
    <t xml:space="preserve">Former domain found via a Wayback CDX listing of the current domain. Holds the only dated planting record.</t>
  </si>
  <si>
    <t xml:space="preserve">code_identifier</t>
  </si>
  <si>
    <t xml:space="preserve">label</t>
  </si>
  <si>
    <t xml:space="preserve">definition</t>
  </si>
  <si>
    <t xml:space="preserve">inclusion_example_1</t>
  </si>
  <si>
    <t xml:space="preserve">inclusion_example_2</t>
  </si>
  <si>
    <t xml:space="preserve">exclusion_example_1</t>
  </si>
  <si>
    <t xml:space="preserve">coding_levels_available</t>
  </si>
  <si>
    <t xml:space="preserve">agreement_threshold</t>
  </si>
  <si>
    <t xml:space="preserve">threshold_rationale</t>
  </si>
  <si>
    <t xml:space="preserve">version</t>
  </si>
  <si>
    <t xml:space="preserve">frozen_date</t>
  </si>
  <si>
    <t xml:space="preserve">CODEBOOK FREEZE CONTROL</t>
  </si>
  <si>
    <t xml:space="preserve">Deliberate capture and storage of precipitation or roof runoff for later use on the landholding.</t>
  </si>
  <si>
    <t xml:space="preserve">Roof catchment feeding storage tanks used for irrigation</t>
  </si>
  <si>
    <t xml:space="preserve">Documented cisterns or reservoirs filled by runoff</t>
  </si>
  <si>
    <t xml:space="preserve">Mains water storage tanks with no catchment function</t>
  </si>
  <si>
    <t xml:space="preserve">evidenced / documented / claimed / explicitly absent / not mentioned</t>
  </si>
  <si>
    <t xml:space="preserve">Objectivity tier 1 — presence is a matter of record: a named body, a physical structure or an explicit statement is either in the source or it is not.</t>
  </si>
  <si>
    <t xml:space="preserve">All 13 codes freeze together. Enter ONE date at P3; the frozen_date column fills itself.</t>
  </si>
  <si>
    <t xml:space="preserve">Contour-following ditches, berms, terraces or keyline ploughing built to slow, spread and infiltrate surface water.</t>
  </si>
  <si>
    <t xml:space="preserve">Swale network described or mapped on a site plan</t>
  </si>
  <si>
    <t xml:space="preserve">Keyline design explicitly named in community material</t>
  </si>
  <si>
    <t xml:space="preserve">Drainage ditches built to REMOVE water from the site</t>
  </si>
  <si>
    <t xml:space="preserve">Objectivity tier 2 — a named practice whose boundary against a near-miss needs the exclusion example to separate them.</t>
  </si>
  <si>
    <t xml:space="preserve">Freeze date (YYYY-MM-DD)</t>
  </si>
  <si>
    <t xml:space="preserve">Application of water to crops beyond direct rainfall, with the source recorded where stated.</t>
  </si>
  <si>
    <t xml:space="preserve">Community states it irrigates from a borehole</t>
  </si>
  <si>
    <t xml:space="preserve">Drip irrigation described in community material</t>
  </si>
  <si>
    <t xml:space="preserve">Hand-watering of a nursery or seedling area only</t>
  </si>
  <si>
    <t xml:space="preserve">Enter only when ALL are true:</t>
  </si>
  <si>
    <t xml:space="preserve">Deliberate avoidance or minimisation of mechanical soil inversion.</t>
  </si>
  <si>
    <t xml:space="preserve">Community states it does not plough</t>
  </si>
  <si>
    <t xml:space="preserve">No-dig beds described as standard practice</t>
  </si>
  <si>
    <t xml:space="preserve">Occasional broadforking with no stated no-till commitment</t>
  </si>
  <si>
    <t xml:space="preserve">1. Every definition and example is complete</t>
  </si>
  <si>
    <t xml:space="preserve">Maintenance of continuous organic or living cover over cultivated soil.</t>
  </si>
  <si>
    <t xml:space="preserve">Heavy mulching described as routine</t>
  </si>
  <si>
    <t xml:space="preserve">Living mulch or permanent understorey maintained</t>
  </si>
  <si>
    <t xml:space="preserve">Seasonal straw applied once at planting only</t>
  </si>
  <si>
    <t xml:space="preserve">Objectivity tier 3 — coding turns on intent or degree, which two readers can weigh differently from the same passage.</t>
  </si>
  <si>
    <t xml:space="preserve">2. Every agreement_threshold is confirmed by you</t>
  </si>
  <si>
    <t xml:space="preserve">Sowing of non-harvest crops specifically to protect and build soil between production cycles.</t>
  </si>
  <si>
    <t xml:space="preserve">Green manure rotation described</t>
  </si>
  <si>
    <t xml:space="preserve">Winter cover crop named in the rotation</t>
  </si>
  <si>
    <t xml:space="preserve">Volunteer weed regrowth left in place without intent</t>
  </si>
  <si>
    <t xml:space="preserve">3. Calibration passed and recorded in R2_Calibration</t>
  </si>
  <si>
    <t xml:space="preserve">Deliberate establishment of trees on land previously without them.</t>
  </si>
  <si>
    <t xml:space="preserve">Stated number of trees planted with dates</t>
  </si>
  <si>
    <t xml:space="preserve">Reforestation project documented by an external body</t>
  </si>
  <si>
    <t xml:space="preserve">Retention of existing woodland with no new planting</t>
  </si>
  <si>
    <t xml:space="preserve">4. O9_Claim_Signature_Map deposited and timestamped</t>
  </si>
  <si>
    <t xml:space="preserve">Deliberate multi-storey systems combining trees with crops or livestock.</t>
  </si>
  <si>
    <t xml:space="preserve">Food forest described with named canopy layers</t>
  </si>
  <si>
    <t xml:space="preserve">Alley cropping or silvopasture documented</t>
  </si>
  <si>
    <t xml:space="preserve">An orchard in single-species rows with mown grass beneath</t>
  </si>
  <si>
    <t xml:space="preserve">5. This file committed to your repository</t>
  </si>
  <si>
    <t xml:space="preserve">Production systems built on mixed perennial species rather than annual monoculture.</t>
  </si>
  <si>
    <t xml:space="preserve">Mixed perennial beds described with several species</t>
  </si>
  <si>
    <t xml:space="preserve">Perennial vegetable or herb systems documented</t>
  </si>
  <si>
    <t xml:space="preserve">A single perennial crop grown in monoculture</t>
  </si>
  <si>
    <t xml:space="preserve">After this date the definitions may not change. A later change means the affected variable is re-coded IN FULL and both reliability figures reported.</t>
  </si>
  <si>
    <t xml:space="preserve">Planted linear woody features serving shelter, boundary or habitat functions.</t>
  </si>
  <si>
    <t xml:space="preserve">Windbreak planting described with species and dates</t>
  </si>
  <si>
    <t xml:space="preserve">Hedgerow restoration documented</t>
  </si>
  <si>
    <t xml:space="preserve">Pre-existing field boundaries not planted or managed by the community</t>
  </si>
  <si>
    <t xml:space="preserve">Cultivation divided into many small units carrying different crops.</t>
  </si>
  <si>
    <t xml:space="preserve">Many small beds with different crops described</t>
  </si>
  <si>
    <t xml:space="preserve">Market-garden bed system with high crop diversity</t>
  </si>
  <si>
    <t xml:space="preserve">A single large mixed field</t>
  </si>
  <si>
    <t xml:space="preserve">Stated avoidance of synthetic fertilisers, herbicides and pesticides; record any certifying body.</t>
  </si>
  <si>
    <t xml:space="preserve">Community states it uses no synthetic inputs</t>
  </si>
  <si>
    <t xml:space="preserve">Named organic certification with a certifying body</t>
  </si>
  <si>
    <t xml:space="preserve">Reduced-input claims without an exclusion statement</t>
  </si>
  <si>
    <t xml:space="preserve">Thresholds are chance-corrected agreement coefficients. 0.70 is the floor. Where a code proves strongly skewed, report raw agreement and the marginal distribution alongside.</t>
  </si>
  <si>
    <t xml:space="preserve">Grassland or pasture restoration, wetland creation, erosion or gully control, revegetation of degraded ground. SEPARATE from pc07: pc07 is tree planting, pc13 is everything else.</t>
  </si>
  <si>
    <t xml:space="preserve">Gully control structures described with dates</t>
  </si>
  <si>
    <t xml:space="preserve">Wetland or pond created and documented</t>
  </si>
  <si>
    <t xml:space="preserve">Tree planting only, with no other restoration described</t>
  </si>
  <si>
    <t xml:space="preserve">calibration_round</t>
  </si>
  <si>
    <t xml:space="preserve">calibration_set_size</t>
  </si>
  <si>
    <t xml:space="preserve">agreement_with_reference</t>
  </si>
  <si>
    <t xml:space="preserve">threshold_required</t>
  </si>
  <si>
    <t xml:space="preserve">passed</t>
  </si>
  <si>
    <t xml:space="preserve">drift_vs_initial</t>
  </si>
  <si>
    <t xml:space="preserve">action_taken</t>
  </si>
  <si>
    <t xml:space="preserve">cleared_for_production</t>
  </si>
  <si>
    <t xml:space="preserve">A coder proceeds to production coding only after meeting the declared threshold. Re-run at the midpoint and at the end to detect drift.</t>
  </si>
  <si>
    <t xml:space="preserve">initial</t>
  </si>
  <si>
    <t xml:space="preserve">2026-08-20</t>
  </si>
  <si>
    <t xml:space="preserve">none</t>
  </si>
  <si>
    <t xml:space="preserve">Calibration set drawn from communities NOT in the study sample</t>
  </si>
  <si>
    <t xml:space="preserve">decision_id</t>
  </si>
  <si>
    <t xml:space="preserve">stage</t>
  </si>
  <si>
    <t xml:space="preserve">issue</t>
  </si>
  <si>
    <t xml:space="preserve">decision</t>
  </si>
  <si>
    <t xml:space="preserve">rule_or_plan_section</t>
  </si>
  <si>
    <t xml:space="preserve">reason</t>
  </si>
  <si>
    <t xml:space="preserve">impact</t>
  </si>
  <si>
    <t xml:space="preserve">requires_recode</t>
  </si>
  <si>
    <t xml:space="preserve">affects_frozen_output</t>
  </si>
  <si>
    <t xml:space="preserve">changes_results</t>
  </si>
  <si>
    <t xml:space="preserve">Appendix A of the plan. One row per decision, WITH A DATE. Log the decisions you later reversed as well — a log showing only what survived is a tidied story. Seed values belong here too.</t>
  </si>
  <si>
    <t xml:space="preserve">DEC001</t>
  </si>
  <si>
    <t xml:space="preserve">2026-08-18</t>
  </si>
  <si>
    <t xml:space="preserve">Stage 1</t>
  </si>
  <si>
    <t xml:space="preserve">Two communities share a name in different countries</t>
  </si>
  <si>
    <t xml:space="preserve">site_id remains the sole key; country recorded separately</t>
  </si>
  <si>
    <t xml:space="preserve">Plan §3.1</t>
  </si>
  <si>
    <t xml:space="preserve">Names are not unique; identifiers must be</t>
  </si>
  <si>
    <t xml:space="preserve">None on coded values</t>
  </si>
  <si>
    <t xml:space="preserve">Source classes (S1 strongest ... S8 weakest)</t>
  </si>
  <si>
    <t xml:space="preserve">ACADEMIC — peer-reviewed papers, THESES AND DISSERTATIONS, conference papers, preprints</t>
  </si>
  <si>
    <t xml:space="preserve">Where most RANK 1 onset evidence lives</t>
  </si>
  <si>
    <t xml:space="preserve">S2</t>
  </si>
  <si>
    <t xml:space="preserve">INSTITUTIONAL — government, NGO, certification, land registry, GRANT AND FUNDING RECORDS</t>
  </si>
  <si>
    <t xml:space="preserve">A grant record is dated, independent and public</t>
  </si>
  <si>
    <t xml:space="preserve">S3</t>
  </si>
  <si>
    <t xml:space="preserve">External network or directory profile</t>
  </si>
  <si>
    <t xml:space="preserve">Externally hosted, usually self-submitted — often a COPY of S4</t>
  </si>
  <si>
    <t xml:space="preserve">S4</t>
  </si>
  <si>
    <t xml:space="preserve">The community's own current published material</t>
  </si>
  <si>
    <t xml:space="preserve">Richest and least independent</t>
  </si>
  <si>
    <t xml:space="preserve">S5</t>
  </si>
  <si>
    <t xml:space="preserve">Archived snapshots of community material</t>
  </si>
  <si>
    <t xml:space="preserve">Uniquely valuable for DATING</t>
  </si>
  <si>
    <t xml:space="preserve">S6</t>
  </si>
  <si>
    <t xml:space="preserve">Journalism and documentary media</t>
  </si>
  <si>
    <t xml:space="preserve">Independent but often uncritical</t>
  </si>
  <si>
    <t xml:space="preserve">S7</t>
  </si>
  <si>
    <t xml:space="preserve">Community social media and member accounts</t>
  </si>
  <si>
    <t xml:space="preserve">Supporting evidence only; never the sole basis</t>
  </si>
  <si>
    <t xml:space="preserve">Direct communication with the community</t>
  </si>
  <si>
    <t xml:space="preserve">Authoritative on facts the community knows</t>
  </si>
  <si>
    <t xml:space="preserve">Onset evidence ranks and their typical uncertainty bands</t>
  </si>
  <si>
    <t xml:space="preserve">1</t>
  </si>
  <si>
    <t xml:space="preserve">Dated independent record — permit, GRANT AWARD OR REPORT, project report, registry entry, ACADEMIC PAPER OR THESIS</t>
  </si>
  <si>
    <t xml:space="preserve">0 to +/-1 year</t>
  </si>
  <si>
    <t xml:space="preserve">Dated archived snapshot describing work ALREADY under way</t>
  </si>
  <si>
    <t xml:space="preserve">+/-1 to +/-3 years; firm UPPER bound</t>
  </si>
  <si>
    <t xml:space="preserve">The community's own dated retrospective statement</t>
  </si>
  <si>
    <t xml:space="preserve">+/-2 to +/-5 years; drifts to round numbers</t>
  </si>
  <si>
    <t xml:space="preserve">4</t>
  </si>
  <si>
    <t xml:space="preserve">Undated community statement, onset inferred from context</t>
  </si>
  <si>
    <t xml:space="preserve">+/-5 years or wider; flagged</t>
  </si>
  <si>
    <t xml:space="preserve">5</t>
  </si>
  <si>
    <t xml:space="preserve">Directory founding year used as a proxy</t>
  </si>
  <si>
    <t xml:space="preserve">NOT an onset. Excluded from the primary age analysis</t>
  </si>
  <si>
    <t xml:space="preserve">Onset confidence tier — for the longitudinal cohort</t>
  </si>
  <si>
    <t xml:space="preserve">Precise year, rank 1 or 2 evidence</t>
  </si>
  <si>
    <t xml:space="preserve">Usable in the cohort without qualification</t>
  </si>
  <si>
    <t xml:space="preserve">Plus or minus one year</t>
  </si>
  <si>
    <t xml:space="preserve">Usable in the cohort</t>
  </si>
  <si>
    <t xml:space="preserve">C</t>
  </si>
  <si>
    <t xml:space="preserve">Uncertain beyond +/-1 year</t>
  </si>
  <si>
    <t xml:space="preserve">NOT usable to anchor a before-and-after window</t>
  </si>
  <si>
    <t xml:space="preserve">Cohort candidacy</t>
  </si>
  <si>
    <t xml:space="preserve">core (2020-2021)</t>
  </si>
  <si>
    <t xml:space="preserve">Onset in 2020 or 2021</t>
  </si>
  <si>
    <t xml:space="preserve">3 pre-onset years and 4 post-onset years inside 2017-2025</t>
  </si>
  <si>
    <t xml:space="preserve">extension (2019)</t>
  </si>
  <si>
    <t xml:space="preserve">Onset in 2019</t>
  </si>
  <si>
    <t xml:space="preserve">Only 2 pre-years, and 2017 is half a single-satellite year</t>
  </si>
  <si>
    <t xml:space="preserve">Onset outside 2019-2021</t>
  </si>
  <si>
    <t xml:space="preserve">The large majority</t>
  </si>
  <si>
    <t xml:space="preserve">uncertain</t>
  </si>
  <si>
    <t xml:space="preserve">Onset band straddles the boundary</t>
  </si>
  <si>
    <t xml:space="preserve">Resolve before decision D4</t>
  </si>
  <si>
    <t xml:space="preserve">Activity verification channels</t>
  </si>
  <si>
    <t xml:space="preserve">V1</t>
  </si>
  <si>
    <t xml:space="preserve">Community self-documentation of SPECIFIC work</t>
  </si>
  <si>
    <t xml:space="preserve">Specificity distinguishes this from an aspiration</t>
  </si>
  <si>
    <t xml:space="preserve">V2</t>
  </si>
  <si>
    <t xml:space="preserve">External documentation of the work itself — INCLUDING A THESIS OR GRANT RECORD</t>
  </si>
  <si>
    <t xml:space="preserve">Independent of the community's account</t>
  </si>
  <si>
    <t xml:space="preserve">V3</t>
  </si>
  <si>
    <t xml:space="preserve">Affiliation with a body applying substantive criteria</t>
  </si>
  <si>
    <t xml:space="preserve">Record the body and its criteria</t>
  </si>
  <si>
    <t xml:space="preserve">V4</t>
  </si>
  <si>
    <t xml:space="preserve">Visual documentation: dated photos, plans, design drawings</t>
  </si>
  <si>
    <t xml:space="preserve">An image of an earthwork is evidence of a different kind</t>
  </si>
  <si>
    <t xml:space="preserve">V5</t>
  </si>
  <si>
    <t xml:space="preserve">Continuity across years in snapshots or publications</t>
  </si>
  <si>
    <t xml:space="preserve">Distinguishes sustained practice from one announcement</t>
  </si>
  <si>
    <t xml:space="preserve">Activity tiers</t>
  </si>
  <si>
    <t xml:space="preserve">&gt;=3 channels including &gt;=1 EXTERNAL channel</t>
  </si>
  <si>
    <t xml:space="preserve">Strongest available assurance</t>
  </si>
  <si>
    <t xml:space="preserve">2 channels, at least one of which is V4 or V5</t>
  </si>
  <si>
    <t xml:space="preserve">Specific, but rests largely on the community's account</t>
  </si>
  <si>
    <t xml:space="preserve">2 community-originated channels, no visual or continuity support</t>
  </si>
  <si>
    <t xml:space="preserve">Minimum admissible</t>
  </si>
  <si>
    <t xml:space="preserve">Fail</t>
  </si>
  <si>
    <t xml:space="preserve">&lt;2 independent channels, or aims without specific actions</t>
  </si>
  <si>
    <t xml:space="preserve">Not eligible</t>
  </si>
  <si>
    <t xml:space="preserve">Practice coding levels</t>
  </si>
  <si>
    <t xml:space="preserve">Documented by an EXTERNAL or VISUAL source, with specificity</t>
  </si>
  <si>
    <t xml:space="preserve">An academic or grey source is what upgrades a code to this</t>
  </si>
  <si>
    <t xml:space="preserve">Described specifically by the community, with continuity</t>
  </si>
  <si>
    <t xml:space="preserve">Asserted without specificity or corroboration</t>
  </si>
  <si>
    <t xml:space="preserve">explicitly absent</t>
  </si>
  <si>
    <t xml:space="preserve">The community STATES it does NOT do this</t>
  </si>
  <si>
    <t xml:space="preserve">A positive statement, not a silence</t>
  </si>
  <si>
    <t xml:space="preserve">not mentioned</t>
  </si>
  <si>
    <t xml:space="preserve">No statement either way</t>
  </si>
  <si>
    <t xml:space="preserve">NEVER read as absence of the practice</t>
  </si>
  <si>
    <t xml:space="preserve">Status and persistence</t>
  </si>
  <si>
    <t xml:space="preserve">Operating and inhabited</t>
  </si>
  <si>
    <t xml:space="preserve">dormant</t>
  </si>
  <si>
    <t xml:space="preserve">Reduced or suspended activity, not dissolved</t>
  </si>
  <si>
    <t xml:space="preserve">transformed</t>
  </si>
  <si>
    <t xml:space="preserve">Continues under a materially different form or purpose</t>
  </si>
  <si>
    <t xml:space="preserve">relocated</t>
  </si>
  <si>
    <t xml:space="preserve">The community moved to a different site</t>
  </si>
  <si>
    <t xml:space="preserve">dissolved</t>
  </si>
  <si>
    <t xml:space="preserve">The community ceased to exist</t>
  </si>
  <si>
    <t xml:space="preserve">Requires POSITIVE evidence</t>
  </si>
  <si>
    <t xml:space="preserve">unknown</t>
  </si>
  <si>
    <t xml:space="preserve">Cannot be determined</t>
  </si>
  <si>
    <t xml:space="preserve">UNKNOWN IS NOT DISSOLVED</t>
  </si>
  <si>
    <t xml:space="preserve">Area types</t>
  </si>
  <si>
    <t xml:space="preserve">actively managed</t>
  </si>
  <si>
    <t xml:space="preserve">Land the community actually works ecologically</t>
  </si>
  <si>
    <t xml:space="preserve">Since plan v3.6 this CORROBORATES the drawn polygon; it does not set geometry</t>
  </si>
  <si>
    <t xml:space="preserve">total holding only</t>
  </si>
  <si>
    <t xml:space="preserve">Source gives the whole holding and no managed extent</t>
  </si>
  <si>
    <t xml:space="preserve">Flag the site; never substitute one for the other</t>
  </si>
  <si>
    <t xml:space="preserve">Both figures available and recorded separately</t>
  </si>
  <si>
    <t xml:space="preserve">not stated</t>
  </si>
  <si>
    <t xml:space="preserve">Neither figure available</t>
  </si>
  <si>
    <t xml:space="preserve">area_agreement_tier becomes B; the polygon still gives full geometry</t>
  </si>
  <si>
    <t xml:space="preserve">Reference circle — matched to the POLYGON's area, filled by formula in O10</t>
  </si>
  <si>
    <t xml:space="preserve">r75</t>
  </si>
  <si>
    <t xml:space="preserve">polygon under 2.6 ha</t>
  </si>
  <si>
    <t xml:space="preserve">75 m radius, 1.77 ha. Also the fallback where a polygon is under the 1.0 ha minimum</t>
  </si>
  <si>
    <t xml:space="preserve">r110</t>
  </si>
  <si>
    <t xml:space="preserve">2.6 to 5.2 ha</t>
  </si>
  <si>
    <t xml:space="preserve">110 m radius, 3.80 ha</t>
  </si>
  <si>
    <t xml:space="preserve">r150</t>
  </si>
  <si>
    <t xml:space="preserve">5.2 to 9.9 ha</t>
  </si>
  <si>
    <t xml:space="preserve">150 m radius, 7.07 ha</t>
  </si>
  <si>
    <t xml:space="preserve">r210</t>
  </si>
  <si>
    <t xml:space="preserve">9.9 to 19.8 ha</t>
  </si>
  <si>
    <t xml:space="preserve">210 m radius, 13.85 ha</t>
  </si>
  <si>
    <t xml:space="preserve">r300</t>
  </si>
  <si>
    <t xml:space="preserve">over 19.8 ha</t>
  </si>
  <si>
    <t xml:space="preserve">300 m radius, 28.27 ha</t>
  </si>
  <si>
    <t xml:space="preserve">Area agreement tier — drawn polygon against the documentary figure (plan 7.1a)</t>
  </si>
  <si>
    <t xml:space="preserve">Documentary area within 30% of the polygon area</t>
  </si>
  <si>
    <t xml:space="preserve">The two agree. SC16 restricts to these</t>
  </si>
  <si>
    <t xml:space="preserve">NO documentary figure, OR the two differ by 30 to 100%</t>
  </si>
  <si>
    <t xml:space="preserve">The polygon stands and keeps both numbers</t>
  </si>
  <si>
    <t xml:space="preserve">They differ by more than a factor of two</t>
  </si>
  <si>
    <t xml:space="preserve">The polygon still stands. Investigate: usually the source quoted the TOTAL HOLDING</t>
  </si>
  <si>
    <t xml:space="preserve">Managed-area basis — how the documentary figure was arrived at</t>
  </si>
  <si>
    <t xml:space="preserve">Someone actually measured it</t>
  </si>
  <si>
    <t xml:space="preserve">Thesis, survey, land registry, grant application, scaled site plan</t>
  </si>
  <si>
    <t xml:space="preserve">stated</t>
  </si>
  <si>
    <t xml:space="preserve">The community gives a figure without saying how</t>
  </si>
  <si>
    <t xml:space="preserve">Commonest case; frequently the TOTAL HOLDING</t>
  </si>
  <si>
    <t xml:space="preserve">inferred</t>
  </si>
  <si>
    <t xml:space="preserve">You derived it from something else</t>
  </si>
  <si>
    <t xml:space="preserve">Number of beds, plots, hectares under a named crop</t>
  </si>
  <si>
    <t xml:space="preserve">not found</t>
  </si>
  <si>
    <t xml:space="preserve">No figure anywhere</t>
  </si>
  <si>
    <t xml:space="preserve">A complete and correct answer. Tier B, and the polygon is unaffected</t>
  </si>
  <si>
    <t xml:space="preserve">Platform type — O11_Source_Set</t>
  </si>
  <si>
    <t xml:space="preserve">own website</t>
  </si>
  <si>
    <t xml:space="preserve">The community's current primary site</t>
  </si>
  <si>
    <t xml:space="preserve">Richest, least independent. Start here</t>
  </si>
  <si>
    <t xml:space="preserve">An older domain, a project microsite, a second language site</t>
  </si>
  <si>
    <t xml:space="preserve">Old domains hold the OLDEST material and are the best dating source on the open web</t>
  </si>
  <si>
    <t xml:space="preserve">Facebook</t>
  </si>
  <si>
    <t xml:space="preserve">Page or group</t>
  </si>
  <si>
    <t xml:space="preserve">About tab carries a creation date; albums and events are dated</t>
  </si>
  <si>
    <t xml:space="preserve">Instagram</t>
  </si>
  <si>
    <t xml:space="preserve">Profile</t>
  </si>
  <si>
    <t xml:space="preserve">Rarely readable without an account. Report BLOCKED rather than guessing</t>
  </si>
  <si>
    <t xml:space="preserve">YouTube</t>
  </si>
  <si>
    <t xml:space="preserve">Channel</t>
  </si>
  <si>
    <t xml:space="preserve">Sort videos OLDEST FIRST. An upload date is a dated record</t>
  </si>
  <si>
    <t xml:space="preserve">Vimeo</t>
  </si>
  <si>
    <t xml:space="preserve">Same use as YouTube</t>
  </si>
  <si>
    <t xml:space="preserve">blog platform</t>
  </si>
  <si>
    <t xml:space="preserve">WordPress, Blogspot, Medium, Substack</t>
  </si>
  <si>
    <t xml:space="preserve">The RSS feed and sitemap give the full dated post list in one request</t>
  </si>
  <si>
    <t xml:space="preserve">directory listing</t>
  </si>
  <si>
    <t xml:space="preserve">GEN, FIC, NuMundo, WWOOF, Workaway, national networks</t>
  </si>
  <si>
    <t xml:space="preserve">Self-submitted, so usually the SAME independence group as the website. Its ARCHIVE gives first_listing_year</t>
  </si>
  <si>
    <t xml:space="preserve">crowdfunding</t>
  </si>
  <si>
    <t xml:space="preserve">Kickstarter, GoFundMe, Ulule, Betterplace and similar</t>
  </si>
  <si>
    <t xml:space="preserve">A dated campaign page describing a specific project — often rank 1 or 2 onset evidence</t>
  </si>
  <si>
    <t xml:space="preserve">LinkedIn</t>
  </si>
  <si>
    <t xml:space="preserve">Organisation page</t>
  </si>
  <si>
    <t xml:space="preserve">Carries a founded year and staff continuity</t>
  </si>
  <si>
    <t xml:space="preserve">booking or hosting</t>
  </si>
  <si>
    <t xml:space="preserve">Airbnb, Hostelworld, retreat and volunteer platforms</t>
  </si>
  <si>
    <t xml:space="preserve">Often describes the LAND in detail where the website does not</t>
  </si>
  <si>
    <t xml:space="preserve">news outlet</t>
  </si>
  <si>
    <t xml:space="preserve">A local or national outlet's page about the community</t>
  </si>
  <si>
    <t xml:space="preserve">S6. Dated, independent, frequently uncritical</t>
  </si>
  <si>
    <t xml:space="preserve">other</t>
  </si>
  <si>
    <t xml:space="preserve">Anything else</t>
  </si>
  <si>
    <t xml:space="preserve">Say what it is in notes</t>
  </si>
  <si>
    <t xml:space="preserve">Crawl status — O11_Source_Set</t>
  </si>
  <si>
    <t xml:space="preserve">Opened and worked through to the depth the protocol asks for</t>
  </si>
  <si>
    <t xml:space="preserve">partial</t>
  </si>
  <si>
    <t xml:space="preserve">Opened, but the enumeration was cut short</t>
  </si>
  <si>
    <t xml:space="preserve">Say why in notes and set crawl_truncated = yes in O1</t>
  </si>
  <si>
    <t xml:space="preserve">blocked</t>
  </si>
  <si>
    <t xml:space="preserve">Requires an account, or refused automated reading</t>
  </si>
  <si>
    <t xml:space="preserve">A REPORTED block is data. A guess about its content is fabrication</t>
  </si>
  <si>
    <t xml:space="preserve">dead link</t>
  </si>
  <si>
    <t xml:space="preserve">The address no longer resolves</t>
  </si>
  <si>
    <t xml:space="preserve">Go to the Wayback Machine — a dead domain is often the richest one</t>
  </si>
  <si>
    <t xml:space="preserve">not attempted</t>
  </si>
  <si>
    <t xml:space="preserve">Not reached in this run</t>
  </si>
  <si>
    <t xml:space="preserve">Every address must end at something other than this before the community is closed</t>
  </si>
  <si>
    <t xml:space="preserve">Independence group — O6 and O11</t>
  </si>
  <si>
    <t xml:space="preserve">What it is</t>
  </si>
  <si>
    <t xml:space="preserve">A short id (G1, G2, G3) shared by every source that derives from the same underlying statement</t>
  </si>
  <si>
    <t xml:space="preserve">Assign it as you read, not afterwards</t>
  </si>
  <si>
    <t xml:space="preserve">The test</t>
  </si>
  <si>
    <t xml:space="preserve">Could this source be wrong in the same way as that one, for the same reason?</t>
  </si>
  <si>
    <t xml:space="preserve">If yes, same group</t>
  </si>
  <si>
    <t xml:space="preserve">Same group</t>
  </si>
  <si>
    <t xml:space="preserve">A website, its own Facebook page, and a directory listing copied from it</t>
  </si>
  <si>
    <t xml:space="preserve">One voice, however many URLs</t>
  </si>
  <si>
    <t xml:space="preserve">Different groups</t>
  </si>
  <si>
    <t xml:space="preserve">The community's own account; a thesis; a grant record; a newspaper</t>
  </si>
  <si>
    <t xml:space="preserve">These can contradict each other, which is what makes agreement worth something</t>
  </si>
  <si>
    <t xml:space="preserve">What it changes</t>
  </si>
  <si>
    <t xml:space="preserve">channel_count in Block D, and the 'three independent sources' target</t>
  </si>
  <si>
    <t xml:space="preserve">Both count GROUPS, never URLs</t>
  </si>
  <si>
    <t xml:space="preserve">What NOT to search for — these come from Google Earth Engine</t>
  </si>
  <si>
    <t xml:space="preserve">VM1-VM14, PM1-PM3, FC1-FC4, CA</t>
  </si>
  <si>
    <t xml:space="preserve">All vegetation, provisioning, flag and contour metrics</t>
  </si>
  <si>
    <t xml:space="preserve">Sentinel-2 and SRTM, computed in the pipeline</t>
  </si>
  <si>
    <t xml:space="preserve">VCI, VCI-P/S/T/C, PCI, MDS, LCC</t>
  </si>
  <si>
    <t xml:space="preserve">The index and its components</t>
  </si>
  <si>
    <t xml:space="preserve">Derived from the above</t>
  </si>
  <si>
    <t xml:space="preserve">built_fraction, tree_cover_pct</t>
  </si>
  <si>
    <t xml:space="preserve">Land-cover fractions</t>
  </si>
  <si>
    <t xml:space="preserve">Dynamic World</t>
  </si>
  <si>
    <t xml:space="preserve">elevation_m, slope_deg, terrain class</t>
  </si>
  <si>
    <t xml:space="preserve">Terrain</t>
  </si>
  <si>
    <t xml:space="preserve">SRTM</t>
  </si>
  <si>
    <t xml:space="preserve">water_dist_m</t>
  </si>
  <si>
    <t xml:space="preserve">Distance to permanent water</t>
  </si>
  <si>
    <t xml:space="preserve">Global Surface Water — a matching criterion, but satellite-derived</t>
  </si>
  <si>
    <t xml:space="preserve">koppen_group, biome</t>
  </si>
  <si>
    <t xml:space="preserve">Stratifiers</t>
  </si>
  <si>
    <t xml:space="preserve">Beck et al. / RESOLVE</t>
  </si>
  <si>
    <t xml:space="preserve">rainfall, driest month, drought year</t>
  </si>
  <si>
    <t xml:space="preserve">Climate</t>
  </si>
  <si>
    <t xml:space="preserve">CHIRPS</t>
  </si>
  <si>
    <t xml:space="preserve">n_clear</t>
  </si>
  <si>
    <t xml:space="preserve">Clear-observation count</t>
  </si>
  <si>
    <t xml:space="preserve">Extraction output</t>
  </si>
  <si>
    <t xml:space="preserve">control_distance_km</t>
  </si>
  <si>
    <t xml:space="preserve">How far each control sits from its settlement</t>
  </si>
  <si>
    <t xml:space="preserve">A Stage 2 MATCHING output (plan v3.8 ladder), not documentary coding</t>
  </si>
  <si>
    <t xml:space="preserve">The area of the drawn outline</t>
  </si>
  <si>
    <t xml:space="preserve">YOUR measurement in O10. Never estimated from imagery by a search assistant</t>
  </si>
  <si>
    <t xml:space="preserve">SIZE CLASS / REFERENCE CIRCLE</t>
  </si>
  <si>
    <t xml:space="preserve">NEVER derived from Earth Engine</t>
  </si>
  <si>
    <t xml:space="preserve">It would set the measurement zone from the very signal measured inside it — circular, and it breaks blindness</t>
  </si>
</sst>
</file>

<file path=xl/styles.xml><?xml version="1.0" encoding="utf-8"?>
<styleSheet xmlns="http://schemas.openxmlformats.org/spreadsheetml/2006/main">
  <numFmts count="3">
    <numFmt numFmtId="164" formatCode="General"/>
    <numFmt numFmtId="165" formatCode="General"/>
    <numFmt numFmtId="166" formatCode="yyyy\-mm\-dd"/>
  </numFmts>
  <fonts count="2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rgb="FF404040"/>
      <name val="Arial"/>
      <family val="0"/>
      <charset val="1"/>
    </font>
    <font>
      <b val="true"/>
      <sz val="9"/>
      <color rgb="FF1F3864"/>
      <name val="Arial"/>
      <family val="0"/>
      <charset val="1"/>
    </font>
    <font>
      <sz val="9"/>
      <name val="Arial"/>
      <family val="0"/>
      <charset val="1"/>
    </font>
    <font>
      <b val="true"/>
      <sz val="10"/>
      <color rgb="FF1F3864"/>
      <name val="Arial"/>
      <family val="0"/>
      <charset val="1"/>
    </font>
    <font>
      <sz val="8"/>
      <color rgb="FF404040"/>
      <name val="Arial"/>
      <family val="0"/>
      <charset val="1"/>
    </font>
    <font>
      <i val="true"/>
      <sz val="10"/>
      <color rgb="FF404040"/>
      <name val="Arial"/>
      <family val="0"/>
      <charset val="1"/>
    </font>
    <font>
      <b val="true"/>
      <sz val="9"/>
      <name val="Arial"/>
      <family val="0"/>
      <charset val="1"/>
    </font>
    <font>
      <b val="true"/>
      <sz val="11"/>
      <color rgb="FF1F3864"/>
      <name val="Arial"/>
      <family val="0"/>
      <charset val="1"/>
    </font>
    <font>
      <i val="true"/>
      <sz val="8"/>
      <color rgb="FF595959"/>
      <name val="Arial"/>
      <family val="0"/>
      <charset val="1"/>
    </font>
    <font>
      <i val="true"/>
      <sz val="9"/>
      <color rgb="FFC0504D"/>
      <name val="Arial"/>
      <family val="0"/>
      <charset val="1"/>
    </font>
    <font>
      <b val="true"/>
      <sz val="9"/>
      <color rgb="FFFFFFFF"/>
      <name val="Arial"/>
      <family val="0"/>
      <charset val="1"/>
    </font>
    <font>
      <i val="true"/>
      <sz val="8"/>
      <color rgb="FF808080"/>
      <name val="Arial"/>
      <family val="0"/>
      <charset val="1"/>
    </font>
    <font>
      <i val="true"/>
      <sz val="9"/>
      <color rgb="FF808080"/>
      <name val="Arial"/>
      <family val="0"/>
      <charset val="1"/>
    </font>
    <font>
      <b val="true"/>
      <sz val="10"/>
      <name val="Arial"/>
      <family val="0"/>
      <charset val="1"/>
    </font>
    <font>
      <i val="true"/>
      <sz val="8"/>
      <color rgb="FFC0504D"/>
      <name val="Arial"/>
      <family val="0"/>
      <charset val="1"/>
    </font>
    <font>
      <b val="true"/>
      <sz val="10"/>
      <color rgb="FF2E5496"/>
      <name val="Arial"/>
      <family val="0"/>
      <charset val="1"/>
    </font>
  </fonts>
  <fills count="5">
    <fill>
      <patternFill patternType="none"/>
    </fill>
    <fill>
      <patternFill patternType="gray125"/>
    </fill>
    <fill>
      <patternFill patternType="solid">
        <fgColor rgb="FFFFF2CC"/>
        <bgColor rgb="FFE8E8E8"/>
      </patternFill>
    </fill>
    <fill>
      <patternFill patternType="solid">
        <fgColor rgb="FF1F3864"/>
        <bgColor rgb="FF404040"/>
      </patternFill>
    </fill>
    <fill>
      <patternFill patternType="solid">
        <fgColor rgb="FFE8E8E8"/>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5" fontId="12" fillId="2"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15" fillId="3" borderId="1" xfId="0" applyFont="true" applyBorder="true" applyAlignment="true" applyProtection="true">
      <alignment horizontal="general" vertical="top" textRotation="0" wrapText="true" indent="0" shrinkToFit="false"/>
      <protection locked="true" hidden="false"/>
    </xf>
    <xf numFmtId="164" fontId="15" fillId="3" borderId="2"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top"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6" fontId="18" fillId="2"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top" textRotation="0" wrapText="tru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FF2CC"/>
      <rgbColor rgb="FFE8E8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4"/>
    <col collapsed="false" customWidth="true" hidden="false" outlineLevel="0" max="3" min="3" style="1" width="16"/>
  </cols>
  <sheetData>
    <row r="1" customFormat="false" ht="17.35" hidden="false" customHeight="false" outlineLevel="0" collapsed="false">
      <c r="A1" s="2" t="s">
        <v>0</v>
      </c>
    </row>
    <row r="2" customFormat="false" ht="15" hidden="false" customHeight="false" outlineLevel="0" collapsed="false">
      <c r="A2" s="3" t="s">
        <v>1</v>
      </c>
    </row>
    <row r="5" customFormat="false" ht="32.8" hidden="false" customHeight="false" outlineLevel="0" collapsed="false">
      <c r="A5" s="4" t="s">
        <v>2</v>
      </c>
      <c r="B5" s="5" t="s">
        <v>3</v>
      </c>
    </row>
    <row r="6" customFormat="false" ht="22.35" hidden="false" customHeight="false" outlineLevel="0" collapsed="false">
      <c r="A6" s="4" t="s">
        <v>4</v>
      </c>
      <c r="B6" s="5" t="s">
        <v>5</v>
      </c>
    </row>
    <row r="7" customFormat="false" ht="22.35" hidden="false" customHeight="false" outlineLevel="0" collapsed="false">
      <c r="A7" s="4" t="s">
        <v>6</v>
      </c>
      <c r="B7" s="5" t="s">
        <v>7</v>
      </c>
    </row>
    <row r="9" customFormat="false" ht="15" hidden="false" customHeight="false" outlineLevel="0" collapsed="false">
      <c r="A9" s="6" t="s">
        <v>8</v>
      </c>
    </row>
    <row r="10" customFormat="false" ht="32.8" hidden="false" customHeight="false" outlineLevel="0" collapsed="false">
      <c r="A10" s="4" t="s">
        <v>9</v>
      </c>
      <c r="B10" s="5" t="s">
        <v>10</v>
      </c>
    </row>
    <row r="11" customFormat="false" ht="32.8" hidden="false" customHeight="false" outlineLevel="0" collapsed="false">
      <c r="A11" s="4" t="s">
        <v>11</v>
      </c>
      <c r="B11" s="5" t="s">
        <v>12</v>
      </c>
    </row>
    <row r="12" customFormat="false" ht="32.8" hidden="false" customHeight="false" outlineLevel="0" collapsed="false">
      <c r="A12" s="4" t="s">
        <v>13</v>
      </c>
      <c r="B12" s="5" t="s">
        <v>14</v>
      </c>
    </row>
    <row r="13" customFormat="false" ht="32.8" hidden="false" customHeight="false" outlineLevel="0" collapsed="false">
      <c r="A13" s="4" t="s">
        <v>15</v>
      </c>
      <c r="B13" s="5" t="s">
        <v>16</v>
      </c>
    </row>
    <row r="14" customFormat="false" ht="32.8" hidden="false" customHeight="false" outlineLevel="0" collapsed="false">
      <c r="A14" s="4" t="s">
        <v>17</v>
      </c>
      <c r="B14" s="5" t="s">
        <v>18</v>
      </c>
    </row>
    <row r="15" customFormat="false" ht="32.8" hidden="false" customHeight="false" outlineLevel="0" collapsed="false">
      <c r="A15" s="4" t="s">
        <v>19</v>
      </c>
      <c r="B15" s="5" t="s">
        <v>20</v>
      </c>
    </row>
    <row r="16" customFormat="false" ht="22.35" hidden="false" customHeight="false" outlineLevel="0" collapsed="false">
      <c r="A16" s="4" t="s">
        <v>21</v>
      </c>
      <c r="B16" s="5" t="s">
        <v>22</v>
      </c>
    </row>
    <row r="17" customFormat="false" ht="22.35" hidden="false" customHeight="false" outlineLevel="0" collapsed="false">
      <c r="A17" s="4" t="s">
        <v>23</v>
      </c>
      <c r="B17" s="5" t="s">
        <v>24</v>
      </c>
    </row>
    <row r="18" customFormat="false" ht="22.35" hidden="false" customHeight="false" outlineLevel="0" collapsed="false">
      <c r="A18" s="4" t="s">
        <v>25</v>
      </c>
      <c r="B18" s="5" t="s">
        <v>26</v>
      </c>
    </row>
    <row r="20" customFormat="false" ht="15" hidden="false" customHeight="false" outlineLevel="0" collapsed="false">
      <c r="A20" s="6" t="s">
        <v>27</v>
      </c>
    </row>
    <row r="21" customFormat="false" ht="15" hidden="false" customHeight="false" outlineLevel="0" collapsed="false">
      <c r="A21" s="4" t="s">
        <v>28</v>
      </c>
      <c r="B21" s="5" t="s">
        <v>29</v>
      </c>
    </row>
    <row r="22" customFormat="false" ht="22.35" hidden="false" customHeight="false" outlineLevel="0" collapsed="false">
      <c r="A22" s="4" t="s">
        <v>30</v>
      </c>
      <c r="B22" s="5" t="s">
        <v>31</v>
      </c>
    </row>
    <row r="23" customFormat="false" ht="15" hidden="false" customHeight="false" outlineLevel="0" collapsed="false">
      <c r="A23" s="4" t="s">
        <v>32</v>
      </c>
      <c r="B23" s="5" t="s">
        <v>33</v>
      </c>
    </row>
    <row r="24" customFormat="false" ht="15" hidden="false" customHeight="false" outlineLevel="0" collapsed="false">
      <c r="A24" s="4" t="s">
        <v>34</v>
      </c>
      <c r="B24" s="5" t="s">
        <v>35</v>
      </c>
    </row>
    <row r="25" customFormat="false" ht="22.35" hidden="false" customHeight="false" outlineLevel="0" collapsed="false">
      <c r="A25" s="4" t="s">
        <v>36</v>
      </c>
      <c r="B25" s="5" t="s">
        <v>37</v>
      </c>
    </row>
    <row r="26" customFormat="false" ht="22.35" hidden="false" customHeight="false" outlineLevel="0" collapsed="false">
      <c r="A26" s="4" t="s">
        <v>38</v>
      </c>
      <c r="B26" s="5" t="s">
        <v>39</v>
      </c>
    </row>
    <row r="27" customFormat="false" ht="15" hidden="false" customHeight="false" outlineLevel="0" collapsed="false">
      <c r="A27" s="4" t="s">
        <v>40</v>
      </c>
      <c r="B27" s="5" t="s">
        <v>41</v>
      </c>
    </row>
    <row r="29" customFormat="false" ht="15" hidden="false" customHeight="false" outlineLevel="0" collapsed="false">
      <c r="A29" s="6" t="s">
        <v>42</v>
      </c>
    </row>
    <row r="30" customFormat="false" ht="22.35" hidden="false" customHeight="false" outlineLevel="0" collapsed="false">
      <c r="A30" s="4" t="s">
        <v>43</v>
      </c>
      <c r="B30" s="5" t="s">
        <v>44</v>
      </c>
    </row>
    <row r="31" customFormat="false" ht="15" hidden="false" customHeight="false" outlineLevel="0" collapsed="false">
      <c r="A31" s="4" t="s">
        <v>45</v>
      </c>
      <c r="B31" s="5" t="s">
        <v>46</v>
      </c>
    </row>
    <row r="32" customFormat="false" ht="22.35" hidden="false" customHeight="false" outlineLevel="0" collapsed="false">
      <c r="A32" s="4" t="s">
        <v>47</v>
      </c>
      <c r="B32" s="5" t="s">
        <v>48</v>
      </c>
    </row>
    <row r="33" customFormat="false" ht="22.35" hidden="false" customHeight="false" outlineLevel="0" collapsed="false">
      <c r="A33" s="4" t="s">
        <v>49</v>
      </c>
      <c r="B33" s="5" t="s">
        <v>50</v>
      </c>
    </row>
    <row r="34" customFormat="false" ht="15" hidden="false" customHeight="false" outlineLevel="0" collapsed="false">
      <c r="A34" s="4" t="s">
        <v>51</v>
      </c>
      <c r="B34" s="5" t="s">
        <v>52</v>
      </c>
    </row>
    <row r="35" customFormat="false" ht="15" hidden="false" customHeight="false" outlineLevel="0" collapsed="false">
      <c r="A35" s="4" t="s">
        <v>53</v>
      </c>
      <c r="B35" s="5" t="s">
        <v>54</v>
      </c>
    </row>
    <row r="37" customFormat="false" ht="15" hidden="false" customHeight="false" outlineLevel="0" collapsed="false">
      <c r="A37" s="6" t="s">
        <v>55</v>
      </c>
    </row>
    <row r="38" customFormat="false" ht="22.35" hidden="false" customHeight="false" outlineLevel="0" collapsed="false">
      <c r="A38" s="4" t="s">
        <v>56</v>
      </c>
      <c r="B38" s="5" t="s">
        <v>57</v>
      </c>
    </row>
    <row r="39" customFormat="false" ht="22.35" hidden="false" customHeight="false" outlineLevel="0" collapsed="false">
      <c r="A39" s="4" t="s">
        <v>58</v>
      </c>
      <c r="B39" s="5" t="s">
        <v>59</v>
      </c>
    </row>
    <row r="40" customFormat="false" ht="22.35" hidden="false" customHeight="false" outlineLevel="0" collapsed="false">
      <c r="A40" s="4" t="s">
        <v>60</v>
      </c>
      <c r="B40" s="5" t="s">
        <v>61</v>
      </c>
    </row>
    <row r="41" customFormat="false" ht="15" hidden="false" customHeight="false" outlineLevel="0" collapsed="false">
      <c r="A41" s="4" t="s">
        <v>62</v>
      </c>
      <c r="B41" s="5" t="s">
        <v>63</v>
      </c>
    </row>
    <row r="42" customFormat="false" ht="22.35" hidden="false" customHeight="false" outlineLevel="0" collapsed="false">
      <c r="A42" s="4" t="s">
        <v>64</v>
      </c>
      <c r="B42" s="5" t="s">
        <v>65</v>
      </c>
    </row>
    <row r="43" customFormat="false" ht="32.8" hidden="false" customHeight="false" outlineLevel="0" collapsed="false">
      <c r="A43" s="4" t="s">
        <v>66</v>
      </c>
      <c r="B43" s="5" t="s">
        <v>67</v>
      </c>
    </row>
    <row r="44" customFormat="false" ht="22.35" hidden="false" customHeight="false" outlineLevel="0" collapsed="false">
      <c r="A44" s="4" t="s">
        <v>68</v>
      </c>
      <c r="B44" s="5" t="s">
        <v>69</v>
      </c>
    </row>
    <row r="45" customFormat="false" ht="22.35" hidden="false" customHeight="false" outlineLevel="0" collapsed="false">
      <c r="A45" s="4" t="s">
        <v>70</v>
      </c>
      <c r="B45" s="5" t="s">
        <v>71</v>
      </c>
    </row>
    <row r="47" customFormat="false" ht="15" hidden="false" customHeight="false" outlineLevel="0" collapsed="false">
      <c r="A47" s="6" t="s">
        <v>72</v>
      </c>
    </row>
    <row r="48" customFormat="false" ht="15" hidden="false" customHeight="false" outlineLevel="0" collapsed="false">
      <c r="A48" s="7" t="s">
        <v>73</v>
      </c>
      <c r="B48" s="7" t="s">
        <v>74</v>
      </c>
      <c r="C48" s="7" t="s">
        <v>75</v>
      </c>
    </row>
    <row r="49" customFormat="false" ht="15" hidden="false" customHeight="false" outlineLevel="0" collapsed="false">
      <c r="A49" s="8" t="s">
        <v>76</v>
      </c>
      <c r="B49" s="8" t="s">
        <v>77</v>
      </c>
      <c r="C49" s="8" t="n">
        <f aca="false">COUNTA(O1_Community_Attributes!A2:A500)-1</f>
        <v>0</v>
      </c>
    </row>
    <row r="50" customFormat="false" ht="15" hidden="false" customHeight="false" outlineLevel="0" collapsed="false">
      <c r="A50" s="8" t="s">
        <v>78</v>
      </c>
      <c r="B50" s="8" t="s">
        <v>77</v>
      </c>
      <c r="C50" s="8" t="n">
        <f aca="false">COUNTA(O2_Practice_Matrix!A2:A500)-1</f>
        <v>0</v>
      </c>
    </row>
    <row r="51" customFormat="false" ht="15" hidden="false" customHeight="false" outlineLevel="0" collapsed="false">
      <c r="A51" s="8" t="s">
        <v>79</v>
      </c>
      <c r="B51" s="8" t="s">
        <v>77</v>
      </c>
      <c r="C51" s="8" t="n">
        <f aca="false">COUNTA(O3_Onset_Register!A2:A500)-1</f>
        <v>0</v>
      </c>
    </row>
    <row r="52" customFormat="false" ht="15" hidden="false" customHeight="false" outlineLevel="0" collapsed="false">
      <c r="A52" s="8" t="s">
        <v>80</v>
      </c>
      <c r="B52" s="8" t="s">
        <v>77</v>
      </c>
      <c r="C52" s="8" t="n">
        <f aca="false">COUNTA(O10_Polygon_And_Area!A2:A500)-1</f>
        <v>0</v>
      </c>
    </row>
    <row r="53" customFormat="false" ht="15" hidden="false" customHeight="false" outlineLevel="0" collapsed="false">
      <c r="A53" s="8" t="s">
        <v>81</v>
      </c>
      <c r="B53" s="8" t="s">
        <v>82</v>
      </c>
      <c r="C53" s="8" t="n">
        <f aca="false">COUNTA(O11_Source_Set!A2:A500)-1</f>
        <v>0</v>
      </c>
    </row>
    <row r="54" customFormat="false" ht="15" hidden="false" customHeight="false" outlineLevel="0" collapsed="false">
      <c r="A54" s="8" t="s">
        <v>83</v>
      </c>
      <c r="B54" s="8" t="s">
        <v>82</v>
      </c>
      <c r="C54" s="8" t="n">
        <f aca="false">COUNTA(O2b_Practice_Evidence!A2:A500)-1</f>
        <v>0</v>
      </c>
    </row>
    <row r="55" customFormat="false" ht="15" hidden="false" customHeight="false" outlineLevel="0" collapsed="false">
      <c r="A55" s="8" t="s">
        <v>84</v>
      </c>
      <c r="B55" s="8" t="s">
        <v>82</v>
      </c>
      <c r="C55" s="8" t="n">
        <f aca="false">COUNTA(O6_Source_Index!A2:A500)-1</f>
        <v>0</v>
      </c>
    </row>
    <row r="56" customFormat="false" ht="15" hidden="false" customHeight="false" outlineLevel="0" collapsed="false">
      <c r="A56" s="8" t="s">
        <v>85</v>
      </c>
      <c r="B56" s="8" t="s">
        <v>82</v>
      </c>
      <c r="C56" s="8" t="n">
        <f aca="false">COUNTA(O7_Search_Log!A2:A500)-1</f>
        <v>0</v>
      </c>
    </row>
    <row r="57" customFormat="false" ht="15" hidden="false" customHeight="false" outlineLevel="0" collapsed="false">
      <c r="A57" s="8" t="s">
        <v>86</v>
      </c>
      <c r="B57" s="8" t="s">
        <v>82</v>
      </c>
      <c r="C57" s="8" t="n">
        <f aca="false">COUNTA(O5_Disagreement_Log!A2:A500)-1</f>
        <v>0</v>
      </c>
    </row>
    <row r="59" customFormat="false" ht="15" hidden="false" customHeight="false" outlineLevel="0" collapsed="false">
      <c r="B59" s="9"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8"/>
    <col collapsed="false" customWidth="true" hidden="false" outlineLevel="0" max="4" min="4" style="1" width="60"/>
  </cols>
  <sheetData>
    <row r="1" customFormat="false" ht="17.25" hidden="false" customHeight="true" outlineLevel="0" collapsed="false">
      <c r="A1" s="2" t="s">
        <v>88</v>
      </c>
    </row>
    <row r="2" customFormat="false" ht="15" hidden="false" customHeight="true" outlineLevel="0" collapsed="false">
      <c r="A2" s="10" t="s">
        <v>89</v>
      </c>
    </row>
    <row r="4" customFormat="false" ht="15" hidden="false" customHeight="true" outlineLevel="0" collapsed="false">
      <c r="A4" s="11" t="s">
        <v>90</v>
      </c>
      <c r="B4" s="12" t="n">
        <f aca="false">COUNTA(O1_Community_Attributes!A3:A500)</f>
        <v>0</v>
      </c>
      <c r="D4" s="13" t="s">
        <v>91</v>
      </c>
    </row>
    <row r="5" customFormat="false" ht="15" hidden="false" customHeight="true" outlineLevel="0" collapsed="false">
      <c r="A5" s="11" t="s">
        <v>92</v>
      </c>
      <c r="B5" s="12" t="n">
        <f aca="false">COUNTIF(O3_Onset_Register!Q3:Q500,"core (2020-2021)")</f>
        <v>0</v>
      </c>
      <c r="D5" s="13" t="s">
        <v>93</v>
      </c>
    </row>
    <row r="6" customFormat="false" ht="15" hidden="false" customHeight="true" outlineLevel="0" collapsed="false">
      <c r="A6" s="11" t="s">
        <v>94</v>
      </c>
      <c r="B6" s="12" t="n">
        <f aca="false">COUNTIFS(O3_Onset_Register!Q3:Q500,"core (2020-2021)",O3_Onset_Register!O3:O500,"A")+COUNTIFS(O3_Onset_Register!Q3:Q500,"core (2020-2021)",O3_Onset_Register!O3:O500,"B")</f>
        <v>0</v>
      </c>
      <c r="D6" s="13" t="s">
        <v>95</v>
      </c>
    </row>
    <row r="7" customFormat="false" ht="15" hidden="false" customHeight="true" outlineLevel="0" collapsed="false">
      <c r="A7" s="11" t="s">
        <v>96</v>
      </c>
      <c r="B7" s="12" t="n">
        <f aca="false">COUNTIF(O3_Onset_Register!Q3:Q500,"extension (2019)")</f>
        <v>0</v>
      </c>
      <c r="D7" s="13" t="s">
        <v>97</v>
      </c>
    </row>
    <row r="8" customFormat="false" ht="15" hidden="false" customHeight="true" outlineLevel="0" collapsed="false">
      <c r="A8" s="11" t="s">
        <v>98</v>
      </c>
      <c r="B8" s="12" t="n">
        <f aca="false">COUNTIF(O3_Onset_Register!Q3:Q500,"uncertain")</f>
        <v>0</v>
      </c>
      <c r="D8" s="13" t="s">
        <v>99</v>
      </c>
    </row>
    <row r="9" customFormat="false" ht="15" hidden="false" customHeight="true" outlineLevel="0" collapsed="false">
      <c r="A9" s="8"/>
      <c r="D9" s="13"/>
    </row>
    <row r="10" customFormat="false" ht="15" hidden="false" customHeight="true" outlineLevel="0" collapsed="false">
      <c r="A10" s="11" t="s">
        <v>100</v>
      </c>
      <c r="B10" s="12" t="str">
        <f aca="false">IF(COUNTA(O1_Community_Attributes!A3:A500)&lt;100,"KEEP CODING — decide at community 100",IF(B6&gt;=50,"PROCEED — the component is worth its 4-6 weeks",IF(B6&gt;=40,"PROCEED BUT REPORT AS EXPLORATORY","DROP THE COMPONENT")))</f>
        <v>KEEP CODING — decide at community 100</v>
      </c>
      <c r="D10" s="13" t="s">
        <v>101</v>
      </c>
    </row>
    <row r="12" customFormat="false" ht="74.25" hidden="false" customHeight="true" outlineLevel="0" collapsed="false">
      <c r="A12" s="14"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4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3" min="3" style="1" width="22"/>
    <col collapsed="false" customWidth="true" hidden="false" outlineLevel="0" max="4" min="4" style="1" width="12"/>
    <col collapsed="false" customWidth="true" hidden="false" outlineLevel="0" max="5" min="5" style="1" width="14"/>
    <col collapsed="false" customWidth="true" hidden="false" outlineLevel="0" max="7" min="6" style="1" width="10"/>
    <col collapsed="false" customWidth="true" hidden="false" outlineLevel="0" max="8" min="8" style="1" width="16"/>
    <col collapsed="false" customWidth="true" hidden="false" outlineLevel="0" max="9" min="9" style="1" width="24"/>
    <col collapsed="false" customWidth="true" hidden="false" outlineLevel="0" max="10" min="10" style="1" width="20"/>
    <col collapsed="false" customWidth="true" hidden="false" outlineLevel="0" max="11" min="11" style="1" width="30"/>
    <col collapsed="false" customWidth="true" hidden="false" outlineLevel="0" max="12" min="12" style="1" width="22"/>
    <col collapsed="false" customWidth="true" hidden="false" outlineLevel="0" max="13" min="13" style="1" width="26"/>
    <col collapsed="false" customWidth="true" hidden="false" outlineLevel="0" max="14" min="14" style="1" width="12"/>
    <col collapsed="false" customWidth="true" hidden="false" outlineLevel="0" max="16" min="15" style="1" width="13"/>
    <col collapsed="false" customWidth="true" hidden="false" outlineLevel="0" max="19" min="17" style="1" width="12"/>
    <col collapsed="false" customWidth="true" hidden="false" outlineLevel="0" max="20" min="20" style="1" width="14"/>
    <col collapsed="false" customWidth="true" hidden="false" outlineLevel="0" max="21" min="21" style="1" width="13"/>
    <col collapsed="false" customWidth="true" hidden="false" outlineLevel="0" max="24" min="22" style="1" width="12"/>
    <col collapsed="false" customWidth="true" hidden="false" outlineLevel="0" max="26" min="25" style="1" width="15"/>
    <col collapsed="false" customWidth="true" hidden="false" outlineLevel="0" max="27" min="27" style="1" width="12"/>
    <col collapsed="false" customWidth="true" hidden="false" outlineLevel="0" max="28" min="28" style="1" width="15"/>
    <col collapsed="false" customWidth="true" hidden="false" outlineLevel="0" max="29" min="29" style="1" width="18"/>
    <col collapsed="false" customWidth="true" hidden="false" outlineLevel="0" max="30" min="30" style="1" width="14"/>
    <col collapsed="false" customWidth="true" hidden="false" outlineLevel="0" max="31" min="31" style="1" width="24"/>
    <col collapsed="false" customWidth="true" hidden="false" outlineLevel="0" max="36" min="32" style="1" width="11"/>
    <col collapsed="false" customWidth="true" hidden="false" outlineLevel="0" max="38" min="37" style="1" width="9"/>
    <col collapsed="false" customWidth="true" hidden="false" outlineLevel="0" max="39" min="39" style="1" width="28"/>
    <col collapsed="false" customWidth="true" hidden="false" outlineLevel="0" max="40" min="40" style="1" width="12"/>
    <col collapsed="false" customWidth="true" hidden="false" outlineLevel="0" max="41" min="41" style="1" width="26"/>
    <col collapsed="false" customWidth="true" hidden="false" outlineLevel="0" max="44" min="42" style="1" width="12"/>
    <col collapsed="false" customWidth="true" hidden="false" outlineLevel="0" max="46" min="45" style="1" width="16"/>
    <col collapsed="false" customWidth="true" hidden="false" outlineLevel="0" max="47" min="47" style="1" width="12"/>
    <col collapsed="false" customWidth="true" hidden="false" outlineLevel="0" max="48" min="48" style="1" width="15"/>
    <col collapsed="false" customWidth="true" hidden="false" outlineLevel="0" max="49" min="49" style="1" width="16"/>
    <col collapsed="false" customWidth="true" hidden="false" outlineLevel="0" max="50" min="50" style="1" width="28"/>
    <col collapsed="false" customWidth="true" hidden="false" outlineLevel="0" max="51" min="51" style="1" width="14"/>
    <col collapsed="false" customWidth="true" hidden="false" outlineLevel="0" max="52" min="52" style="1" width="22"/>
    <col collapsed="false" customWidth="true" hidden="false" outlineLevel="0" max="53" min="53" style="1" width="11"/>
    <col collapsed="false" customWidth="true" hidden="false" outlineLevel="0" max="54" min="54" style="1" width="26"/>
    <col collapsed="false" customWidth="true" hidden="false" outlineLevel="0" max="56" min="55" style="1" width="16"/>
    <col collapsed="false" customWidth="true" hidden="false" outlineLevel="0" max="57" min="57" style="1" width="26"/>
    <col collapsed="false" customWidth="true" hidden="false" outlineLevel="0" max="58" min="58" style="1" width="9"/>
    <col collapsed="false" customWidth="true" hidden="false" outlineLevel="0" max="59" min="59" style="1" width="11"/>
    <col collapsed="false" customWidth="true" hidden="false" outlineLevel="0" max="60" min="60" style="1" width="10"/>
    <col collapsed="false" customWidth="true" hidden="false" outlineLevel="0" max="61" min="61" style="1" width="12"/>
    <col collapsed="false" customWidth="true" hidden="false" outlineLevel="0" max="63" min="62" style="1" width="30"/>
    <col collapsed="false" customWidth="true" hidden="false" outlineLevel="0" max="66" min="64" style="1" width="22"/>
  </cols>
  <sheetData>
    <row r="1" customFormat="false" ht="33.75" hidden="false" customHeight="true" outlineLevel="0" collapsed="false">
      <c r="A1" s="15" t="s">
        <v>103</v>
      </c>
      <c r="B1" s="15" t="s">
        <v>104</v>
      </c>
      <c r="C1" s="15" t="s">
        <v>105</v>
      </c>
      <c r="D1" s="15" t="s">
        <v>106</v>
      </c>
      <c r="E1" s="15" t="s">
        <v>107</v>
      </c>
      <c r="F1" s="15" t="s">
        <v>108</v>
      </c>
      <c r="G1" s="15" t="s">
        <v>109</v>
      </c>
      <c r="H1" s="15" t="s">
        <v>110</v>
      </c>
      <c r="I1" s="15" t="s">
        <v>111</v>
      </c>
      <c r="J1" s="15" t="s">
        <v>112</v>
      </c>
      <c r="K1" s="15" t="s">
        <v>113</v>
      </c>
      <c r="L1" s="15" t="s">
        <v>114</v>
      </c>
      <c r="M1" s="15" t="s">
        <v>115</v>
      </c>
      <c r="N1" s="15" t="s">
        <v>116</v>
      </c>
      <c r="O1" s="15" t="s">
        <v>117</v>
      </c>
      <c r="P1" s="15" t="s">
        <v>118</v>
      </c>
      <c r="Q1" s="15" t="s">
        <v>119</v>
      </c>
      <c r="R1" s="15" t="s">
        <v>120</v>
      </c>
      <c r="S1" s="15" t="s">
        <v>121</v>
      </c>
      <c r="T1" s="15" t="s">
        <v>122</v>
      </c>
      <c r="U1" s="15" t="s">
        <v>123</v>
      </c>
      <c r="V1" s="15" t="s">
        <v>124</v>
      </c>
      <c r="W1" s="15" t="s">
        <v>125</v>
      </c>
      <c r="X1" s="15" t="s">
        <v>126</v>
      </c>
      <c r="Y1" s="15" t="s">
        <v>127</v>
      </c>
      <c r="Z1" s="15" t="s">
        <v>128</v>
      </c>
      <c r="AA1" s="15" t="s">
        <v>129</v>
      </c>
      <c r="AB1" s="15" t="s">
        <v>130</v>
      </c>
      <c r="AC1" s="15" t="s">
        <v>131</v>
      </c>
      <c r="AD1" s="15" t="s">
        <v>132</v>
      </c>
      <c r="AE1" s="15" t="s">
        <v>133</v>
      </c>
      <c r="AF1" s="15" t="s">
        <v>134</v>
      </c>
      <c r="AG1" s="15" t="s">
        <v>135</v>
      </c>
      <c r="AH1" s="15" t="s">
        <v>136</v>
      </c>
      <c r="AI1" s="15" t="s">
        <v>137</v>
      </c>
      <c r="AJ1" s="15" t="s">
        <v>138</v>
      </c>
      <c r="AK1" s="15" t="s">
        <v>139</v>
      </c>
      <c r="AL1" s="15" t="s">
        <v>140</v>
      </c>
      <c r="AM1" s="15" t="s">
        <v>141</v>
      </c>
      <c r="AN1" s="15" t="s">
        <v>142</v>
      </c>
      <c r="AO1" s="15" t="s">
        <v>143</v>
      </c>
      <c r="AP1" s="15" t="s">
        <v>144</v>
      </c>
      <c r="AQ1" s="15" t="s">
        <v>145</v>
      </c>
      <c r="AR1" s="15" t="s">
        <v>146</v>
      </c>
      <c r="AS1" s="15" t="s">
        <v>147</v>
      </c>
      <c r="AT1" s="15" t="s">
        <v>148</v>
      </c>
      <c r="AU1" s="15" t="s">
        <v>149</v>
      </c>
      <c r="AV1" s="15" t="s">
        <v>150</v>
      </c>
      <c r="AW1" s="15" t="s">
        <v>151</v>
      </c>
      <c r="AX1" s="15" t="s">
        <v>152</v>
      </c>
      <c r="AY1" s="15" t="s">
        <v>153</v>
      </c>
      <c r="AZ1" s="15" t="s">
        <v>154</v>
      </c>
      <c r="BA1" s="15" t="s">
        <v>155</v>
      </c>
      <c r="BB1" s="15" t="s">
        <v>156</v>
      </c>
      <c r="BC1" s="15" t="s">
        <v>157</v>
      </c>
      <c r="BD1" s="15" t="s">
        <v>158</v>
      </c>
      <c r="BE1" s="15" t="s">
        <v>159</v>
      </c>
      <c r="BF1" s="15" t="s">
        <v>160</v>
      </c>
      <c r="BG1" s="15" t="s">
        <v>161</v>
      </c>
      <c r="BH1" s="15" t="s">
        <v>162</v>
      </c>
      <c r="BI1" s="15" t="s">
        <v>163</v>
      </c>
      <c r="BJ1" s="15" t="s">
        <v>164</v>
      </c>
      <c r="BK1" s="16" t="s">
        <v>165</v>
      </c>
      <c r="BL1" s="16" t="s">
        <v>166</v>
      </c>
      <c r="BM1" s="16" t="s">
        <v>167</v>
      </c>
      <c r="BN1" s="16" t="s">
        <v>168</v>
      </c>
      <c r="BP1" s="17" t="s">
        <v>169</v>
      </c>
    </row>
    <row r="2" customFormat="false" ht="32.25" hidden="false" customHeight="true" outlineLevel="0" collapsed="false">
      <c r="A2" s="18" t="s">
        <v>170</v>
      </c>
      <c r="B2" s="18" t="s">
        <v>171</v>
      </c>
      <c r="C2" s="18" t="s">
        <v>172</v>
      </c>
      <c r="D2" s="18" t="s">
        <v>173</v>
      </c>
      <c r="E2" s="18" t="s">
        <v>174</v>
      </c>
      <c r="F2" s="18" t="n">
        <v>39.7436</v>
      </c>
      <c r="G2" s="18" t="n">
        <v>-8.1245</v>
      </c>
      <c r="H2" s="18" t="s">
        <v>175</v>
      </c>
      <c r="I2" s="18" t="s">
        <v>176</v>
      </c>
      <c r="J2" s="18" t="s">
        <v>177</v>
      </c>
      <c r="K2" s="18" t="s">
        <v>178</v>
      </c>
      <c r="L2" s="18" t="s">
        <v>179</v>
      </c>
      <c r="M2" s="18" t="s">
        <v>180</v>
      </c>
      <c r="N2" s="18" t="n">
        <v>28</v>
      </c>
      <c r="O2" s="18" t="s">
        <v>181</v>
      </c>
      <c r="P2" s="18" t="s">
        <v>182</v>
      </c>
      <c r="Q2" s="18" t="n">
        <v>28</v>
      </c>
      <c r="R2" s="18" t="n">
        <v>20</v>
      </c>
      <c r="S2" s="18" t="n">
        <v>30</v>
      </c>
      <c r="T2" s="18" t="n">
        <v>2023</v>
      </c>
      <c r="U2" s="18" t="n">
        <v>13.4</v>
      </c>
      <c r="V2" s="18" t="n">
        <v>15</v>
      </c>
      <c r="W2" s="18" t="n">
        <v>12</v>
      </c>
      <c r="X2" s="18" t="n">
        <v>18</v>
      </c>
      <c r="Y2" s="18" t="s">
        <v>183</v>
      </c>
      <c r="Z2" s="18" t="s">
        <v>184</v>
      </c>
      <c r="AA2" s="18" t="n">
        <v>200</v>
      </c>
      <c r="AB2" s="18" t="s">
        <v>185</v>
      </c>
      <c r="AC2" s="18" t="s">
        <v>186</v>
      </c>
      <c r="AD2" s="18" t="s">
        <v>187</v>
      </c>
      <c r="AE2" s="18" t="s">
        <v>188</v>
      </c>
      <c r="AF2" s="18" t="s">
        <v>181</v>
      </c>
      <c r="AG2" s="18" t="s">
        <v>181</v>
      </c>
      <c r="AH2" s="18" t="s">
        <v>189</v>
      </c>
      <c r="AI2" s="18" t="s">
        <v>181</v>
      </c>
      <c r="AJ2" s="18" t="s">
        <v>181</v>
      </c>
      <c r="AK2" s="18" t="n">
        <v>4</v>
      </c>
      <c r="AL2" s="18" t="s">
        <v>190</v>
      </c>
      <c r="AM2" s="18" t="s">
        <v>191</v>
      </c>
      <c r="AN2" s="18" t="s">
        <v>192</v>
      </c>
      <c r="AO2" s="18" t="s">
        <v>193</v>
      </c>
      <c r="AP2" s="18" t="n">
        <v>2009</v>
      </c>
      <c r="AQ2" s="18" t="n">
        <v>2025</v>
      </c>
      <c r="AR2" s="18"/>
      <c r="AS2" s="18" t="s">
        <v>194</v>
      </c>
      <c r="AT2" s="18" t="s">
        <v>195</v>
      </c>
      <c r="AU2" s="18" t="n">
        <v>1980</v>
      </c>
      <c r="AV2" s="18" t="s">
        <v>181</v>
      </c>
      <c r="AW2" s="18" t="s">
        <v>196</v>
      </c>
      <c r="AX2" s="18" t="s">
        <v>197</v>
      </c>
      <c r="AY2" s="18" t="s">
        <v>198</v>
      </c>
      <c r="AZ2" s="18" t="s">
        <v>199</v>
      </c>
      <c r="BA2" s="18" t="n">
        <v>31</v>
      </c>
      <c r="BB2" s="18" t="s">
        <v>200</v>
      </c>
      <c r="BC2" s="18" t="s">
        <v>201</v>
      </c>
      <c r="BD2" s="18" t="s">
        <v>202</v>
      </c>
      <c r="BE2" s="18" t="s">
        <v>203</v>
      </c>
      <c r="BF2" s="18" t="s">
        <v>204</v>
      </c>
      <c r="BG2" s="18" t="s">
        <v>205</v>
      </c>
      <c r="BH2" s="18" t="s">
        <v>181</v>
      </c>
      <c r="BI2" s="18"/>
      <c r="BJ2" s="18" t="s">
        <v>206</v>
      </c>
      <c r="BK2" s="19" t="s">
        <v>207</v>
      </c>
      <c r="BL2" s="19" t="n">
        <v>3</v>
      </c>
      <c r="BM2" s="19" t="s">
        <v>208</v>
      </c>
      <c r="BN2" s="19" t="s">
        <v>189</v>
      </c>
    </row>
    <row r="3" customFormat="false" ht="15" hidden="false" customHeight="true" outlineLevel="0" collapsed="false">
      <c r="U3" s="8" t="str">
        <f aca="false">IF($A3="","",IFERROR(IF(INDEX(O10_Polygon_And_Area!$C$1:$C$500,MATCH($A3,O10_Polygon_And_Area!$A$1:$A$500,0))="","",INDEX(O10_Polygon_And_Area!$C$1:$C$500,MATCH($A3,O10_Polygon_And_Area!$A$1:$A$500,0))),""))</f>
        <v/>
      </c>
      <c r="AK3" s="8" t="str">
        <f aca="false">IF(COUNTA(AF3:AJ3)=0,"",COUNTIF(AF3:AJ3,"yes"))</f>
        <v/>
      </c>
    </row>
    <row r="4" customFormat="false" ht="15" hidden="false" customHeight="true" outlineLevel="0" collapsed="false">
      <c r="U4" s="8" t="str">
        <f aca="false">IF($A4="","",IFERROR(IF(INDEX(O10_Polygon_And_Area!$C$1:$C$500,MATCH($A4,O10_Polygon_And_Area!$A$1:$A$500,0))="","",INDEX(O10_Polygon_And_Area!$C$1:$C$500,MATCH($A4,O10_Polygon_And_Area!$A$1:$A$500,0))),""))</f>
        <v/>
      </c>
      <c r="AK4" s="8" t="str">
        <f aca="false">IF(COUNTA(AF4:AJ4)=0,"",COUNTIF(AF4:AJ4,"yes"))</f>
        <v/>
      </c>
    </row>
    <row r="5" customFormat="false" ht="15" hidden="false" customHeight="true" outlineLevel="0" collapsed="false">
      <c r="U5" s="8" t="str">
        <f aca="false">IF($A5="","",IFERROR(IF(INDEX(O10_Polygon_And_Area!$C$1:$C$500,MATCH($A5,O10_Polygon_And_Area!$A$1:$A$500,0))="","",INDEX(O10_Polygon_And_Area!$C$1:$C$500,MATCH($A5,O10_Polygon_And_Area!$A$1:$A$500,0))),""))</f>
        <v/>
      </c>
      <c r="AK5" s="8" t="str">
        <f aca="false">IF(COUNTA(AF5:AJ5)=0,"",COUNTIF(AF5:AJ5,"yes"))</f>
        <v/>
      </c>
    </row>
    <row r="6" customFormat="false" ht="15" hidden="false" customHeight="true" outlineLevel="0" collapsed="false">
      <c r="U6" s="8" t="str">
        <f aca="false">IF($A6="","",IFERROR(IF(INDEX(O10_Polygon_And_Area!$C$1:$C$500,MATCH($A6,O10_Polygon_And_Area!$A$1:$A$500,0))="","",INDEX(O10_Polygon_And_Area!$C$1:$C$500,MATCH($A6,O10_Polygon_And_Area!$A$1:$A$500,0))),""))</f>
        <v/>
      </c>
      <c r="AK6" s="8" t="str">
        <f aca="false">IF(COUNTA(AF6:AJ6)=0,"",COUNTIF(AF6:AJ6,"yes"))</f>
        <v/>
      </c>
    </row>
    <row r="7" customFormat="false" ht="15" hidden="false" customHeight="true" outlineLevel="0" collapsed="false">
      <c r="U7" s="8" t="str">
        <f aca="false">IF($A7="","",IFERROR(IF(INDEX(O10_Polygon_And_Area!$C$1:$C$500,MATCH($A7,O10_Polygon_And_Area!$A$1:$A$500,0))="","",INDEX(O10_Polygon_And_Area!$C$1:$C$500,MATCH($A7,O10_Polygon_And_Area!$A$1:$A$500,0))),""))</f>
        <v/>
      </c>
      <c r="AK7" s="8" t="str">
        <f aca="false">IF(COUNTA(AF7:AJ7)=0,"",COUNTIF(AF7:AJ7,"yes"))</f>
        <v/>
      </c>
    </row>
    <row r="8" customFormat="false" ht="15" hidden="false" customHeight="true" outlineLevel="0" collapsed="false">
      <c r="U8" s="8" t="str">
        <f aca="false">IF($A8="","",IFERROR(IF(INDEX(O10_Polygon_And_Area!$C$1:$C$500,MATCH($A8,O10_Polygon_And_Area!$A$1:$A$500,0))="","",INDEX(O10_Polygon_And_Area!$C$1:$C$500,MATCH($A8,O10_Polygon_And_Area!$A$1:$A$500,0))),""))</f>
        <v/>
      </c>
      <c r="AK8" s="8" t="str">
        <f aca="false">IF(COUNTA(AF8:AJ8)=0,"",COUNTIF(AF8:AJ8,"yes"))</f>
        <v/>
      </c>
    </row>
    <row r="9" customFormat="false" ht="15" hidden="false" customHeight="true" outlineLevel="0" collapsed="false">
      <c r="U9" s="8" t="str">
        <f aca="false">IF($A9="","",IFERROR(IF(INDEX(O10_Polygon_And_Area!$C$1:$C$500,MATCH($A9,O10_Polygon_And_Area!$A$1:$A$500,0))="","",INDEX(O10_Polygon_And_Area!$C$1:$C$500,MATCH($A9,O10_Polygon_And_Area!$A$1:$A$500,0))),""))</f>
        <v/>
      </c>
      <c r="AK9" s="8" t="str">
        <f aca="false">IF(COUNTA(AF9:AJ9)=0,"",COUNTIF(AF9:AJ9,"yes"))</f>
        <v/>
      </c>
    </row>
    <row r="10" customFormat="false" ht="15" hidden="false" customHeight="true" outlineLevel="0" collapsed="false">
      <c r="U10" s="8" t="str">
        <f aca="false">IF($A10="","",IFERROR(IF(INDEX(O10_Polygon_And_Area!$C$1:$C$500,MATCH($A10,O10_Polygon_And_Area!$A$1:$A$500,0))="","",INDEX(O10_Polygon_And_Area!$C$1:$C$500,MATCH($A10,O10_Polygon_And_Area!$A$1:$A$500,0))),""))</f>
        <v/>
      </c>
      <c r="AK10" s="8" t="str">
        <f aca="false">IF(COUNTA(AF10:AJ10)=0,"",COUNTIF(AF10:AJ10,"yes"))</f>
        <v/>
      </c>
    </row>
    <row r="11" customFormat="false" ht="15" hidden="false" customHeight="true" outlineLevel="0" collapsed="false">
      <c r="U11" s="8" t="str">
        <f aca="false">IF($A11="","",IFERROR(IF(INDEX(O10_Polygon_And_Area!$C$1:$C$500,MATCH($A11,O10_Polygon_And_Area!$A$1:$A$500,0))="","",INDEX(O10_Polygon_And_Area!$C$1:$C$500,MATCH($A11,O10_Polygon_And_Area!$A$1:$A$500,0))),""))</f>
        <v/>
      </c>
      <c r="AK11" s="8" t="str">
        <f aca="false">IF(COUNTA(AF11:AJ11)=0,"",COUNTIF(AF11:AJ11,"yes"))</f>
        <v/>
      </c>
    </row>
    <row r="12" customFormat="false" ht="15" hidden="false" customHeight="true" outlineLevel="0" collapsed="false">
      <c r="U12" s="8" t="str">
        <f aca="false">IF($A12="","",IFERROR(IF(INDEX(O10_Polygon_And_Area!$C$1:$C$500,MATCH($A12,O10_Polygon_And_Area!$A$1:$A$500,0))="","",INDEX(O10_Polygon_And_Area!$C$1:$C$500,MATCH($A12,O10_Polygon_And_Area!$A$1:$A$500,0))),""))</f>
        <v/>
      </c>
      <c r="AK12" s="8" t="str">
        <f aca="false">IF(COUNTA(AF12:AJ12)=0,"",COUNTIF(AF12:AJ12,"yes"))</f>
        <v/>
      </c>
    </row>
    <row r="13" customFormat="false" ht="15" hidden="false" customHeight="true" outlineLevel="0" collapsed="false">
      <c r="U13" s="8" t="str">
        <f aca="false">IF($A13="","",IFERROR(IF(INDEX(O10_Polygon_And_Area!$C$1:$C$500,MATCH($A13,O10_Polygon_And_Area!$A$1:$A$500,0))="","",INDEX(O10_Polygon_And_Area!$C$1:$C$500,MATCH($A13,O10_Polygon_And_Area!$A$1:$A$500,0))),""))</f>
        <v/>
      </c>
      <c r="AK13" s="8" t="str">
        <f aca="false">IF(COUNTA(AF13:AJ13)=0,"",COUNTIF(AF13:AJ13,"yes"))</f>
        <v/>
      </c>
    </row>
    <row r="14" customFormat="false" ht="15" hidden="false" customHeight="true" outlineLevel="0" collapsed="false">
      <c r="U14" s="8" t="str">
        <f aca="false">IF($A14="","",IFERROR(IF(INDEX(O10_Polygon_And_Area!$C$1:$C$500,MATCH($A14,O10_Polygon_And_Area!$A$1:$A$500,0))="","",INDEX(O10_Polygon_And_Area!$C$1:$C$500,MATCH($A14,O10_Polygon_And_Area!$A$1:$A$500,0))),""))</f>
        <v/>
      </c>
      <c r="AK14" s="8" t="str">
        <f aca="false">IF(COUNTA(AF14:AJ14)=0,"",COUNTIF(AF14:AJ14,"yes"))</f>
        <v/>
      </c>
    </row>
    <row r="15" customFormat="false" ht="15" hidden="false" customHeight="true" outlineLevel="0" collapsed="false">
      <c r="U15" s="8" t="str">
        <f aca="false">IF($A15="","",IFERROR(IF(INDEX(O10_Polygon_And_Area!$C$1:$C$500,MATCH($A15,O10_Polygon_And_Area!$A$1:$A$500,0))="","",INDEX(O10_Polygon_And_Area!$C$1:$C$500,MATCH($A15,O10_Polygon_And_Area!$A$1:$A$500,0))),""))</f>
        <v/>
      </c>
      <c r="AK15" s="8" t="str">
        <f aca="false">IF(COUNTA(AF15:AJ15)=0,"",COUNTIF(AF15:AJ15,"yes"))</f>
        <v/>
      </c>
    </row>
    <row r="16" customFormat="false" ht="15" hidden="false" customHeight="true" outlineLevel="0" collapsed="false">
      <c r="U16" s="8" t="str">
        <f aca="false">IF($A16="","",IFERROR(IF(INDEX(O10_Polygon_And_Area!$C$1:$C$500,MATCH($A16,O10_Polygon_And_Area!$A$1:$A$500,0))="","",INDEX(O10_Polygon_And_Area!$C$1:$C$500,MATCH($A16,O10_Polygon_And_Area!$A$1:$A$500,0))),""))</f>
        <v/>
      </c>
      <c r="AK16" s="8" t="str">
        <f aca="false">IF(COUNTA(AF16:AJ16)=0,"",COUNTIF(AF16:AJ16,"yes"))</f>
        <v/>
      </c>
    </row>
    <row r="17" customFormat="false" ht="15" hidden="false" customHeight="true" outlineLevel="0" collapsed="false">
      <c r="U17" s="8" t="str">
        <f aca="false">IF($A17="","",IFERROR(IF(INDEX(O10_Polygon_And_Area!$C$1:$C$500,MATCH($A17,O10_Polygon_And_Area!$A$1:$A$500,0))="","",INDEX(O10_Polygon_And_Area!$C$1:$C$500,MATCH($A17,O10_Polygon_And_Area!$A$1:$A$500,0))),""))</f>
        <v/>
      </c>
      <c r="AK17" s="8" t="str">
        <f aca="false">IF(COUNTA(AF17:AJ17)=0,"",COUNTIF(AF17:AJ17,"yes"))</f>
        <v/>
      </c>
    </row>
    <row r="18" customFormat="false" ht="15" hidden="false" customHeight="true" outlineLevel="0" collapsed="false">
      <c r="U18" s="8" t="str">
        <f aca="false">IF($A18="","",IFERROR(IF(INDEX(O10_Polygon_And_Area!$C$1:$C$500,MATCH($A18,O10_Polygon_And_Area!$A$1:$A$500,0))="","",INDEX(O10_Polygon_And_Area!$C$1:$C$500,MATCH($A18,O10_Polygon_And_Area!$A$1:$A$500,0))),""))</f>
        <v/>
      </c>
      <c r="AK18" s="8" t="str">
        <f aca="false">IF(COUNTA(AF18:AJ18)=0,"",COUNTIF(AF18:AJ18,"yes"))</f>
        <v/>
      </c>
    </row>
    <row r="19" customFormat="false" ht="15" hidden="false" customHeight="true" outlineLevel="0" collapsed="false">
      <c r="U19" s="8" t="str">
        <f aca="false">IF($A19="","",IFERROR(IF(INDEX(O10_Polygon_And_Area!$C$1:$C$500,MATCH($A19,O10_Polygon_And_Area!$A$1:$A$500,0))="","",INDEX(O10_Polygon_And_Area!$C$1:$C$500,MATCH($A19,O10_Polygon_And_Area!$A$1:$A$500,0))),""))</f>
        <v/>
      </c>
      <c r="AK19" s="8" t="str">
        <f aca="false">IF(COUNTA(AF19:AJ19)=0,"",COUNTIF(AF19:AJ19,"yes"))</f>
        <v/>
      </c>
    </row>
    <row r="20" customFormat="false" ht="15" hidden="false" customHeight="true" outlineLevel="0" collapsed="false">
      <c r="U20" s="8" t="str">
        <f aca="false">IF($A20="","",IFERROR(IF(INDEX(O10_Polygon_And_Area!$C$1:$C$500,MATCH($A20,O10_Polygon_And_Area!$A$1:$A$500,0))="","",INDEX(O10_Polygon_And_Area!$C$1:$C$500,MATCH($A20,O10_Polygon_And_Area!$A$1:$A$500,0))),""))</f>
        <v/>
      </c>
      <c r="AK20" s="8" t="str">
        <f aca="false">IF(COUNTA(AF20:AJ20)=0,"",COUNTIF(AF20:AJ20,"yes"))</f>
        <v/>
      </c>
    </row>
    <row r="21" customFormat="false" ht="15" hidden="false" customHeight="true" outlineLevel="0" collapsed="false">
      <c r="U21" s="8" t="str">
        <f aca="false">IF($A21="","",IFERROR(IF(INDEX(O10_Polygon_And_Area!$C$1:$C$500,MATCH($A21,O10_Polygon_And_Area!$A$1:$A$500,0))="","",INDEX(O10_Polygon_And_Area!$C$1:$C$500,MATCH($A21,O10_Polygon_And_Area!$A$1:$A$500,0))),""))</f>
        <v/>
      </c>
      <c r="AK21" s="8" t="str">
        <f aca="false">IF(COUNTA(AF21:AJ21)=0,"",COUNTIF(AF21:AJ21,"yes"))</f>
        <v/>
      </c>
    </row>
    <row r="22" customFormat="false" ht="15" hidden="false" customHeight="true" outlineLevel="0" collapsed="false">
      <c r="U22" s="8" t="str">
        <f aca="false">IF($A22="","",IFERROR(IF(INDEX(O10_Polygon_And_Area!$C$1:$C$500,MATCH($A22,O10_Polygon_And_Area!$A$1:$A$500,0))="","",INDEX(O10_Polygon_And_Area!$C$1:$C$500,MATCH($A22,O10_Polygon_And_Area!$A$1:$A$500,0))),""))</f>
        <v/>
      </c>
      <c r="AK22" s="8" t="str">
        <f aca="false">IF(COUNTA(AF22:AJ22)=0,"",COUNTIF(AF22:AJ22,"yes"))</f>
        <v/>
      </c>
    </row>
    <row r="23" customFormat="false" ht="15" hidden="false" customHeight="true" outlineLevel="0" collapsed="false">
      <c r="U23" s="8" t="str">
        <f aca="false">IF($A23="","",IFERROR(IF(INDEX(O10_Polygon_And_Area!$C$1:$C$500,MATCH($A23,O10_Polygon_And_Area!$A$1:$A$500,0))="","",INDEX(O10_Polygon_And_Area!$C$1:$C$500,MATCH($A23,O10_Polygon_And_Area!$A$1:$A$500,0))),""))</f>
        <v/>
      </c>
      <c r="AK23" s="8" t="str">
        <f aca="false">IF(COUNTA(AF23:AJ23)=0,"",COUNTIF(AF23:AJ23,"yes"))</f>
        <v/>
      </c>
    </row>
    <row r="24" customFormat="false" ht="15" hidden="false" customHeight="true" outlineLevel="0" collapsed="false">
      <c r="U24" s="8" t="str">
        <f aca="false">IF($A24="","",IFERROR(IF(INDEX(O10_Polygon_And_Area!$C$1:$C$500,MATCH($A24,O10_Polygon_And_Area!$A$1:$A$500,0))="","",INDEX(O10_Polygon_And_Area!$C$1:$C$500,MATCH($A24,O10_Polygon_And_Area!$A$1:$A$500,0))),""))</f>
        <v/>
      </c>
      <c r="AK24" s="8" t="str">
        <f aca="false">IF(COUNTA(AF24:AJ24)=0,"",COUNTIF(AF24:AJ24,"yes"))</f>
        <v/>
      </c>
    </row>
    <row r="25" customFormat="false" ht="15" hidden="false" customHeight="true" outlineLevel="0" collapsed="false">
      <c r="U25" s="8" t="str">
        <f aca="false">IF($A25="","",IFERROR(IF(INDEX(O10_Polygon_And_Area!$C$1:$C$500,MATCH($A25,O10_Polygon_And_Area!$A$1:$A$500,0))="","",INDEX(O10_Polygon_And_Area!$C$1:$C$500,MATCH($A25,O10_Polygon_And_Area!$A$1:$A$500,0))),""))</f>
        <v/>
      </c>
      <c r="AK25" s="8" t="str">
        <f aca="false">IF(COUNTA(AF25:AJ25)=0,"",COUNTIF(AF25:AJ25,"yes"))</f>
        <v/>
      </c>
    </row>
    <row r="26" customFormat="false" ht="15" hidden="false" customHeight="true" outlineLevel="0" collapsed="false">
      <c r="U26" s="8" t="str">
        <f aca="false">IF($A26="","",IFERROR(IF(INDEX(O10_Polygon_And_Area!$C$1:$C$500,MATCH($A26,O10_Polygon_And_Area!$A$1:$A$500,0))="","",INDEX(O10_Polygon_And_Area!$C$1:$C$500,MATCH($A26,O10_Polygon_And_Area!$A$1:$A$500,0))),""))</f>
        <v/>
      </c>
      <c r="AK26" s="8" t="str">
        <f aca="false">IF(COUNTA(AF26:AJ26)=0,"",COUNTIF(AF26:AJ26,"yes"))</f>
        <v/>
      </c>
    </row>
    <row r="27" customFormat="false" ht="15" hidden="false" customHeight="true" outlineLevel="0" collapsed="false">
      <c r="U27" s="8" t="str">
        <f aca="false">IF($A27="","",IFERROR(IF(INDEX(O10_Polygon_And_Area!$C$1:$C$500,MATCH($A27,O10_Polygon_And_Area!$A$1:$A$500,0))="","",INDEX(O10_Polygon_And_Area!$C$1:$C$500,MATCH($A27,O10_Polygon_And_Area!$A$1:$A$500,0))),""))</f>
        <v/>
      </c>
      <c r="AK27" s="8" t="str">
        <f aca="false">IF(COUNTA(AF27:AJ27)=0,"",COUNTIF(AF27:AJ27,"yes"))</f>
        <v/>
      </c>
    </row>
    <row r="28" customFormat="false" ht="15" hidden="false" customHeight="true" outlineLevel="0" collapsed="false">
      <c r="U28" s="8" t="str">
        <f aca="false">IF($A28="","",IFERROR(IF(INDEX(O10_Polygon_And_Area!$C$1:$C$500,MATCH($A28,O10_Polygon_And_Area!$A$1:$A$500,0))="","",INDEX(O10_Polygon_And_Area!$C$1:$C$500,MATCH($A28,O10_Polygon_And_Area!$A$1:$A$500,0))),""))</f>
        <v/>
      </c>
      <c r="AK28" s="8" t="str">
        <f aca="false">IF(COUNTA(AF28:AJ28)=0,"",COUNTIF(AF28:AJ28,"yes"))</f>
        <v/>
      </c>
    </row>
    <row r="29" customFormat="false" ht="15" hidden="false" customHeight="true" outlineLevel="0" collapsed="false">
      <c r="U29" s="8" t="str">
        <f aca="false">IF($A29="","",IFERROR(IF(INDEX(O10_Polygon_And_Area!$C$1:$C$500,MATCH($A29,O10_Polygon_And_Area!$A$1:$A$500,0))="","",INDEX(O10_Polygon_And_Area!$C$1:$C$500,MATCH($A29,O10_Polygon_And_Area!$A$1:$A$500,0))),""))</f>
        <v/>
      </c>
      <c r="AK29" s="8" t="str">
        <f aca="false">IF(COUNTA(AF29:AJ29)=0,"",COUNTIF(AF29:AJ29,"yes"))</f>
        <v/>
      </c>
    </row>
    <row r="30" customFormat="false" ht="15" hidden="false" customHeight="true" outlineLevel="0" collapsed="false">
      <c r="U30" s="8" t="str">
        <f aca="false">IF($A30="","",IFERROR(IF(INDEX(O10_Polygon_And_Area!$C$1:$C$500,MATCH($A30,O10_Polygon_And_Area!$A$1:$A$500,0))="","",INDEX(O10_Polygon_And_Area!$C$1:$C$500,MATCH($A30,O10_Polygon_And_Area!$A$1:$A$500,0))),""))</f>
        <v/>
      </c>
      <c r="AK30" s="8" t="str">
        <f aca="false">IF(COUNTA(AF30:AJ30)=0,"",COUNTIF(AF30:AJ30,"yes"))</f>
        <v/>
      </c>
    </row>
    <row r="31" customFormat="false" ht="15" hidden="false" customHeight="true" outlineLevel="0" collapsed="false">
      <c r="U31" s="8" t="str">
        <f aca="false">IF($A31="","",IFERROR(IF(INDEX(O10_Polygon_And_Area!$C$1:$C$500,MATCH($A31,O10_Polygon_And_Area!$A$1:$A$500,0))="","",INDEX(O10_Polygon_And_Area!$C$1:$C$500,MATCH($A31,O10_Polygon_And_Area!$A$1:$A$500,0))),""))</f>
        <v/>
      </c>
      <c r="AK31" s="8" t="str">
        <f aca="false">IF(COUNTA(AF31:AJ31)=0,"",COUNTIF(AF31:AJ31,"yes"))</f>
        <v/>
      </c>
    </row>
    <row r="32" customFormat="false" ht="15" hidden="false" customHeight="true" outlineLevel="0" collapsed="false">
      <c r="U32" s="8" t="str">
        <f aca="false">IF($A32="","",IFERROR(IF(INDEX(O10_Polygon_And_Area!$C$1:$C$500,MATCH($A32,O10_Polygon_And_Area!$A$1:$A$500,0))="","",INDEX(O10_Polygon_And_Area!$C$1:$C$500,MATCH($A32,O10_Polygon_And_Area!$A$1:$A$500,0))),""))</f>
        <v/>
      </c>
      <c r="AK32" s="8" t="str">
        <f aca="false">IF(COUNTA(AF32:AJ32)=0,"",COUNTIF(AF32:AJ32,"yes"))</f>
        <v/>
      </c>
    </row>
    <row r="33" customFormat="false" ht="15" hidden="false" customHeight="true" outlineLevel="0" collapsed="false">
      <c r="U33" s="8" t="str">
        <f aca="false">IF($A33="","",IFERROR(IF(INDEX(O10_Polygon_And_Area!$C$1:$C$500,MATCH($A33,O10_Polygon_And_Area!$A$1:$A$500,0))="","",INDEX(O10_Polygon_And_Area!$C$1:$C$500,MATCH($A33,O10_Polygon_And_Area!$A$1:$A$500,0))),""))</f>
        <v/>
      </c>
      <c r="AK33" s="8" t="str">
        <f aca="false">IF(COUNTA(AF33:AJ33)=0,"",COUNTIF(AF33:AJ33,"yes"))</f>
        <v/>
      </c>
    </row>
    <row r="34" customFormat="false" ht="15" hidden="false" customHeight="true" outlineLevel="0" collapsed="false">
      <c r="U34" s="8" t="str">
        <f aca="false">IF($A34="","",IFERROR(IF(INDEX(O10_Polygon_And_Area!$C$1:$C$500,MATCH($A34,O10_Polygon_And_Area!$A$1:$A$500,0))="","",INDEX(O10_Polygon_And_Area!$C$1:$C$500,MATCH($A34,O10_Polygon_And_Area!$A$1:$A$500,0))),""))</f>
        <v/>
      </c>
      <c r="AK34" s="8" t="str">
        <f aca="false">IF(COUNTA(AF34:AJ34)=0,"",COUNTIF(AF34:AJ34,"yes"))</f>
        <v/>
      </c>
    </row>
    <row r="35" customFormat="false" ht="15" hidden="false" customHeight="true" outlineLevel="0" collapsed="false">
      <c r="U35" s="8" t="str">
        <f aca="false">IF($A35="","",IFERROR(IF(INDEX(O10_Polygon_And_Area!$C$1:$C$500,MATCH($A35,O10_Polygon_And_Area!$A$1:$A$500,0))="","",INDEX(O10_Polygon_And_Area!$C$1:$C$500,MATCH($A35,O10_Polygon_And_Area!$A$1:$A$500,0))),""))</f>
        <v/>
      </c>
      <c r="AK35" s="8" t="str">
        <f aca="false">IF(COUNTA(AF35:AJ35)=0,"",COUNTIF(AF35:AJ35,"yes"))</f>
        <v/>
      </c>
    </row>
    <row r="36" customFormat="false" ht="15" hidden="false" customHeight="true" outlineLevel="0" collapsed="false">
      <c r="U36" s="8" t="str">
        <f aca="false">IF($A36="","",IFERROR(IF(INDEX(O10_Polygon_And_Area!$C$1:$C$500,MATCH($A36,O10_Polygon_And_Area!$A$1:$A$500,0))="","",INDEX(O10_Polygon_And_Area!$C$1:$C$500,MATCH($A36,O10_Polygon_And_Area!$A$1:$A$500,0))),""))</f>
        <v/>
      </c>
      <c r="AK36" s="8" t="str">
        <f aca="false">IF(COUNTA(AF36:AJ36)=0,"",COUNTIF(AF36:AJ36,"yes"))</f>
        <v/>
      </c>
    </row>
    <row r="37" customFormat="false" ht="15" hidden="false" customHeight="true" outlineLevel="0" collapsed="false">
      <c r="U37" s="8" t="str">
        <f aca="false">IF($A37="","",IFERROR(IF(INDEX(O10_Polygon_And_Area!$C$1:$C$500,MATCH($A37,O10_Polygon_And_Area!$A$1:$A$500,0))="","",INDEX(O10_Polygon_And_Area!$C$1:$C$500,MATCH($A37,O10_Polygon_And_Area!$A$1:$A$500,0))),""))</f>
        <v/>
      </c>
      <c r="AK37" s="8" t="str">
        <f aca="false">IF(COUNTA(AF37:AJ37)=0,"",COUNTIF(AF37:AJ37,"yes"))</f>
        <v/>
      </c>
    </row>
    <row r="38" customFormat="false" ht="15" hidden="false" customHeight="true" outlineLevel="0" collapsed="false">
      <c r="U38" s="8" t="str">
        <f aca="false">IF($A38="","",IFERROR(IF(INDEX(O10_Polygon_And_Area!$C$1:$C$500,MATCH($A38,O10_Polygon_And_Area!$A$1:$A$500,0))="","",INDEX(O10_Polygon_And_Area!$C$1:$C$500,MATCH($A38,O10_Polygon_And_Area!$A$1:$A$500,0))),""))</f>
        <v/>
      </c>
      <c r="AK38" s="8" t="str">
        <f aca="false">IF(COUNTA(AF38:AJ38)=0,"",COUNTIF(AF38:AJ38,"yes"))</f>
        <v/>
      </c>
    </row>
    <row r="39" customFormat="false" ht="15" hidden="false" customHeight="true" outlineLevel="0" collapsed="false">
      <c r="U39" s="8" t="str">
        <f aca="false">IF($A39="","",IFERROR(IF(INDEX(O10_Polygon_And_Area!$C$1:$C$500,MATCH($A39,O10_Polygon_And_Area!$A$1:$A$500,0))="","",INDEX(O10_Polygon_And_Area!$C$1:$C$500,MATCH($A39,O10_Polygon_And_Area!$A$1:$A$500,0))),""))</f>
        <v/>
      </c>
      <c r="AK39" s="8" t="str">
        <f aca="false">IF(COUNTA(AF39:AJ39)=0,"",COUNTIF(AF39:AJ39,"yes"))</f>
        <v/>
      </c>
    </row>
    <row r="40" customFormat="false" ht="15" hidden="false" customHeight="true" outlineLevel="0" collapsed="false">
      <c r="U40" s="8" t="str">
        <f aca="false">IF($A40="","",IFERROR(IF(INDEX(O10_Polygon_And_Area!$C$1:$C$500,MATCH($A40,O10_Polygon_And_Area!$A$1:$A$500,0))="","",INDEX(O10_Polygon_And_Area!$C$1:$C$500,MATCH($A40,O10_Polygon_And_Area!$A$1:$A$500,0))),""))</f>
        <v/>
      </c>
      <c r="AK40" s="8" t="str">
        <f aca="false">IF(COUNTA(AF40:AJ40)=0,"",COUNTIF(AF40:AJ40,"yes"))</f>
        <v/>
      </c>
    </row>
    <row r="41" customFormat="false" ht="15" hidden="false" customHeight="true" outlineLevel="0" collapsed="false">
      <c r="U41" s="8" t="str">
        <f aca="false">IF($A41="","",IFERROR(IF(INDEX(O10_Polygon_And_Area!$C$1:$C$500,MATCH($A41,O10_Polygon_And_Area!$A$1:$A$500,0))="","",INDEX(O10_Polygon_And_Area!$C$1:$C$500,MATCH($A41,O10_Polygon_And_Area!$A$1:$A$500,0))),""))</f>
        <v/>
      </c>
      <c r="AK41" s="8" t="str">
        <f aca="false">IF(COUNTA(AF41:AJ41)=0,"",COUNTIF(AF41:AJ41,"yes"))</f>
        <v/>
      </c>
    </row>
    <row r="42" customFormat="false" ht="15" hidden="false" customHeight="true" outlineLevel="0" collapsed="false">
      <c r="U42" s="8" t="str">
        <f aca="false">IF($A42="","",IFERROR(IF(INDEX(O10_Polygon_And_Area!$C$1:$C$500,MATCH($A42,O10_Polygon_And_Area!$A$1:$A$500,0))="","",INDEX(O10_Polygon_And_Area!$C$1:$C$500,MATCH($A42,O10_Polygon_And_Area!$A$1:$A$500,0))),""))</f>
        <v/>
      </c>
      <c r="AK42" s="8" t="str">
        <f aca="false">IF(COUNTA(AF42:AJ42)=0,"",COUNTIF(AF42:AJ42,"yes"))</f>
        <v/>
      </c>
    </row>
    <row r="43" customFormat="false" ht="15" hidden="false" customHeight="true" outlineLevel="0" collapsed="false">
      <c r="U43" s="8" t="str">
        <f aca="false">IF($A43="","",IFERROR(IF(INDEX(O10_Polygon_And_Area!$C$1:$C$500,MATCH($A43,O10_Polygon_And_Area!$A$1:$A$500,0))="","",INDEX(O10_Polygon_And_Area!$C$1:$C$500,MATCH($A43,O10_Polygon_And_Area!$A$1:$A$500,0))),""))</f>
        <v/>
      </c>
      <c r="AK43" s="8" t="str">
        <f aca="false">IF(COUNTA(AF43:AJ43)=0,"",COUNTIF(AF43:AJ43,"yes"))</f>
        <v/>
      </c>
    </row>
    <row r="44" customFormat="false" ht="15" hidden="false" customHeight="true" outlineLevel="0" collapsed="false">
      <c r="U44" s="8" t="str">
        <f aca="false">IF($A44="","",IFERROR(IF(INDEX(O10_Polygon_And_Area!$C$1:$C$500,MATCH($A44,O10_Polygon_And_Area!$A$1:$A$500,0))="","",INDEX(O10_Polygon_And_Area!$C$1:$C$500,MATCH($A44,O10_Polygon_And_Area!$A$1:$A$500,0))),""))</f>
        <v/>
      </c>
      <c r="AK44" s="8" t="str">
        <f aca="false">IF(COUNTA(AF44:AJ44)=0,"",COUNTIF(AF44:AJ44,"yes"))</f>
        <v/>
      </c>
    </row>
    <row r="45" customFormat="false" ht="15" hidden="false" customHeight="true" outlineLevel="0" collapsed="false">
      <c r="U45" s="8" t="str">
        <f aca="false">IF($A45="","",IFERROR(IF(INDEX(O10_Polygon_And_Area!$C$1:$C$500,MATCH($A45,O10_Polygon_And_Area!$A$1:$A$500,0))="","",INDEX(O10_Polygon_And_Area!$C$1:$C$500,MATCH($A45,O10_Polygon_And_Area!$A$1:$A$500,0))),""))</f>
        <v/>
      </c>
      <c r="AK45" s="8" t="str">
        <f aca="false">IF(COUNTA(AF45:AJ45)=0,"",COUNTIF(AF45:AJ45,"yes"))</f>
        <v/>
      </c>
    </row>
    <row r="46" customFormat="false" ht="15" hidden="false" customHeight="true" outlineLevel="0" collapsed="false">
      <c r="U46" s="8" t="str">
        <f aca="false">IF($A46="","",IFERROR(IF(INDEX(O10_Polygon_And_Area!$C$1:$C$500,MATCH($A46,O10_Polygon_And_Area!$A$1:$A$500,0))="","",INDEX(O10_Polygon_And_Area!$C$1:$C$500,MATCH($A46,O10_Polygon_And_Area!$A$1:$A$500,0))),""))</f>
        <v/>
      </c>
      <c r="AK46" s="8" t="str">
        <f aca="false">IF(COUNTA(AF46:AJ46)=0,"",COUNTIF(AF46:AJ46,"yes"))</f>
        <v/>
      </c>
    </row>
    <row r="47" customFormat="false" ht="15" hidden="false" customHeight="true" outlineLevel="0" collapsed="false">
      <c r="U47" s="8" t="str">
        <f aca="false">IF($A47="","",IFERROR(IF(INDEX(O10_Polygon_And_Area!$C$1:$C$500,MATCH($A47,O10_Polygon_And_Area!$A$1:$A$500,0))="","",INDEX(O10_Polygon_And_Area!$C$1:$C$500,MATCH($A47,O10_Polygon_And_Area!$A$1:$A$500,0))),""))</f>
        <v/>
      </c>
      <c r="AK47" s="8" t="str">
        <f aca="false">IF(COUNTA(AF47:AJ47)=0,"",COUNTIF(AF47:AJ47,"yes"))</f>
        <v/>
      </c>
    </row>
    <row r="48" customFormat="false" ht="15" hidden="false" customHeight="true" outlineLevel="0" collapsed="false">
      <c r="U48" s="8" t="str">
        <f aca="false">IF($A48="","",IFERROR(IF(INDEX(O10_Polygon_And_Area!$C$1:$C$500,MATCH($A48,O10_Polygon_And_Area!$A$1:$A$500,0))="","",INDEX(O10_Polygon_And_Area!$C$1:$C$500,MATCH($A48,O10_Polygon_And_Area!$A$1:$A$500,0))),""))</f>
        <v/>
      </c>
      <c r="AK48" s="8" t="str">
        <f aca="false">IF(COUNTA(AF48:AJ48)=0,"",COUNTIF(AF48:AJ48,"yes"))</f>
        <v/>
      </c>
    </row>
    <row r="49" customFormat="false" ht="15" hidden="false" customHeight="true" outlineLevel="0" collapsed="false">
      <c r="U49" s="8" t="str">
        <f aca="false">IF($A49="","",IFERROR(IF(INDEX(O10_Polygon_And_Area!$C$1:$C$500,MATCH($A49,O10_Polygon_And_Area!$A$1:$A$500,0))="","",INDEX(O10_Polygon_And_Area!$C$1:$C$500,MATCH($A49,O10_Polygon_And_Area!$A$1:$A$500,0))),""))</f>
        <v/>
      </c>
      <c r="AK49" s="8" t="str">
        <f aca="false">IF(COUNTA(AF49:AJ49)=0,"",COUNTIF(AF49:AJ49,"yes"))</f>
        <v/>
      </c>
    </row>
    <row r="50" customFormat="false" ht="15" hidden="false" customHeight="true" outlineLevel="0" collapsed="false">
      <c r="U50" s="8" t="str">
        <f aca="false">IF($A50="","",IFERROR(IF(INDEX(O10_Polygon_And_Area!$C$1:$C$500,MATCH($A50,O10_Polygon_And_Area!$A$1:$A$500,0))="","",INDEX(O10_Polygon_And_Area!$C$1:$C$500,MATCH($A50,O10_Polygon_And_Area!$A$1:$A$500,0))),""))</f>
        <v/>
      </c>
      <c r="AK50" s="8" t="str">
        <f aca="false">IF(COUNTA(AF50:AJ50)=0,"",COUNTIF(AF50:AJ50,"yes"))</f>
        <v/>
      </c>
    </row>
    <row r="51" customFormat="false" ht="15" hidden="false" customHeight="true" outlineLevel="0" collapsed="false">
      <c r="U51" s="8" t="str">
        <f aca="false">IF($A51="","",IFERROR(IF(INDEX(O10_Polygon_And_Area!$C$1:$C$500,MATCH($A51,O10_Polygon_And_Area!$A$1:$A$500,0))="","",INDEX(O10_Polygon_And_Area!$C$1:$C$500,MATCH($A51,O10_Polygon_And_Area!$A$1:$A$500,0))),""))</f>
        <v/>
      </c>
      <c r="AK51" s="8" t="str">
        <f aca="false">IF(COUNTA(AF51:AJ51)=0,"",COUNTIF(AF51:AJ51,"yes"))</f>
        <v/>
      </c>
    </row>
    <row r="52" customFormat="false" ht="15" hidden="false" customHeight="true" outlineLevel="0" collapsed="false">
      <c r="U52" s="8" t="str">
        <f aca="false">IF($A52="","",IFERROR(IF(INDEX(O10_Polygon_And_Area!$C$1:$C$500,MATCH($A52,O10_Polygon_And_Area!$A$1:$A$500,0))="","",INDEX(O10_Polygon_And_Area!$C$1:$C$500,MATCH($A52,O10_Polygon_And_Area!$A$1:$A$500,0))),""))</f>
        <v/>
      </c>
      <c r="AK52" s="8" t="str">
        <f aca="false">IF(COUNTA(AF52:AJ52)=0,"",COUNTIF(AF52:AJ52,"yes"))</f>
        <v/>
      </c>
    </row>
    <row r="53" customFormat="false" ht="15" hidden="false" customHeight="true" outlineLevel="0" collapsed="false">
      <c r="U53" s="8" t="str">
        <f aca="false">IF($A53="","",IFERROR(IF(INDEX(O10_Polygon_And_Area!$C$1:$C$500,MATCH($A53,O10_Polygon_And_Area!$A$1:$A$500,0))="","",INDEX(O10_Polygon_And_Area!$C$1:$C$500,MATCH($A53,O10_Polygon_And_Area!$A$1:$A$500,0))),""))</f>
        <v/>
      </c>
      <c r="AK53" s="8" t="str">
        <f aca="false">IF(COUNTA(AF53:AJ53)=0,"",COUNTIF(AF53:AJ53,"yes"))</f>
        <v/>
      </c>
    </row>
    <row r="54" customFormat="false" ht="15" hidden="false" customHeight="true" outlineLevel="0" collapsed="false">
      <c r="U54" s="8" t="str">
        <f aca="false">IF($A54="","",IFERROR(IF(INDEX(O10_Polygon_And_Area!$C$1:$C$500,MATCH($A54,O10_Polygon_And_Area!$A$1:$A$500,0))="","",INDEX(O10_Polygon_And_Area!$C$1:$C$500,MATCH($A54,O10_Polygon_And_Area!$A$1:$A$500,0))),""))</f>
        <v/>
      </c>
      <c r="AK54" s="8" t="str">
        <f aca="false">IF(COUNTA(AF54:AJ54)=0,"",COUNTIF(AF54:AJ54,"yes"))</f>
        <v/>
      </c>
    </row>
    <row r="55" customFormat="false" ht="15" hidden="false" customHeight="true" outlineLevel="0" collapsed="false">
      <c r="U55" s="8" t="str">
        <f aca="false">IF($A55="","",IFERROR(IF(INDEX(O10_Polygon_And_Area!$C$1:$C$500,MATCH($A55,O10_Polygon_And_Area!$A$1:$A$500,0))="","",INDEX(O10_Polygon_And_Area!$C$1:$C$500,MATCH($A55,O10_Polygon_And_Area!$A$1:$A$500,0))),""))</f>
        <v/>
      </c>
      <c r="AK55" s="8" t="str">
        <f aca="false">IF(COUNTA(AF55:AJ55)=0,"",COUNTIF(AF55:AJ55,"yes"))</f>
        <v/>
      </c>
    </row>
    <row r="56" customFormat="false" ht="15" hidden="false" customHeight="true" outlineLevel="0" collapsed="false">
      <c r="U56" s="8" t="str">
        <f aca="false">IF($A56="","",IFERROR(IF(INDEX(O10_Polygon_And_Area!$C$1:$C$500,MATCH($A56,O10_Polygon_And_Area!$A$1:$A$500,0))="","",INDEX(O10_Polygon_And_Area!$C$1:$C$500,MATCH($A56,O10_Polygon_And_Area!$A$1:$A$500,0))),""))</f>
        <v/>
      </c>
      <c r="AK56" s="8" t="str">
        <f aca="false">IF(COUNTA(AF56:AJ56)=0,"",COUNTIF(AF56:AJ56,"yes"))</f>
        <v/>
      </c>
    </row>
    <row r="57" customFormat="false" ht="15" hidden="false" customHeight="true" outlineLevel="0" collapsed="false">
      <c r="U57" s="8" t="str">
        <f aca="false">IF($A57="","",IFERROR(IF(INDEX(O10_Polygon_And_Area!$C$1:$C$500,MATCH($A57,O10_Polygon_And_Area!$A$1:$A$500,0))="","",INDEX(O10_Polygon_And_Area!$C$1:$C$500,MATCH($A57,O10_Polygon_And_Area!$A$1:$A$500,0))),""))</f>
        <v/>
      </c>
      <c r="AK57" s="8" t="str">
        <f aca="false">IF(COUNTA(AF57:AJ57)=0,"",COUNTIF(AF57:AJ57,"yes"))</f>
        <v/>
      </c>
    </row>
    <row r="58" customFormat="false" ht="15" hidden="false" customHeight="true" outlineLevel="0" collapsed="false">
      <c r="U58" s="8" t="str">
        <f aca="false">IF($A58="","",IFERROR(IF(INDEX(O10_Polygon_And_Area!$C$1:$C$500,MATCH($A58,O10_Polygon_And_Area!$A$1:$A$500,0))="","",INDEX(O10_Polygon_And_Area!$C$1:$C$500,MATCH($A58,O10_Polygon_And_Area!$A$1:$A$500,0))),""))</f>
        <v/>
      </c>
      <c r="AK58" s="8" t="str">
        <f aca="false">IF(COUNTA(AF58:AJ58)=0,"",COUNTIF(AF58:AJ58,"yes"))</f>
        <v/>
      </c>
    </row>
    <row r="59" customFormat="false" ht="15" hidden="false" customHeight="true" outlineLevel="0" collapsed="false">
      <c r="U59" s="8" t="str">
        <f aca="false">IF($A59="","",IFERROR(IF(INDEX(O10_Polygon_And_Area!$C$1:$C$500,MATCH($A59,O10_Polygon_And_Area!$A$1:$A$500,0))="","",INDEX(O10_Polygon_And_Area!$C$1:$C$500,MATCH($A59,O10_Polygon_And_Area!$A$1:$A$500,0))),""))</f>
        <v/>
      </c>
      <c r="AK59" s="8" t="str">
        <f aca="false">IF(COUNTA(AF59:AJ59)=0,"",COUNTIF(AF59:AJ59,"yes"))</f>
        <v/>
      </c>
    </row>
    <row r="60" customFormat="false" ht="15" hidden="false" customHeight="true" outlineLevel="0" collapsed="false">
      <c r="U60" s="8" t="str">
        <f aca="false">IF($A60="","",IFERROR(IF(INDEX(O10_Polygon_And_Area!$C$1:$C$500,MATCH($A60,O10_Polygon_And_Area!$A$1:$A$500,0))="","",INDEX(O10_Polygon_And_Area!$C$1:$C$500,MATCH($A60,O10_Polygon_And_Area!$A$1:$A$500,0))),""))</f>
        <v/>
      </c>
      <c r="AK60" s="8" t="str">
        <f aca="false">IF(COUNTA(AF60:AJ60)=0,"",COUNTIF(AF60:AJ60,"yes"))</f>
        <v/>
      </c>
    </row>
    <row r="61" customFormat="false" ht="15" hidden="false" customHeight="true" outlineLevel="0" collapsed="false">
      <c r="U61" s="8" t="str">
        <f aca="false">IF($A61="","",IFERROR(IF(INDEX(O10_Polygon_And_Area!$C$1:$C$500,MATCH($A61,O10_Polygon_And_Area!$A$1:$A$500,0))="","",INDEX(O10_Polygon_And_Area!$C$1:$C$500,MATCH($A61,O10_Polygon_And_Area!$A$1:$A$500,0))),""))</f>
        <v/>
      </c>
      <c r="AK61" s="8" t="str">
        <f aca="false">IF(COUNTA(AF61:AJ61)=0,"",COUNTIF(AF61:AJ61,"yes"))</f>
        <v/>
      </c>
    </row>
    <row r="62" customFormat="false" ht="15" hidden="false" customHeight="true" outlineLevel="0" collapsed="false">
      <c r="U62" s="8" t="str">
        <f aca="false">IF($A62="","",IFERROR(IF(INDEX(O10_Polygon_And_Area!$C$1:$C$500,MATCH($A62,O10_Polygon_And_Area!$A$1:$A$500,0))="","",INDEX(O10_Polygon_And_Area!$C$1:$C$500,MATCH($A62,O10_Polygon_And_Area!$A$1:$A$500,0))),""))</f>
        <v/>
      </c>
      <c r="AK62" s="8" t="str">
        <f aca="false">IF(COUNTA(AF62:AJ62)=0,"",COUNTIF(AF62:AJ62,"yes"))</f>
        <v/>
      </c>
    </row>
    <row r="63" customFormat="false" ht="15" hidden="false" customHeight="true" outlineLevel="0" collapsed="false">
      <c r="U63" s="8" t="str">
        <f aca="false">IF($A63="","",IFERROR(IF(INDEX(O10_Polygon_And_Area!$C$1:$C$500,MATCH($A63,O10_Polygon_And_Area!$A$1:$A$500,0))="","",INDEX(O10_Polygon_And_Area!$C$1:$C$500,MATCH($A63,O10_Polygon_And_Area!$A$1:$A$500,0))),""))</f>
        <v/>
      </c>
      <c r="AK63" s="8" t="str">
        <f aca="false">IF(COUNTA(AF63:AJ63)=0,"",COUNTIF(AF63:AJ63,"yes"))</f>
        <v/>
      </c>
    </row>
    <row r="64" customFormat="false" ht="15" hidden="false" customHeight="true" outlineLevel="0" collapsed="false">
      <c r="U64" s="8" t="str">
        <f aca="false">IF($A64="","",IFERROR(IF(INDEX(O10_Polygon_And_Area!$C$1:$C$500,MATCH($A64,O10_Polygon_And_Area!$A$1:$A$500,0))="","",INDEX(O10_Polygon_And_Area!$C$1:$C$500,MATCH($A64,O10_Polygon_And_Area!$A$1:$A$500,0))),""))</f>
        <v/>
      </c>
      <c r="AK64" s="8" t="str">
        <f aca="false">IF(COUNTA(AF64:AJ64)=0,"",COUNTIF(AF64:AJ64,"yes"))</f>
        <v/>
      </c>
    </row>
    <row r="65" customFormat="false" ht="15" hidden="false" customHeight="true" outlineLevel="0" collapsed="false">
      <c r="U65" s="8" t="str">
        <f aca="false">IF($A65="","",IFERROR(IF(INDEX(O10_Polygon_And_Area!$C$1:$C$500,MATCH($A65,O10_Polygon_And_Area!$A$1:$A$500,0))="","",INDEX(O10_Polygon_And_Area!$C$1:$C$500,MATCH($A65,O10_Polygon_And_Area!$A$1:$A$500,0))),""))</f>
        <v/>
      </c>
      <c r="AK65" s="8" t="str">
        <f aca="false">IF(COUNTA(AF65:AJ65)=0,"",COUNTIF(AF65:AJ65,"yes"))</f>
        <v/>
      </c>
    </row>
    <row r="66" customFormat="false" ht="15" hidden="false" customHeight="true" outlineLevel="0" collapsed="false">
      <c r="U66" s="8" t="str">
        <f aca="false">IF($A66="","",IFERROR(IF(INDEX(O10_Polygon_And_Area!$C$1:$C$500,MATCH($A66,O10_Polygon_And_Area!$A$1:$A$500,0))="","",INDEX(O10_Polygon_And_Area!$C$1:$C$500,MATCH($A66,O10_Polygon_And_Area!$A$1:$A$500,0))),""))</f>
        <v/>
      </c>
      <c r="AK66" s="8" t="str">
        <f aca="false">IF(COUNTA(AF66:AJ66)=0,"",COUNTIF(AF66:AJ66,"yes"))</f>
        <v/>
      </c>
    </row>
    <row r="67" customFormat="false" ht="15" hidden="false" customHeight="true" outlineLevel="0" collapsed="false">
      <c r="U67" s="8" t="str">
        <f aca="false">IF($A67="","",IFERROR(IF(INDEX(O10_Polygon_And_Area!$C$1:$C$500,MATCH($A67,O10_Polygon_And_Area!$A$1:$A$500,0))="","",INDEX(O10_Polygon_And_Area!$C$1:$C$500,MATCH($A67,O10_Polygon_And_Area!$A$1:$A$500,0))),""))</f>
        <v/>
      </c>
      <c r="AK67" s="8" t="str">
        <f aca="false">IF(COUNTA(AF67:AJ67)=0,"",COUNTIF(AF67:AJ67,"yes"))</f>
        <v/>
      </c>
    </row>
    <row r="68" customFormat="false" ht="15" hidden="false" customHeight="true" outlineLevel="0" collapsed="false">
      <c r="U68" s="8" t="str">
        <f aca="false">IF($A68="","",IFERROR(IF(INDEX(O10_Polygon_And_Area!$C$1:$C$500,MATCH($A68,O10_Polygon_And_Area!$A$1:$A$500,0))="","",INDEX(O10_Polygon_And_Area!$C$1:$C$500,MATCH($A68,O10_Polygon_And_Area!$A$1:$A$500,0))),""))</f>
        <v/>
      </c>
      <c r="AK68" s="8" t="str">
        <f aca="false">IF(COUNTA(AF68:AJ68)=0,"",COUNTIF(AF68:AJ68,"yes"))</f>
        <v/>
      </c>
    </row>
    <row r="69" customFormat="false" ht="15" hidden="false" customHeight="true" outlineLevel="0" collapsed="false">
      <c r="U69" s="8" t="str">
        <f aca="false">IF($A69="","",IFERROR(IF(INDEX(O10_Polygon_And_Area!$C$1:$C$500,MATCH($A69,O10_Polygon_And_Area!$A$1:$A$500,0))="","",INDEX(O10_Polygon_And_Area!$C$1:$C$500,MATCH($A69,O10_Polygon_And_Area!$A$1:$A$500,0))),""))</f>
        <v/>
      </c>
      <c r="AK69" s="8" t="str">
        <f aca="false">IF(COUNTA(AF69:AJ69)=0,"",COUNTIF(AF69:AJ69,"yes"))</f>
        <v/>
      </c>
    </row>
    <row r="70" customFormat="false" ht="15" hidden="false" customHeight="true" outlineLevel="0" collapsed="false">
      <c r="U70" s="8" t="str">
        <f aca="false">IF($A70="","",IFERROR(IF(INDEX(O10_Polygon_And_Area!$C$1:$C$500,MATCH($A70,O10_Polygon_And_Area!$A$1:$A$500,0))="","",INDEX(O10_Polygon_And_Area!$C$1:$C$500,MATCH($A70,O10_Polygon_And_Area!$A$1:$A$500,0))),""))</f>
        <v/>
      </c>
      <c r="AK70" s="8" t="str">
        <f aca="false">IF(COUNTA(AF70:AJ70)=0,"",COUNTIF(AF70:AJ70,"yes"))</f>
        <v/>
      </c>
    </row>
    <row r="71" customFormat="false" ht="15" hidden="false" customHeight="true" outlineLevel="0" collapsed="false">
      <c r="U71" s="8" t="str">
        <f aca="false">IF($A71="","",IFERROR(IF(INDEX(O10_Polygon_And_Area!$C$1:$C$500,MATCH($A71,O10_Polygon_And_Area!$A$1:$A$500,0))="","",INDEX(O10_Polygon_And_Area!$C$1:$C$500,MATCH($A71,O10_Polygon_And_Area!$A$1:$A$500,0))),""))</f>
        <v/>
      </c>
      <c r="AK71" s="8" t="str">
        <f aca="false">IF(COUNTA(AF71:AJ71)=0,"",COUNTIF(AF71:AJ71,"yes"))</f>
        <v/>
      </c>
    </row>
    <row r="72" customFormat="false" ht="15" hidden="false" customHeight="true" outlineLevel="0" collapsed="false">
      <c r="U72" s="8" t="str">
        <f aca="false">IF($A72="","",IFERROR(IF(INDEX(O10_Polygon_And_Area!$C$1:$C$500,MATCH($A72,O10_Polygon_And_Area!$A$1:$A$500,0))="","",INDEX(O10_Polygon_And_Area!$C$1:$C$500,MATCH($A72,O10_Polygon_And_Area!$A$1:$A$500,0))),""))</f>
        <v/>
      </c>
      <c r="AK72" s="8" t="str">
        <f aca="false">IF(COUNTA(AF72:AJ72)=0,"",COUNTIF(AF72:AJ72,"yes"))</f>
        <v/>
      </c>
    </row>
    <row r="73" customFormat="false" ht="15" hidden="false" customHeight="true" outlineLevel="0" collapsed="false">
      <c r="U73" s="8" t="str">
        <f aca="false">IF($A73="","",IFERROR(IF(INDEX(O10_Polygon_And_Area!$C$1:$C$500,MATCH($A73,O10_Polygon_And_Area!$A$1:$A$500,0))="","",INDEX(O10_Polygon_And_Area!$C$1:$C$500,MATCH($A73,O10_Polygon_And_Area!$A$1:$A$500,0))),""))</f>
        <v/>
      </c>
      <c r="AK73" s="8" t="str">
        <f aca="false">IF(COUNTA(AF73:AJ73)=0,"",COUNTIF(AF73:AJ73,"yes"))</f>
        <v/>
      </c>
    </row>
    <row r="74" customFormat="false" ht="15" hidden="false" customHeight="true" outlineLevel="0" collapsed="false">
      <c r="U74" s="8" t="str">
        <f aca="false">IF($A74="","",IFERROR(IF(INDEX(O10_Polygon_And_Area!$C$1:$C$500,MATCH($A74,O10_Polygon_And_Area!$A$1:$A$500,0))="","",INDEX(O10_Polygon_And_Area!$C$1:$C$500,MATCH($A74,O10_Polygon_And_Area!$A$1:$A$500,0))),""))</f>
        <v/>
      </c>
      <c r="AK74" s="8" t="str">
        <f aca="false">IF(COUNTA(AF74:AJ74)=0,"",COUNTIF(AF74:AJ74,"yes"))</f>
        <v/>
      </c>
    </row>
    <row r="75" customFormat="false" ht="15" hidden="false" customHeight="true" outlineLevel="0" collapsed="false">
      <c r="U75" s="8" t="str">
        <f aca="false">IF($A75="","",IFERROR(IF(INDEX(O10_Polygon_And_Area!$C$1:$C$500,MATCH($A75,O10_Polygon_And_Area!$A$1:$A$500,0))="","",INDEX(O10_Polygon_And_Area!$C$1:$C$500,MATCH($A75,O10_Polygon_And_Area!$A$1:$A$500,0))),""))</f>
        <v/>
      </c>
      <c r="AK75" s="8" t="str">
        <f aca="false">IF(COUNTA(AF75:AJ75)=0,"",COUNTIF(AF75:AJ75,"yes"))</f>
        <v/>
      </c>
    </row>
    <row r="76" customFormat="false" ht="15" hidden="false" customHeight="true" outlineLevel="0" collapsed="false">
      <c r="U76" s="8" t="str">
        <f aca="false">IF($A76="","",IFERROR(IF(INDEX(O10_Polygon_And_Area!$C$1:$C$500,MATCH($A76,O10_Polygon_And_Area!$A$1:$A$500,0))="","",INDEX(O10_Polygon_And_Area!$C$1:$C$500,MATCH($A76,O10_Polygon_And_Area!$A$1:$A$500,0))),""))</f>
        <v/>
      </c>
      <c r="AK76" s="8" t="str">
        <f aca="false">IF(COUNTA(AF76:AJ76)=0,"",COUNTIF(AF76:AJ76,"yes"))</f>
        <v/>
      </c>
    </row>
    <row r="77" customFormat="false" ht="15" hidden="false" customHeight="true" outlineLevel="0" collapsed="false">
      <c r="U77" s="8" t="str">
        <f aca="false">IF($A77="","",IFERROR(IF(INDEX(O10_Polygon_And_Area!$C$1:$C$500,MATCH($A77,O10_Polygon_And_Area!$A$1:$A$500,0))="","",INDEX(O10_Polygon_And_Area!$C$1:$C$500,MATCH($A77,O10_Polygon_And_Area!$A$1:$A$500,0))),""))</f>
        <v/>
      </c>
      <c r="AK77" s="8" t="str">
        <f aca="false">IF(COUNTA(AF77:AJ77)=0,"",COUNTIF(AF77:AJ77,"yes"))</f>
        <v/>
      </c>
    </row>
    <row r="78" customFormat="false" ht="15" hidden="false" customHeight="true" outlineLevel="0" collapsed="false">
      <c r="U78" s="8" t="str">
        <f aca="false">IF($A78="","",IFERROR(IF(INDEX(O10_Polygon_And_Area!$C$1:$C$500,MATCH($A78,O10_Polygon_And_Area!$A$1:$A$500,0))="","",INDEX(O10_Polygon_And_Area!$C$1:$C$500,MATCH($A78,O10_Polygon_And_Area!$A$1:$A$500,0))),""))</f>
        <v/>
      </c>
      <c r="AK78" s="8" t="str">
        <f aca="false">IF(COUNTA(AF78:AJ78)=0,"",COUNTIF(AF78:AJ78,"yes"))</f>
        <v/>
      </c>
    </row>
    <row r="79" customFormat="false" ht="15" hidden="false" customHeight="true" outlineLevel="0" collapsed="false">
      <c r="U79" s="8" t="str">
        <f aca="false">IF($A79="","",IFERROR(IF(INDEX(O10_Polygon_And_Area!$C$1:$C$500,MATCH($A79,O10_Polygon_And_Area!$A$1:$A$500,0))="","",INDEX(O10_Polygon_And_Area!$C$1:$C$500,MATCH($A79,O10_Polygon_And_Area!$A$1:$A$500,0))),""))</f>
        <v/>
      </c>
      <c r="AK79" s="8" t="str">
        <f aca="false">IF(COUNTA(AF79:AJ79)=0,"",COUNTIF(AF79:AJ79,"yes"))</f>
        <v/>
      </c>
    </row>
    <row r="80" customFormat="false" ht="15" hidden="false" customHeight="true" outlineLevel="0" collapsed="false">
      <c r="U80" s="8" t="str">
        <f aca="false">IF($A80="","",IFERROR(IF(INDEX(O10_Polygon_And_Area!$C$1:$C$500,MATCH($A80,O10_Polygon_And_Area!$A$1:$A$500,0))="","",INDEX(O10_Polygon_And_Area!$C$1:$C$500,MATCH($A80,O10_Polygon_And_Area!$A$1:$A$500,0))),""))</f>
        <v/>
      </c>
      <c r="AK80" s="8" t="str">
        <f aca="false">IF(COUNTA(AF80:AJ80)=0,"",COUNTIF(AF80:AJ80,"yes"))</f>
        <v/>
      </c>
    </row>
    <row r="81" customFormat="false" ht="15" hidden="false" customHeight="true" outlineLevel="0" collapsed="false">
      <c r="U81" s="8" t="str">
        <f aca="false">IF($A81="","",IFERROR(IF(INDEX(O10_Polygon_And_Area!$C$1:$C$500,MATCH($A81,O10_Polygon_And_Area!$A$1:$A$500,0))="","",INDEX(O10_Polygon_And_Area!$C$1:$C$500,MATCH($A81,O10_Polygon_And_Area!$A$1:$A$500,0))),""))</f>
        <v/>
      </c>
      <c r="AK81" s="8" t="str">
        <f aca="false">IF(COUNTA(AF81:AJ81)=0,"",COUNTIF(AF81:AJ81,"yes"))</f>
        <v/>
      </c>
    </row>
    <row r="82" customFormat="false" ht="15" hidden="false" customHeight="true" outlineLevel="0" collapsed="false">
      <c r="U82" s="8" t="str">
        <f aca="false">IF($A82="","",IFERROR(IF(INDEX(O10_Polygon_And_Area!$C$1:$C$500,MATCH($A82,O10_Polygon_And_Area!$A$1:$A$500,0))="","",INDEX(O10_Polygon_And_Area!$C$1:$C$500,MATCH($A82,O10_Polygon_And_Area!$A$1:$A$500,0))),""))</f>
        <v/>
      </c>
      <c r="AK82" s="8" t="str">
        <f aca="false">IF(COUNTA(AF82:AJ82)=0,"",COUNTIF(AF82:AJ82,"yes"))</f>
        <v/>
      </c>
    </row>
    <row r="83" customFormat="false" ht="15" hidden="false" customHeight="true" outlineLevel="0" collapsed="false">
      <c r="U83" s="8" t="str">
        <f aca="false">IF($A83="","",IFERROR(IF(INDEX(O10_Polygon_And_Area!$C$1:$C$500,MATCH($A83,O10_Polygon_And_Area!$A$1:$A$500,0))="","",INDEX(O10_Polygon_And_Area!$C$1:$C$500,MATCH($A83,O10_Polygon_And_Area!$A$1:$A$500,0))),""))</f>
        <v/>
      </c>
      <c r="AK83" s="8" t="str">
        <f aca="false">IF(COUNTA(AF83:AJ83)=0,"",COUNTIF(AF83:AJ83,"yes"))</f>
        <v/>
      </c>
    </row>
    <row r="84" customFormat="false" ht="15" hidden="false" customHeight="true" outlineLevel="0" collapsed="false">
      <c r="U84" s="8" t="str">
        <f aca="false">IF($A84="","",IFERROR(IF(INDEX(O10_Polygon_And_Area!$C$1:$C$500,MATCH($A84,O10_Polygon_And_Area!$A$1:$A$500,0))="","",INDEX(O10_Polygon_And_Area!$C$1:$C$500,MATCH($A84,O10_Polygon_And_Area!$A$1:$A$500,0))),""))</f>
        <v/>
      </c>
      <c r="AK84" s="8" t="str">
        <f aca="false">IF(COUNTA(AF84:AJ84)=0,"",COUNTIF(AF84:AJ84,"yes"))</f>
        <v/>
      </c>
    </row>
    <row r="85" customFormat="false" ht="15" hidden="false" customHeight="true" outlineLevel="0" collapsed="false">
      <c r="U85" s="8" t="str">
        <f aca="false">IF($A85="","",IFERROR(IF(INDEX(O10_Polygon_And_Area!$C$1:$C$500,MATCH($A85,O10_Polygon_And_Area!$A$1:$A$500,0))="","",INDEX(O10_Polygon_And_Area!$C$1:$C$500,MATCH($A85,O10_Polygon_And_Area!$A$1:$A$500,0))),""))</f>
        <v/>
      </c>
      <c r="AK85" s="8" t="str">
        <f aca="false">IF(COUNTA(AF85:AJ85)=0,"",COUNTIF(AF85:AJ85,"yes"))</f>
        <v/>
      </c>
    </row>
    <row r="86" customFormat="false" ht="15" hidden="false" customHeight="true" outlineLevel="0" collapsed="false">
      <c r="U86" s="8" t="str">
        <f aca="false">IF($A86="","",IFERROR(IF(INDEX(O10_Polygon_And_Area!$C$1:$C$500,MATCH($A86,O10_Polygon_And_Area!$A$1:$A$500,0))="","",INDEX(O10_Polygon_And_Area!$C$1:$C$500,MATCH($A86,O10_Polygon_And_Area!$A$1:$A$500,0))),""))</f>
        <v/>
      </c>
      <c r="AK86" s="8" t="str">
        <f aca="false">IF(COUNTA(AF86:AJ86)=0,"",COUNTIF(AF86:AJ86,"yes"))</f>
        <v/>
      </c>
    </row>
    <row r="87" customFormat="false" ht="15" hidden="false" customHeight="true" outlineLevel="0" collapsed="false">
      <c r="U87" s="8" t="str">
        <f aca="false">IF($A87="","",IFERROR(IF(INDEX(O10_Polygon_And_Area!$C$1:$C$500,MATCH($A87,O10_Polygon_And_Area!$A$1:$A$500,0))="","",INDEX(O10_Polygon_And_Area!$C$1:$C$500,MATCH($A87,O10_Polygon_And_Area!$A$1:$A$500,0))),""))</f>
        <v/>
      </c>
      <c r="AK87" s="8" t="str">
        <f aca="false">IF(COUNTA(AF87:AJ87)=0,"",COUNTIF(AF87:AJ87,"yes"))</f>
        <v/>
      </c>
    </row>
    <row r="88" customFormat="false" ht="15" hidden="false" customHeight="true" outlineLevel="0" collapsed="false">
      <c r="U88" s="8" t="str">
        <f aca="false">IF($A88="","",IFERROR(IF(INDEX(O10_Polygon_And_Area!$C$1:$C$500,MATCH($A88,O10_Polygon_And_Area!$A$1:$A$500,0))="","",INDEX(O10_Polygon_And_Area!$C$1:$C$500,MATCH($A88,O10_Polygon_And_Area!$A$1:$A$500,0))),""))</f>
        <v/>
      </c>
      <c r="AK88" s="8" t="str">
        <f aca="false">IF(COUNTA(AF88:AJ88)=0,"",COUNTIF(AF88:AJ88,"yes"))</f>
        <v/>
      </c>
    </row>
    <row r="89" customFormat="false" ht="15" hidden="false" customHeight="true" outlineLevel="0" collapsed="false">
      <c r="U89" s="8" t="str">
        <f aca="false">IF($A89="","",IFERROR(IF(INDEX(O10_Polygon_And_Area!$C$1:$C$500,MATCH($A89,O10_Polygon_And_Area!$A$1:$A$500,0))="","",INDEX(O10_Polygon_And_Area!$C$1:$C$500,MATCH($A89,O10_Polygon_And_Area!$A$1:$A$500,0))),""))</f>
        <v/>
      </c>
      <c r="AK89" s="8" t="str">
        <f aca="false">IF(COUNTA(AF89:AJ89)=0,"",COUNTIF(AF89:AJ89,"yes"))</f>
        <v/>
      </c>
    </row>
    <row r="90" customFormat="false" ht="15" hidden="false" customHeight="true" outlineLevel="0" collapsed="false">
      <c r="U90" s="8" t="str">
        <f aca="false">IF($A90="","",IFERROR(IF(INDEX(O10_Polygon_And_Area!$C$1:$C$500,MATCH($A90,O10_Polygon_And_Area!$A$1:$A$500,0))="","",INDEX(O10_Polygon_And_Area!$C$1:$C$500,MATCH($A90,O10_Polygon_And_Area!$A$1:$A$500,0))),""))</f>
        <v/>
      </c>
      <c r="AK90" s="8" t="str">
        <f aca="false">IF(COUNTA(AF90:AJ90)=0,"",COUNTIF(AF90:AJ90,"yes"))</f>
        <v/>
      </c>
    </row>
    <row r="91" customFormat="false" ht="15" hidden="false" customHeight="true" outlineLevel="0" collapsed="false">
      <c r="U91" s="8" t="str">
        <f aca="false">IF($A91="","",IFERROR(IF(INDEX(O10_Polygon_And_Area!$C$1:$C$500,MATCH($A91,O10_Polygon_And_Area!$A$1:$A$500,0))="","",INDEX(O10_Polygon_And_Area!$C$1:$C$500,MATCH($A91,O10_Polygon_And_Area!$A$1:$A$500,0))),""))</f>
        <v/>
      </c>
      <c r="AK91" s="8" t="str">
        <f aca="false">IF(COUNTA(AF91:AJ91)=0,"",COUNTIF(AF91:AJ91,"yes"))</f>
        <v/>
      </c>
    </row>
    <row r="92" customFormat="false" ht="15" hidden="false" customHeight="true" outlineLevel="0" collapsed="false">
      <c r="U92" s="8" t="str">
        <f aca="false">IF($A92="","",IFERROR(IF(INDEX(O10_Polygon_And_Area!$C$1:$C$500,MATCH($A92,O10_Polygon_And_Area!$A$1:$A$500,0))="","",INDEX(O10_Polygon_And_Area!$C$1:$C$500,MATCH($A92,O10_Polygon_And_Area!$A$1:$A$500,0))),""))</f>
        <v/>
      </c>
      <c r="AK92" s="8" t="str">
        <f aca="false">IF(COUNTA(AF92:AJ92)=0,"",COUNTIF(AF92:AJ92,"yes"))</f>
        <v/>
      </c>
    </row>
    <row r="93" customFormat="false" ht="15" hidden="false" customHeight="true" outlineLevel="0" collapsed="false">
      <c r="U93" s="8" t="str">
        <f aca="false">IF($A93="","",IFERROR(IF(INDEX(O10_Polygon_And_Area!$C$1:$C$500,MATCH($A93,O10_Polygon_And_Area!$A$1:$A$500,0))="","",INDEX(O10_Polygon_And_Area!$C$1:$C$500,MATCH($A93,O10_Polygon_And_Area!$A$1:$A$500,0))),""))</f>
        <v/>
      </c>
      <c r="AK93" s="8" t="str">
        <f aca="false">IF(COUNTA(AF93:AJ93)=0,"",COUNTIF(AF93:AJ93,"yes"))</f>
        <v/>
      </c>
    </row>
    <row r="94" customFormat="false" ht="15" hidden="false" customHeight="true" outlineLevel="0" collapsed="false">
      <c r="U94" s="8" t="str">
        <f aca="false">IF($A94="","",IFERROR(IF(INDEX(O10_Polygon_And_Area!$C$1:$C$500,MATCH($A94,O10_Polygon_And_Area!$A$1:$A$500,0))="","",INDEX(O10_Polygon_And_Area!$C$1:$C$500,MATCH($A94,O10_Polygon_And_Area!$A$1:$A$500,0))),""))</f>
        <v/>
      </c>
      <c r="AK94" s="8" t="str">
        <f aca="false">IF(COUNTA(AF94:AJ94)=0,"",COUNTIF(AF94:AJ94,"yes"))</f>
        <v/>
      </c>
    </row>
    <row r="95" customFormat="false" ht="15" hidden="false" customHeight="true" outlineLevel="0" collapsed="false">
      <c r="U95" s="8" t="str">
        <f aca="false">IF($A95="","",IFERROR(IF(INDEX(O10_Polygon_And_Area!$C$1:$C$500,MATCH($A95,O10_Polygon_And_Area!$A$1:$A$500,0))="","",INDEX(O10_Polygon_And_Area!$C$1:$C$500,MATCH($A95,O10_Polygon_And_Area!$A$1:$A$500,0))),""))</f>
        <v/>
      </c>
      <c r="AK95" s="8" t="str">
        <f aca="false">IF(COUNTA(AF95:AJ95)=0,"",COUNTIF(AF95:AJ95,"yes"))</f>
        <v/>
      </c>
    </row>
    <row r="96" customFormat="false" ht="15" hidden="false" customHeight="true" outlineLevel="0" collapsed="false">
      <c r="U96" s="8" t="str">
        <f aca="false">IF($A96="","",IFERROR(IF(INDEX(O10_Polygon_And_Area!$C$1:$C$500,MATCH($A96,O10_Polygon_And_Area!$A$1:$A$500,0))="","",INDEX(O10_Polygon_And_Area!$C$1:$C$500,MATCH($A96,O10_Polygon_And_Area!$A$1:$A$500,0))),""))</f>
        <v/>
      </c>
      <c r="AK96" s="8" t="str">
        <f aca="false">IF(COUNTA(AF96:AJ96)=0,"",COUNTIF(AF96:AJ96,"yes"))</f>
        <v/>
      </c>
    </row>
    <row r="97" customFormat="false" ht="15" hidden="false" customHeight="true" outlineLevel="0" collapsed="false">
      <c r="U97" s="8" t="str">
        <f aca="false">IF($A97="","",IFERROR(IF(INDEX(O10_Polygon_And_Area!$C$1:$C$500,MATCH($A97,O10_Polygon_And_Area!$A$1:$A$500,0))="","",INDEX(O10_Polygon_And_Area!$C$1:$C$500,MATCH($A97,O10_Polygon_And_Area!$A$1:$A$500,0))),""))</f>
        <v/>
      </c>
      <c r="AK97" s="8" t="str">
        <f aca="false">IF(COUNTA(AF97:AJ97)=0,"",COUNTIF(AF97:AJ97,"yes"))</f>
        <v/>
      </c>
    </row>
    <row r="98" customFormat="false" ht="15" hidden="false" customHeight="true" outlineLevel="0" collapsed="false">
      <c r="U98" s="8" t="str">
        <f aca="false">IF($A98="","",IFERROR(IF(INDEX(O10_Polygon_And_Area!$C$1:$C$500,MATCH($A98,O10_Polygon_And_Area!$A$1:$A$500,0))="","",INDEX(O10_Polygon_And_Area!$C$1:$C$500,MATCH($A98,O10_Polygon_And_Area!$A$1:$A$500,0))),""))</f>
        <v/>
      </c>
      <c r="AK98" s="8" t="str">
        <f aca="false">IF(COUNTA(AF98:AJ98)=0,"",COUNTIF(AF98:AJ98,"yes"))</f>
        <v/>
      </c>
    </row>
    <row r="99" customFormat="false" ht="15" hidden="false" customHeight="true" outlineLevel="0" collapsed="false">
      <c r="U99" s="8" t="str">
        <f aca="false">IF($A99="","",IFERROR(IF(INDEX(O10_Polygon_And_Area!$C$1:$C$500,MATCH($A99,O10_Polygon_And_Area!$A$1:$A$500,0))="","",INDEX(O10_Polygon_And_Area!$C$1:$C$500,MATCH($A99,O10_Polygon_And_Area!$A$1:$A$500,0))),""))</f>
        <v/>
      </c>
      <c r="AK99" s="8" t="str">
        <f aca="false">IF(COUNTA(AF99:AJ99)=0,"",COUNTIF(AF99:AJ99,"yes"))</f>
        <v/>
      </c>
    </row>
    <row r="100" customFormat="false" ht="15" hidden="false" customHeight="true" outlineLevel="0" collapsed="false">
      <c r="U100" s="8" t="str">
        <f aca="false">IF($A100="","",IFERROR(IF(INDEX(O10_Polygon_And_Area!$C$1:$C$500,MATCH($A100,O10_Polygon_And_Area!$A$1:$A$500,0))="","",INDEX(O10_Polygon_And_Area!$C$1:$C$500,MATCH($A100,O10_Polygon_And_Area!$A$1:$A$500,0))),""))</f>
        <v/>
      </c>
      <c r="AK100" s="8" t="str">
        <f aca="false">IF(COUNTA(AF100:AJ100)=0,"",COUNTIF(AF100:AJ100,"yes"))</f>
        <v/>
      </c>
    </row>
    <row r="101" customFormat="false" ht="15" hidden="false" customHeight="true" outlineLevel="0" collapsed="false">
      <c r="U101" s="8" t="str">
        <f aca="false">IF($A101="","",IFERROR(IF(INDEX(O10_Polygon_And_Area!$C$1:$C$500,MATCH($A101,O10_Polygon_And_Area!$A$1:$A$500,0))="","",INDEX(O10_Polygon_And_Area!$C$1:$C$500,MATCH($A101,O10_Polygon_And_Area!$A$1:$A$500,0))),""))</f>
        <v/>
      </c>
      <c r="AK101" s="8" t="str">
        <f aca="false">IF(COUNTA(AF101:AJ101)=0,"",COUNTIF(AF101:AJ101,"yes"))</f>
        <v/>
      </c>
    </row>
    <row r="102" customFormat="false" ht="15" hidden="false" customHeight="true" outlineLevel="0" collapsed="false">
      <c r="U102" s="8" t="str">
        <f aca="false">IF($A102="","",IFERROR(IF(INDEX(O10_Polygon_And_Area!$C$1:$C$500,MATCH($A102,O10_Polygon_And_Area!$A$1:$A$500,0))="","",INDEX(O10_Polygon_And_Area!$C$1:$C$500,MATCH($A102,O10_Polygon_And_Area!$A$1:$A$500,0))),""))</f>
        <v/>
      </c>
      <c r="AK102" s="8" t="str">
        <f aca="false">IF(COUNTA(AF102:AJ102)=0,"",COUNTIF(AF102:AJ102,"yes"))</f>
        <v/>
      </c>
    </row>
    <row r="103" customFormat="false" ht="15" hidden="false" customHeight="true" outlineLevel="0" collapsed="false">
      <c r="U103" s="8" t="str">
        <f aca="false">IF($A103="","",IFERROR(IF(INDEX(O10_Polygon_And_Area!$C$1:$C$500,MATCH($A103,O10_Polygon_And_Area!$A$1:$A$500,0))="","",INDEX(O10_Polygon_And_Area!$C$1:$C$500,MATCH($A103,O10_Polygon_And_Area!$A$1:$A$500,0))),""))</f>
        <v/>
      </c>
      <c r="AK103" s="8" t="str">
        <f aca="false">IF(COUNTA(AF103:AJ103)=0,"",COUNTIF(AF103:AJ103,"yes"))</f>
        <v/>
      </c>
    </row>
    <row r="104" customFormat="false" ht="15" hidden="false" customHeight="true" outlineLevel="0" collapsed="false">
      <c r="U104" s="8" t="str">
        <f aca="false">IF($A104="","",IFERROR(IF(INDEX(O10_Polygon_And_Area!$C$1:$C$500,MATCH($A104,O10_Polygon_And_Area!$A$1:$A$500,0))="","",INDEX(O10_Polygon_And_Area!$C$1:$C$500,MATCH($A104,O10_Polygon_And_Area!$A$1:$A$500,0))),""))</f>
        <v/>
      </c>
      <c r="AK104" s="8" t="str">
        <f aca="false">IF(COUNTA(AF104:AJ104)=0,"",COUNTIF(AF104:AJ104,"yes"))</f>
        <v/>
      </c>
    </row>
    <row r="105" customFormat="false" ht="15" hidden="false" customHeight="true" outlineLevel="0" collapsed="false">
      <c r="U105" s="8" t="str">
        <f aca="false">IF($A105="","",IFERROR(IF(INDEX(O10_Polygon_And_Area!$C$1:$C$500,MATCH($A105,O10_Polygon_And_Area!$A$1:$A$500,0))="","",INDEX(O10_Polygon_And_Area!$C$1:$C$500,MATCH($A105,O10_Polygon_And_Area!$A$1:$A$500,0))),""))</f>
        <v/>
      </c>
      <c r="AK105" s="8" t="str">
        <f aca="false">IF(COUNTA(AF105:AJ105)=0,"",COUNTIF(AF105:AJ105,"yes"))</f>
        <v/>
      </c>
    </row>
    <row r="106" customFormat="false" ht="15" hidden="false" customHeight="true" outlineLevel="0" collapsed="false">
      <c r="U106" s="8" t="str">
        <f aca="false">IF($A106="","",IFERROR(IF(INDEX(O10_Polygon_And_Area!$C$1:$C$500,MATCH($A106,O10_Polygon_And_Area!$A$1:$A$500,0))="","",INDEX(O10_Polygon_And_Area!$C$1:$C$500,MATCH($A106,O10_Polygon_And_Area!$A$1:$A$500,0))),""))</f>
        <v/>
      </c>
      <c r="AK106" s="8" t="str">
        <f aca="false">IF(COUNTA(AF106:AJ106)=0,"",COUNTIF(AF106:AJ106,"yes"))</f>
        <v/>
      </c>
    </row>
    <row r="107" customFormat="false" ht="15" hidden="false" customHeight="true" outlineLevel="0" collapsed="false">
      <c r="U107" s="8" t="str">
        <f aca="false">IF($A107="","",IFERROR(IF(INDEX(O10_Polygon_And_Area!$C$1:$C$500,MATCH($A107,O10_Polygon_And_Area!$A$1:$A$500,0))="","",INDEX(O10_Polygon_And_Area!$C$1:$C$500,MATCH($A107,O10_Polygon_And_Area!$A$1:$A$500,0))),""))</f>
        <v/>
      </c>
      <c r="AK107" s="8" t="str">
        <f aca="false">IF(COUNTA(AF107:AJ107)=0,"",COUNTIF(AF107:AJ107,"yes"))</f>
        <v/>
      </c>
    </row>
    <row r="108" customFormat="false" ht="15" hidden="false" customHeight="true" outlineLevel="0" collapsed="false">
      <c r="U108" s="8" t="str">
        <f aca="false">IF($A108="","",IFERROR(IF(INDEX(O10_Polygon_And_Area!$C$1:$C$500,MATCH($A108,O10_Polygon_And_Area!$A$1:$A$500,0))="","",INDEX(O10_Polygon_And_Area!$C$1:$C$500,MATCH($A108,O10_Polygon_And_Area!$A$1:$A$500,0))),""))</f>
        <v/>
      </c>
      <c r="AK108" s="8" t="str">
        <f aca="false">IF(COUNTA(AF108:AJ108)=0,"",COUNTIF(AF108:AJ108,"yes"))</f>
        <v/>
      </c>
    </row>
    <row r="109" customFormat="false" ht="15" hidden="false" customHeight="true" outlineLevel="0" collapsed="false">
      <c r="U109" s="8" t="str">
        <f aca="false">IF($A109="","",IFERROR(IF(INDEX(O10_Polygon_And_Area!$C$1:$C$500,MATCH($A109,O10_Polygon_And_Area!$A$1:$A$500,0))="","",INDEX(O10_Polygon_And_Area!$C$1:$C$500,MATCH($A109,O10_Polygon_And_Area!$A$1:$A$500,0))),""))</f>
        <v/>
      </c>
      <c r="AK109" s="8" t="str">
        <f aca="false">IF(COUNTA(AF109:AJ109)=0,"",COUNTIF(AF109:AJ109,"yes"))</f>
        <v/>
      </c>
    </row>
    <row r="110" customFormat="false" ht="15" hidden="false" customHeight="true" outlineLevel="0" collapsed="false">
      <c r="U110" s="8" t="str">
        <f aca="false">IF($A110="","",IFERROR(IF(INDEX(O10_Polygon_And_Area!$C$1:$C$500,MATCH($A110,O10_Polygon_And_Area!$A$1:$A$500,0))="","",INDEX(O10_Polygon_And_Area!$C$1:$C$500,MATCH($A110,O10_Polygon_And_Area!$A$1:$A$500,0))),""))</f>
        <v/>
      </c>
      <c r="AK110" s="8" t="str">
        <f aca="false">IF(COUNTA(AF110:AJ110)=0,"",COUNTIF(AF110:AJ110,"yes"))</f>
        <v/>
      </c>
    </row>
    <row r="111" customFormat="false" ht="15" hidden="false" customHeight="true" outlineLevel="0" collapsed="false">
      <c r="U111" s="8" t="str">
        <f aca="false">IF($A111="","",IFERROR(IF(INDEX(O10_Polygon_And_Area!$C$1:$C$500,MATCH($A111,O10_Polygon_And_Area!$A$1:$A$500,0))="","",INDEX(O10_Polygon_And_Area!$C$1:$C$500,MATCH($A111,O10_Polygon_And_Area!$A$1:$A$500,0))),""))</f>
        <v/>
      </c>
      <c r="AK111" s="8" t="str">
        <f aca="false">IF(COUNTA(AF111:AJ111)=0,"",COUNTIF(AF111:AJ111,"yes"))</f>
        <v/>
      </c>
    </row>
    <row r="112" customFormat="false" ht="15" hidden="false" customHeight="true" outlineLevel="0" collapsed="false">
      <c r="U112" s="8" t="str">
        <f aca="false">IF($A112="","",IFERROR(IF(INDEX(O10_Polygon_And_Area!$C$1:$C$500,MATCH($A112,O10_Polygon_And_Area!$A$1:$A$500,0))="","",INDEX(O10_Polygon_And_Area!$C$1:$C$500,MATCH($A112,O10_Polygon_And_Area!$A$1:$A$500,0))),""))</f>
        <v/>
      </c>
      <c r="AK112" s="8" t="str">
        <f aca="false">IF(COUNTA(AF112:AJ112)=0,"",COUNTIF(AF112:AJ112,"yes"))</f>
        <v/>
      </c>
    </row>
    <row r="113" customFormat="false" ht="15" hidden="false" customHeight="true" outlineLevel="0" collapsed="false">
      <c r="U113" s="8" t="str">
        <f aca="false">IF($A113="","",IFERROR(IF(INDEX(O10_Polygon_And_Area!$C$1:$C$500,MATCH($A113,O10_Polygon_And_Area!$A$1:$A$500,0))="","",INDEX(O10_Polygon_And_Area!$C$1:$C$500,MATCH($A113,O10_Polygon_And_Area!$A$1:$A$500,0))),""))</f>
        <v/>
      </c>
      <c r="AK113" s="8" t="str">
        <f aca="false">IF(COUNTA(AF113:AJ113)=0,"",COUNTIF(AF113:AJ113,"yes"))</f>
        <v/>
      </c>
    </row>
    <row r="114" customFormat="false" ht="15" hidden="false" customHeight="true" outlineLevel="0" collapsed="false">
      <c r="U114" s="8" t="str">
        <f aca="false">IF($A114="","",IFERROR(IF(INDEX(O10_Polygon_And_Area!$C$1:$C$500,MATCH($A114,O10_Polygon_And_Area!$A$1:$A$500,0))="","",INDEX(O10_Polygon_And_Area!$C$1:$C$500,MATCH($A114,O10_Polygon_And_Area!$A$1:$A$500,0))),""))</f>
        <v/>
      </c>
      <c r="AK114" s="8" t="str">
        <f aca="false">IF(COUNTA(AF114:AJ114)=0,"",COUNTIF(AF114:AJ114,"yes"))</f>
        <v/>
      </c>
    </row>
    <row r="115" customFormat="false" ht="15" hidden="false" customHeight="true" outlineLevel="0" collapsed="false">
      <c r="U115" s="8" t="str">
        <f aca="false">IF($A115="","",IFERROR(IF(INDEX(O10_Polygon_And_Area!$C$1:$C$500,MATCH($A115,O10_Polygon_And_Area!$A$1:$A$500,0))="","",INDEX(O10_Polygon_And_Area!$C$1:$C$500,MATCH($A115,O10_Polygon_And_Area!$A$1:$A$500,0))),""))</f>
        <v/>
      </c>
      <c r="AK115" s="8" t="str">
        <f aca="false">IF(COUNTA(AF115:AJ115)=0,"",COUNTIF(AF115:AJ115,"yes"))</f>
        <v/>
      </c>
    </row>
    <row r="116" customFormat="false" ht="15" hidden="false" customHeight="true" outlineLevel="0" collapsed="false">
      <c r="U116" s="8" t="str">
        <f aca="false">IF($A116="","",IFERROR(IF(INDEX(O10_Polygon_And_Area!$C$1:$C$500,MATCH($A116,O10_Polygon_And_Area!$A$1:$A$500,0))="","",INDEX(O10_Polygon_And_Area!$C$1:$C$500,MATCH($A116,O10_Polygon_And_Area!$A$1:$A$500,0))),""))</f>
        <v/>
      </c>
      <c r="AK116" s="8" t="str">
        <f aca="false">IF(COUNTA(AF116:AJ116)=0,"",COUNTIF(AF116:AJ116,"yes"))</f>
        <v/>
      </c>
    </row>
    <row r="117" customFormat="false" ht="15" hidden="false" customHeight="true" outlineLevel="0" collapsed="false">
      <c r="U117" s="8" t="str">
        <f aca="false">IF($A117="","",IFERROR(IF(INDEX(O10_Polygon_And_Area!$C$1:$C$500,MATCH($A117,O10_Polygon_And_Area!$A$1:$A$500,0))="","",INDEX(O10_Polygon_And_Area!$C$1:$C$500,MATCH($A117,O10_Polygon_And_Area!$A$1:$A$500,0))),""))</f>
        <v/>
      </c>
      <c r="AK117" s="8" t="str">
        <f aca="false">IF(COUNTA(AF117:AJ117)=0,"",COUNTIF(AF117:AJ117,"yes"))</f>
        <v/>
      </c>
    </row>
    <row r="118" customFormat="false" ht="15" hidden="false" customHeight="true" outlineLevel="0" collapsed="false">
      <c r="U118" s="8" t="str">
        <f aca="false">IF($A118="","",IFERROR(IF(INDEX(O10_Polygon_And_Area!$C$1:$C$500,MATCH($A118,O10_Polygon_And_Area!$A$1:$A$500,0))="","",INDEX(O10_Polygon_And_Area!$C$1:$C$500,MATCH($A118,O10_Polygon_And_Area!$A$1:$A$500,0))),""))</f>
        <v/>
      </c>
      <c r="AK118" s="8" t="str">
        <f aca="false">IF(COUNTA(AF118:AJ118)=0,"",COUNTIF(AF118:AJ118,"yes"))</f>
        <v/>
      </c>
    </row>
    <row r="119" customFormat="false" ht="15" hidden="false" customHeight="true" outlineLevel="0" collapsed="false">
      <c r="U119" s="8" t="str">
        <f aca="false">IF($A119="","",IFERROR(IF(INDEX(O10_Polygon_And_Area!$C$1:$C$500,MATCH($A119,O10_Polygon_And_Area!$A$1:$A$500,0))="","",INDEX(O10_Polygon_And_Area!$C$1:$C$500,MATCH($A119,O10_Polygon_And_Area!$A$1:$A$500,0))),""))</f>
        <v/>
      </c>
      <c r="AK119" s="8" t="str">
        <f aca="false">IF(COUNTA(AF119:AJ119)=0,"",COUNTIF(AF119:AJ119,"yes"))</f>
        <v/>
      </c>
    </row>
    <row r="120" customFormat="false" ht="15" hidden="false" customHeight="true" outlineLevel="0" collapsed="false">
      <c r="U120" s="8" t="str">
        <f aca="false">IF($A120="","",IFERROR(IF(INDEX(O10_Polygon_And_Area!$C$1:$C$500,MATCH($A120,O10_Polygon_And_Area!$A$1:$A$500,0))="","",INDEX(O10_Polygon_And_Area!$C$1:$C$500,MATCH($A120,O10_Polygon_And_Area!$A$1:$A$500,0))),""))</f>
        <v/>
      </c>
      <c r="AK120" s="8" t="str">
        <f aca="false">IF(COUNTA(AF120:AJ120)=0,"",COUNTIF(AF120:AJ120,"yes"))</f>
        <v/>
      </c>
    </row>
    <row r="121" customFormat="false" ht="15" hidden="false" customHeight="true" outlineLevel="0" collapsed="false">
      <c r="U121" s="8" t="str">
        <f aca="false">IF($A121="","",IFERROR(IF(INDEX(O10_Polygon_And_Area!$C$1:$C$500,MATCH($A121,O10_Polygon_And_Area!$A$1:$A$500,0))="","",INDEX(O10_Polygon_And_Area!$C$1:$C$500,MATCH($A121,O10_Polygon_And_Area!$A$1:$A$500,0))),""))</f>
        <v/>
      </c>
      <c r="AK121" s="8" t="str">
        <f aca="false">IF(COUNTA(AF121:AJ121)=0,"",COUNTIF(AF121:AJ121,"yes"))</f>
        <v/>
      </c>
    </row>
    <row r="122" customFormat="false" ht="15" hidden="false" customHeight="true" outlineLevel="0" collapsed="false">
      <c r="U122" s="8" t="str">
        <f aca="false">IF($A122="","",IFERROR(IF(INDEX(O10_Polygon_And_Area!$C$1:$C$500,MATCH($A122,O10_Polygon_And_Area!$A$1:$A$500,0))="","",INDEX(O10_Polygon_And_Area!$C$1:$C$500,MATCH($A122,O10_Polygon_And_Area!$A$1:$A$500,0))),""))</f>
        <v/>
      </c>
      <c r="AK122" s="8" t="str">
        <f aca="false">IF(COUNTA(AF122:AJ122)=0,"",COUNTIF(AF122:AJ122,"yes"))</f>
        <v/>
      </c>
    </row>
    <row r="123" customFormat="false" ht="15" hidden="false" customHeight="true" outlineLevel="0" collapsed="false">
      <c r="U123" s="8" t="str">
        <f aca="false">IF($A123="","",IFERROR(IF(INDEX(O10_Polygon_And_Area!$C$1:$C$500,MATCH($A123,O10_Polygon_And_Area!$A$1:$A$500,0))="","",INDEX(O10_Polygon_And_Area!$C$1:$C$500,MATCH($A123,O10_Polygon_And_Area!$A$1:$A$500,0))),""))</f>
        <v/>
      </c>
      <c r="AK123" s="8" t="str">
        <f aca="false">IF(COUNTA(AF123:AJ123)=0,"",COUNTIF(AF123:AJ123,"yes"))</f>
        <v/>
      </c>
    </row>
    <row r="124" customFormat="false" ht="15" hidden="false" customHeight="true" outlineLevel="0" collapsed="false">
      <c r="U124" s="8" t="str">
        <f aca="false">IF($A124="","",IFERROR(IF(INDEX(O10_Polygon_And_Area!$C$1:$C$500,MATCH($A124,O10_Polygon_And_Area!$A$1:$A$500,0))="","",INDEX(O10_Polygon_And_Area!$C$1:$C$500,MATCH($A124,O10_Polygon_And_Area!$A$1:$A$500,0))),""))</f>
        <v/>
      </c>
      <c r="AK124" s="8" t="str">
        <f aca="false">IF(COUNTA(AF124:AJ124)=0,"",COUNTIF(AF124:AJ124,"yes"))</f>
        <v/>
      </c>
    </row>
    <row r="125" customFormat="false" ht="15" hidden="false" customHeight="true" outlineLevel="0" collapsed="false">
      <c r="U125" s="8" t="str">
        <f aca="false">IF($A125="","",IFERROR(IF(INDEX(O10_Polygon_And_Area!$C$1:$C$500,MATCH($A125,O10_Polygon_And_Area!$A$1:$A$500,0))="","",INDEX(O10_Polygon_And_Area!$C$1:$C$500,MATCH($A125,O10_Polygon_And_Area!$A$1:$A$500,0))),""))</f>
        <v/>
      </c>
      <c r="AK125" s="8" t="str">
        <f aca="false">IF(COUNTA(AF125:AJ125)=0,"",COUNTIF(AF125:AJ125,"yes"))</f>
        <v/>
      </c>
    </row>
    <row r="126" customFormat="false" ht="15" hidden="false" customHeight="true" outlineLevel="0" collapsed="false">
      <c r="U126" s="8" t="str">
        <f aca="false">IF($A126="","",IFERROR(IF(INDEX(O10_Polygon_And_Area!$C$1:$C$500,MATCH($A126,O10_Polygon_And_Area!$A$1:$A$500,0))="","",INDEX(O10_Polygon_And_Area!$C$1:$C$500,MATCH($A126,O10_Polygon_And_Area!$A$1:$A$500,0))),""))</f>
        <v/>
      </c>
      <c r="AK126" s="8" t="str">
        <f aca="false">IF(COUNTA(AF126:AJ126)=0,"",COUNTIF(AF126:AJ126,"yes"))</f>
        <v/>
      </c>
    </row>
    <row r="127" customFormat="false" ht="15" hidden="false" customHeight="true" outlineLevel="0" collapsed="false">
      <c r="U127" s="8" t="str">
        <f aca="false">IF($A127="","",IFERROR(IF(INDEX(O10_Polygon_And_Area!$C$1:$C$500,MATCH($A127,O10_Polygon_And_Area!$A$1:$A$500,0))="","",INDEX(O10_Polygon_And_Area!$C$1:$C$500,MATCH($A127,O10_Polygon_And_Area!$A$1:$A$500,0))),""))</f>
        <v/>
      </c>
      <c r="AK127" s="8" t="str">
        <f aca="false">IF(COUNTA(AF127:AJ127)=0,"",COUNTIF(AF127:AJ127,"yes"))</f>
        <v/>
      </c>
    </row>
    <row r="128" customFormat="false" ht="15" hidden="false" customHeight="true" outlineLevel="0" collapsed="false">
      <c r="U128" s="8" t="str">
        <f aca="false">IF($A128="","",IFERROR(IF(INDEX(O10_Polygon_And_Area!$C$1:$C$500,MATCH($A128,O10_Polygon_And_Area!$A$1:$A$500,0))="","",INDEX(O10_Polygon_And_Area!$C$1:$C$500,MATCH($A128,O10_Polygon_And_Area!$A$1:$A$500,0))),""))</f>
        <v/>
      </c>
      <c r="AK128" s="8" t="str">
        <f aca="false">IF(COUNTA(AF128:AJ128)=0,"",COUNTIF(AF128:AJ128,"yes"))</f>
        <v/>
      </c>
    </row>
    <row r="129" customFormat="false" ht="15" hidden="false" customHeight="true" outlineLevel="0" collapsed="false">
      <c r="U129" s="8" t="str">
        <f aca="false">IF($A129="","",IFERROR(IF(INDEX(O10_Polygon_And_Area!$C$1:$C$500,MATCH($A129,O10_Polygon_And_Area!$A$1:$A$500,0))="","",INDEX(O10_Polygon_And_Area!$C$1:$C$500,MATCH($A129,O10_Polygon_And_Area!$A$1:$A$500,0))),""))</f>
        <v/>
      </c>
      <c r="AK129" s="8" t="str">
        <f aca="false">IF(COUNTA(AF129:AJ129)=0,"",COUNTIF(AF129:AJ129,"yes"))</f>
        <v/>
      </c>
    </row>
    <row r="130" customFormat="false" ht="15" hidden="false" customHeight="true" outlineLevel="0" collapsed="false">
      <c r="U130" s="8" t="str">
        <f aca="false">IF($A130="","",IFERROR(IF(INDEX(O10_Polygon_And_Area!$C$1:$C$500,MATCH($A130,O10_Polygon_And_Area!$A$1:$A$500,0))="","",INDEX(O10_Polygon_And_Area!$C$1:$C$500,MATCH($A130,O10_Polygon_And_Area!$A$1:$A$500,0))),""))</f>
        <v/>
      </c>
      <c r="AK130" s="8" t="str">
        <f aca="false">IF(COUNTA(AF130:AJ130)=0,"",COUNTIF(AF130:AJ130,"yes"))</f>
        <v/>
      </c>
    </row>
    <row r="131" customFormat="false" ht="15" hidden="false" customHeight="true" outlineLevel="0" collapsed="false">
      <c r="U131" s="8" t="str">
        <f aca="false">IF($A131="","",IFERROR(IF(INDEX(O10_Polygon_And_Area!$C$1:$C$500,MATCH($A131,O10_Polygon_And_Area!$A$1:$A$500,0))="","",INDEX(O10_Polygon_And_Area!$C$1:$C$500,MATCH($A131,O10_Polygon_And_Area!$A$1:$A$500,0))),""))</f>
        <v/>
      </c>
      <c r="AK131" s="8" t="str">
        <f aca="false">IF(COUNTA(AF131:AJ131)=0,"",COUNTIF(AF131:AJ131,"yes"))</f>
        <v/>
      </c>
    </row>
    <row r="132" customFormat="false" ht="15" hidden="false" customHeight="true" outlineLevel="0" collapsed="false">
      <c r="U132" s="8" t="str">
        <f aca="false">IF($A132="","",IFERROR(IF(INDEX(O10_Polygon_And_Area!$C$1:$C$500,MATCH($A132,O10_Polygon_And_Area!$A$1:$A$500,0))="","",INDEX(O10_Polygon_And_Area!$C$1:$C$500,MATCH($A132,O10_Polygon_And_Area!$A$1:$A$500,0))),""))</f>
        <v/>
      </c>
      <c r="AK132" s="8" t="str">
        <f aca="false">IF(COUNTA(AF132:AJ132)=0,"",COUNTIF(AF132:AJ132,"yes"))</f>
        <v/>
      </c>
    </row>
    <row r="133" customFormat="false" ht="15" hidden="false" customHeight="true" outlineLevel="0" collapsed="false">
      <c r="U133" s="8" t="str">
        <f aca="false">IF($A133="","",IFERROR(IF(INDEX(O10_Polygon_And_Area!$C$1:$C$500,MATCH($A133,O10_Polygon_And_Area!$A$1:$A$500,0))="","",INDEX(O10_Polygon_And_Area!$C$1:$C$500,MATCH($A133,O10_Polygon_And_Area!$A$1:$A$500,0))),""))</f>
        <v/>
      </c>
      <c r="AK133" s="8" t="str">
        <f aca="false">IF(COUNTA(AF133:AJ133)=0,"",COUNTIF(AF133:AJ133,"yes"))</f>
        <v/>
      </c>
    </row>
    <row r="134" customFormat="false" ht="15" hidden="false" customHeight="true" outlineLevel="0" collapsed="false">
      <c r="U134" s="8" t="str">
        <f aca="false">IF($A134="","",IFERROR(IF(INDEX(O10_Polygon_And_Area!$C$1:$C$500,MATCH($A134,O10_Polygon_And_Area!$A$1:$A$500,0))="","",INDEX(O10_Polygon_And_Area!$C$1:$C$500,MATCH($A134,O10_Polygon_And_Area!$A$1:$A$500,0))),""))</f>
        <v/>
      </c>
      <c r="AK134" s="8" t="str">
        <f aca="false">IF(COUNTA(AF134:AJ134)=0,"",COUNTIF(AF134:AJ134,"yes"))</f>
        <v/>
      </c>
    </row>
    <row r="135" customFormat="false" ht="15" hidden="false" customHeight="true" outlineLevel="0" collapsed="false">
      <c r="U135" s="8" t="str">
        <f aca="false">IF($A135="","",IFERROR(IF(INDEX(O10_Polygon_And_Area!$C$1:$C$500,MATCH($A135,O10_Polygon_And_Area!$A$1:$A$500,0))="","",INDEX(O10_Polygon_And_Area!$C$1:$C$500,MATCH($A135,O10_Polygon_And_Area!$A$1:$A$500,0))),""))</f>
        <v/>
      </c>
      <c r="AK135" s="8" t="str">
        <f aca="false">IF(COUNTA(AF135:AJ135)=0,"",COUNTIF(AF135:AJ135,"yes"))</f>
        <v/>
      </c>
    </row>
    <row r="136" customFormat="false" ht="15" hidden="false" customHeight="true" outlineLevel="0" collapsed="false">
      <c r="U136" s="8" t="str">
        <f aca="false">IF($A136="","",IFERROR(IF(INDEX(O10_Polygon_And_Area!$C$1:$C$500,MATCH($A136,O10_Polygon_And_Area!$A$1:$A$500,0))="","",INDEX(O10_Polygon_And_Area!$C$1:$C$500,MATCH($A136,O10_Polygon_And_Area!$A$1:$A$500,0))),""))</f>
        <v/>
      </c>
      <c r="AK136" s="8" t="str">
        <f aca="false">IF(COUNTA(AF136:AJ136)=0,"",COUNTIF(AF136:AJ136,"yes"))</f>
        <v/>
      </c>
    </row>
    <row r="137" customFormat="false" ht="15" hidden="false" customHeight="true" outlineLevel="0" collapsed="false">
      <c r="U137" s="8" t="str">
        <f aca="false">IF($A137="","",IFERROR(IF(INDEX(O10_Polygon_And_Area!$C$1:$C$500,MATCH($A137,O10_Polygon_And_Area!$A$1:$A$500,0))="","",INDEX(O10_Polygon_And_Area!$C$1:$C$500,MATCH($A137,O10_Polygon_And_Area!$A$1:$A$500,0))),""))</f>
        <v/>
      </c>
      <c r="AK137" s="8" t="str">
        <f aca="false">IF(COUNTA(AF137:AJ137)=0,"",COUNTIF(AF137:AJ137,"yes"))</f>
        <v/>
      </c>
    </row>
    <row r="138" customFormat="false" ht="15" hidden="false" customHeight="true" outlineLevel="0" collapsed="false">
      <c r="U138" s="8" t="str">
        <f aca="false">IF($A138="","",IFERROR(IF(INDEX(O10_Polygon_And_Area!$C$1:$C$500,MATCH($A138,O10_Polygon_And_Area!$A$1:$A$500,0))="","",INDEX(O10_Polygon_And_Area!$C$1:$C$500,MATCH($A138,O10_Polygon_And_Area!$A$1:$A$500,0))),""))</f>
        <v/>
      </c>
      <c r="AK138" s="8" t="str">
        <f aca="false">IF(COUNTA(AF138:AJ138)=0,"",COUNTIF(AF138:AJ138,"yes"))</f>
        <v/>
      </c>
    </row>
    <row r="139" customFormat="false" ht="15" hidden="false" customHeight="true" outlineLevel="0" collapsed="false">
      <c r="U139" s="8" t="str">
        <f aca="false">IF($A139="","",IFERROR(IF(INDEX(O10_Polygon_And_Area!$C$1:$C$500,MATCH($A139,O10_Polygon_And_Area!$A$1:$A$500,0))="","",INDEX(O10_Polygon_And_Area!$C$1:$C$500,MATCH($A139,O10_Polygon_And_Area!$A$1:$A$500,0))),""))</f>
        <v/>
      </c>
      <c r="AK139" s="8" t="str">
        <f aca="false">IF(COUNTA(AF139:AJ139)=0,"",COUNTIF(AF139:AJ139,"yes"))</f>
        <v/>
      </c>
    </row>
    <row r="140" customFormat="false" ht="15" hidden="false" customHeight="true" outlineLevel="0" collapsed="false">
      <c r="U140" s="8" t="str">
        <f aca="false">IF($A140="","",IFERROR(IF(INDEX(O10_Polygon_And_Area!$C$1:$C$500,MATCH($A140,O10_Polygon_And_Area!$A$1:$A$500,0))="","",INDEX(O10_Polygon_And_Area!$C$1:$C$500,MATCH($A140,O10_Polygon_And_Area!$A$1:$A$500,0))),""))</f>
        <v/>
      </c>
      <c r="AK140" s="8" t="str">
        <f aca="false">IF(COUNTA(AF140:AJ140)=0,"",COUNTIF(AF140:AJ140,"yes"))</f>
        <v/>
      </c>
    </row>
    <row r="141" customFormat="false" ht="15" hidden="false" customHeight="true" outlineLevel="0" collapsed="false">
      <c r="U141" s="8" t="str">
        <f aca="false">IF($A141="","",IFERROR(IF(INDEX(O10_Polygon_And_Area!$C$1:$C$500,MATCH($A141,O10_Polygon_And_Area!$A$1:$A$500,0))="","",INDEX(O10_Polygon_And_Area!$C$1:$C$500,MATCH($A141,O10_Polygon_And_Area!$A$1:$A$500,0))),""))</f>
        <v/>
      </c>
      <c r="AK141" s="8" t="str">
        <f aca="false">IF(COUNTA(AF141:AJ141)=0,"",COUNTIF(AF141:AJ141,"yes"))</f>
        <v/>
      </c>
    </row>
    <row r="142" customFormat="false" ht="15" hidden="false" customHeight="true" outlineLevel="0" collapsed="false">
      <c r="U142" s="8" t="str">
        <f aca="false">IF($A142="","",IFERROR(IF(INDEX(O10_Polygon_And_Area!$C$1:$C$500,MATCH($A142,O10_Polygon_And_Area!$A$1:$A$500,0))="","",INDEX(O10_Polygon_And_Area!$C$1:$C$500,MATCH($A142,O10_Polygon_And_Area!$A$1:$A$500,0))),""))</f>
        <v/>
      </c>
      <c r="AK142" s="8" t="str">
        <f aca="false">IF(COUNTA(AF142:AJ142)=0,"",COUNTIF(AF142:AJ142,"yes"))</f>
        <v/>
      </c>
    </row>
    <row r="143" customFormat="false" ht="15" hidden="false" customHeight="true" outlineLevel="0" collapsed="false">
      <c r="U143" s="8" t="str">
        <f aca="false">IF($A143="","",IFERROR(IF(INDEX(O10_Polygon_And_Area!$C$1:$C$500,MATCH($A143,O10_Polygon_And_Area!$A$1:$A$500,0))="","",INDEX(O10_Polygon_And_Area!$C$1:$C$500,MATCH($A143,O10_Polygon_And_Area!$A$1:$A$500,0))),""))</f>
        <v/>
      </c>
      <c r="AK143" s="8" t="str">
        <f aca="false">IF(COUNTA(AF143:AJ143)=0,"",COUNTIF(AF143:AJ143,"yes"))</f>
        <v/>
      </c>
    </row>
    <row r="144" customFormat="false" ht="15" hidden="false" customHeight="true" outlineLevel="0" collapsed="false">
      <c r="U144" s="8" t="str">
        <f aca="false">IF($A144="","",IFERROR(IF(INDEX(O10_Polygon_And_Area!$C$1:$C$500,MATCH($A144,O10_Polygon_And_Area!$A$1:$A$500,0))="","",INDEX(O10_Polygon_And_Area!$C$1:$C$500,MATCH($A144,O10_Polygon_And_Area!$A$1:$A$500,0))),""))</f>
        <v/>
      </c>
      <c r="AK144" s="8" t="str">
        <f aca="false">IF(COUNTA(AF144:AJ144)=0,"",COUNTIF(AF144:AJ144,"yes"))</f>
        <v/>
      </c>
    </row>
    <row r="145" customFormat="false" ht="15" hidden="false" customHeight="true" outlineLevel="0" collapsed="false">
      <c r="U145" s="8" t="str">
        <f aca="false">IF($A145="","",IFERROR(IF(INDEX(O10_Polygon_And_Area!$C$1:$C$500,MATCH($A145,O10_Polygon_And_Area!$A$1:$A$500,0))="","",INDEX(O10_Polygon_And_Area!$C$1:$C$500,MATCH($A145,O10_Polygon_And_Area!$A$1:$A$500,0))),""))</f>
        <v/>
      </c>
      <c r="AK145" s="8" t="str">
        <f aca="false">IF(COUNTA(AF145:AJ145)=0,"",COUNTIF(AF145:AJ145,"yes"))</f>
        <v/>
      </c>
    </row>
    <row r="146" customFormat="false" ht="15" hidden="false" customHeight="true" outlineLevel="0" collapsed="false">
      <c r="U146" s="8" t="str">
        <f aca="false">IF($A146="","",IFERROR(IF(INDEX(O10_Polygon_And_Area!$C$1:$C$500,MATCH($A146,O10_Polygon_And_Area!$A$1:$A$500,0))="","",INDEX(O10_Polygon_And_Area!$C$1:$C$500,MATCH($A146,O10_Polygon_And_Area!$A$1:$A$500,0))),""))</f>
        <v/>
      </c>
      <c r="AK146" s="8" t="str">
        <f aca="false">IF(COUNTA(AF146:AJ146)=0,"",COUNTIF(AF146:AJ146,"yes"))</f>
        <v/>
      </c>
    </row>
    <row r="147" customFormat="false" ht="15" hidden="false" customHeight="true" outlineLevel="0" collapsed="false">
      <c r="U147" s="8" t="str">
        <f aca="false">IF($A147="","",IFERROR(IF(INDEX(O10_Polygon_And_Area!$C$1:$C$500,MATCH($A147,O10_Polygon_And_Area!$A$1:$A$500,0))="","",INDEX(O10_Polygon_And_Area!$C$1:$C$500,MATCH($A147,O10_Polygon_And_Area!$A$1:$A$500,0))),""))</f>
        <v/>
      </c>
      <c r="AK147" s="8" t="str">
        <f aca="false">IF(COUNTA(AF147:AJ147)=0,"",COUNTIF(AF147:AJ147,"yes"))</f>
        <v/>
      </c>
    </row>
    <row r="148" customFormat="false" ht="15" hidden="false" customHeight="true" outlineLevel="0" collapsed="false">
      <c r="U148" s="8" t="str">
        <f aca="false">IF($A148="","",IFERROR(IF(INDEX(O10_Polygon_And_Area!$C$1:$C$500,MATCH($A148,O10_Polygon_And_Area!$A$1:$A$500,0))="","",INDEX(O10_Polygon_And_Area!$C$1:$C$500,MATCH($A148,O10_Polygon_And_Area!$A$1:$A$500,0))),""))</f>
        <v/>
      </c>
      <c r="AK148" s="8" t="str">
        <f aca="false">IF(COUNTA(AF148:AJ148)=0,"",COUNTIF(AF148:AJ148,"yes"))</f>
        <v/>
      </c>
    </row>
    <row r="149" customFormat="false" ht="15" hidden="false" customHeight="true" outlineLevel="0" collapsed="false">
      <c r="U149" s="8" t="str">
        <f aca="false">IF($A149="","",IFERROR(IF(INDEX(O10_Polygon_And_Area!$C$1:$C$500,MATCH($A149,O10_Polygon_And_Area!$A$1:$A$500,0))="","",INDEX(O10_Polygon_And_Area!$C$1:$C$500,MATCH($A149,O10_Polygon_And_Area!$A$1:$A$500,0))),""))</f>
        <v/>
      </c>
      <c r="AK149" s="8" t="str">
        <f aca="false">IF(COUNTA(AF149:AJ149)=0,"",COUNTIF(AF149:AJ149,"yes"))</f>
        <v/>
      </c>
    </row>
    <row r="150" customFormat="false" ht="15" hidden="false" customHeight="true" outlineLevel="0" collapsed="false">
      <c r="U150" s="8" t="str">
        <f aca="false">IF($A150="","",IFERROR(IF(INDEX(O10_Polygon_And_Area!$C$1:$C$500,MATCH($A150,O10_Polygon_And_Area!$A$1:$A$500,0))="","",INDEX(O10_Polygon_And_Area!$C$1:$C$500,MATCH($A150,O10_Polygon_And_Area!$A$1:$A$500,0))),""))</f>
        <v/>
      </c>
      <c r="AK150" s="8" t="str">
        <f aca="false">IF(COUNTA(AF150:AJ150)=0,"",COUNTIF(AF150:AJ150,"yes"))</f>
        <v/>
      </c>
    </row>
    <row r="151" customFormat="false" ht="15" hidden="false" customHeight="true" outlineLevel="0" collapsed="false">
      <c r="U151" s="8" t="str">
        <f aca="false">IF($A151="","",IFERROR(IF(INDEX(O10_Polygon_And_Area!$C$1:$C$500,MATCH($A151,O10_Polygon_And_Area!$A$1:$A$500,0))="","",INDEX(O10_Polygon_And_Area!$C$1:$C$500,MATCH($A151,O10_Polygon_And_Area!$A$1:$A$500,0))),""))</f>
        <v/>
      </c>
      <c r="AK151" s="8" t="str">
        <f aca="false">IF(COUNTA(AF151:AJ151)=0,"",COUNTIF(AF151:AJ151,"yes"))</f>
        <v/>
      </c>
    </row>
    <row r="152" customFormat="false" ht="15" hidden="false" customHeight="true" outlineLevel="0" collapsed="false">
      <c r="U152" s="8" t="str">
        <f aca="false">IF($A152="","",IFERROR(IF(INDEX(O10_Polygon_And_Area!$C$1:$C$500,MATCH($A152,O10_Polygon_And_Area!$A$1:$A$500,0))="","",INDEX(O10_Polygon_And_Area!$C$1:$C$500,MATCH($A152,O10_Polygon_And_Area!$A$1:$A$500,0))),""))</f>
        <v/>
      </c>
      <c r="AK152" s="8" t="str">
        <f aca="false">IF(COUNTA(AF152:AJ152)=0,"",COUNTIF(AF152:AJ152,"yes"))</f>
        <v/>
      </c>
    </row>
    <row r="153" customFormat="false" ht="15" hidden="false" customHeight="true" outlineLevel="0" collapsed="false">
      <c r="U153" s="8" t="str">
        <f aca="false">IF($A153="","",IFERROR(IF(INDEX(O10_Polygon_And_Area!$C$1:$C$500,MATCH($A153,O10_Polygon_And_Area!$A$1:$A$500,0))="","",INDEX(O10_Polygon_And_Area!$C$1:$C$500,MATCH($A153,O10_Polygon_And_Area!$A$1:$A$500,0))),""))</f>
        <v/>
      </c>
      <c r="AK153" s="8" t="str">
        <f aca="false">IF(COUNTA(AF153:AJ153)=0,"",COUNTIF(AF153:AJ153,"yes"))</f>
        <v/>
      </c>
    </row>
    <row r="154" customFormat="false" ht="15" hidden="false" customHeight="true" outlineLevel="0" collapsed="false">
      <c r="U154" s="8" t="str">
        <f aca="false">IF($A154="","",IFERROR(IF(INDEX(O10_Polygon_And_Area!$C$1:$C$500,MATCH($A154,O10_Polygon_And_Area!$A$1:$A$500,0))="","",INDEX(O10_Polygon_And_Area!$C$1:$C$500,MATCH($A154,O10_Polygon_And_Area!$A$1:$A$500,0))),""))</f>
        <v/>
      </c>
      <c r="AK154" s="8" t="str">
        <f aca="false">IF(COUNTA(AF154:AJ154)=0,"",COUNTIF(AF154:AJ154,"yes"))</f>
        <v/>
      </c>
    </row>
    <row r="155" customFormat="false" ht="15" hidden="false" customHeight="true" outlineLevel="0" collapsed="false">
      <c r="U155" s="8" t="str">
        <f aca="false">IF($A155="","",IFERROR(IF(INDEX(O10_Polygon_And_Area!$C$1:$C$500,MATCH($A155,O10_Polygon_And_Area!$A$1:$A$500,0))="","",INDEX(O10_Polygon_And_Area!$C$1:$C$500,MATCH($A155,O10_Polygon_And_Area!$A$1:$A$500,0))),""))</f>
        <v/>
      </c>
      <c r="AK155" s="8" t="str">
        <f aca="false">IF(COUNTA(AF155:AJ155)=0,"",COUNTIF(AF155:AJ155,"yes"))</f>
        <v/>
      </c>
    </row>
    <row r="156" customFormat="false" ht="15" hidden="false" customHeight="true" outlineLevel="0" collapsed="false">
      <c r="U156" s="8" t="str">
        <f aca="false">IF($A156="","",IFERROR(IF(INDEX(O10_Polygon_And_Area!$C$1:$C$500,MATCH($A156,O10_Polygon_And_Area!$A$1:$A$500,0))="","",INDEX(O10_Polygon_And_Area!$C$1:$C$500,MATCH($A156,O10_Polygon_And_Area!$A$1:$A$500,0))),""))</f>
        <v/>
      </c>
      <c r="AK156" s="8" t="str">
        <f aca="false">IF(COUNTA(AF156:AJ156)=0,"",COUNTIF(AF156:AJ156,"yes"))</f>
        <v/>
      </c>
    </row>
    <row r="157" customFormat="false" ht="15" hidden="false" customHeight="true" outlineLevel="0" collapsed="false">
      <c r="U157" s="8" t="str">
        <f aca="false">IF($A157="","",IFERROR(IF(INDEX(O10_Polygon_And_Area!$C$1:$C$500,MATCH($A157,O10_Polygon_And_Area!$A$1:$A$500,0))="","",INDEX(O10_Polygon_And_Area!$C$1:$C$500,MATCH($A157,O10_Polygon_And_Area!$A$1:$A$500,0))),""))</f>
        <v/>
      </c>
      <c r="AK157" s="8" t="str">
        <f aca="false">IF(COUNTA(AF157:AJ157)=0,"",COUNTIF(AF157:AJ157,"yes"))</f>
        <v/>
      </c>
    </row>
    <row r="158" customFormat="false" ht="15" hidden="false" customHeight="true" outlineLevel="0" collapsed="false">
      <c r="U158" s="8" t="str">
        <f aca="false">IF($A158="","",IFERROR(IF(INDEX(O10_Polygon_And_Area!$C$1:$C$500,MATCH($A158,O10_Polygon_And_Area!$A$1:$A$500,0))="","",INDEX(O10_Polygon_And_Area!$C$1:$C$500,MATCH($A158,O10_Polygon_And_Area!$A$1:$A$500,0))),""))</f>
        <v/>
      </c>
      <c r="AK158" s="8" t="str">
        <f aca="false">IF(COUNTA(AF158:AJ158)=0,"",COUNTIF(AF158:AJ158,"yes"))</f>
        <v/>
      </c>
    </row>
    <row r="159" customFormat="false" ht="15" hidden="false" customHeight="true" outlineLevel="0" collapsed="false">
      <c r="U159" s="8" t="str">
        <f aca="false">IF($A159="","",IFERROR(IF(INDEX(O10_Polygon_And_Area!$C$1:$C$500,MATCH($A159,O10_Polygon_And_Area!$A$1:$A$500,0))="","",INDEX(O10_Polygon_And_Area!$C$1:$C$500,MATCH($A159,O10_Polygon_And_Area!$A$1:$A$500,0))),""))</f>
        <v/>
      </c>
      <c r="AK159" s="8" t="str">
        <f aca="false">IF(COUNTA(AF159:AJ159)=0,"",COUNTIF(AF159:AJ159,"yes"))</f>
        <v/>
      </c>
    </row>
    <row r="160" customFormat="false" ht="15" hidden="false" customHeight="true" outlineLevel="0" collapsed="false">
      <c r="U160" s="8" t="str">
        <f aca="false">IF($A160="","",IFERROR(IF(INDEX(O10_Polygon_And_Area!$C$1:$C$500,MATCH($A160,O10_Polygon_And_Area!$A$1:$A$500,0))="","",INDEX(O10_Polygon_And_Area!$C$1:$C$500,MATCH($A160,O10_Polygon_And_Area!$A$1:$A$500,0))),""))</f>
        <v/>
      </c>
      <c r="AK160" s="8" t="str">
        <f aca="false">IF(COUNTA(AF160:AJ160)=0,"",COUNTIF(AF160:AJ160,"yes"))</f>
        <v/>
      </c>
    </row>
    <row r="161" customFormat="false" ht="15" hidden="false" customHeight="true" outlineLevel="0" collapsed="false">
      <c r="U161" s="8" t="str">
        <f aca="false">IF($A161="","",IFERROR(IF(INDEX(O10_Polygon_And_Area!$C$1:$C$500,MATCH($A161,O10_Polygon_And_Area!$A$1:$A$500,0))="","",INDEX(O10_Polygon_And_Area!$C$1:$C$500,MATCH($A161,O10_Polygon_And_Area!$A$1:$A$500,0))),""))</f>
        <v/>
      </c>
      <c r="AK161" s="8" t="str">
        <f aca="false">IF(COUNTA(AF161:AJ161)=0,"",COUNTIF(AF161:AJ161,"yes"))</f>
        <v/>
      </c>
    </row>
    <row r="162" customFormat="false" ht="15" hidden="false" customHeight="true" outlineLevel="0" collapsed="false">
      <c r="U162" s="8" t="str">
        <f aca="false">IF($A162="","",IFERROR(IF(INDEX(O10_Polygon_And_Area!$C$1:$C$500,MATCH($A162,O10_Polygon_And_Area!$A$1:$A$500,0))="","",INDEX(O10_Polygon_And_Area!$C$1:$C$500,MATCH($A162,O10_Polygon_And_Area!$A$1:$A$500,0))),""))</f>
        <v/>
      </c>
      <c r="AK162" s="8" t="str">
        <f aca="false">IF(COUNTA(AF162:AJ162)=0,"",COUNTIF(AF162:AJ162,"yes"))</f>
        <v/>
      </c>
    </row>
    <row r="163" customFormat="false" ht="15" hidden="false" customHeight="true" outlineLevel="0" collapsed="false">
      <c r="U163" s="8" t="str">
        <f aca="false">IF($A163="","",IFERROR(IF(INDEX(O10_Polygon_And_Area!$C$1:$C$500,MATCH($A163,O10_Polygon_And_Area!$A$1:$A$500,0))="","",INDEX(O10_Polygon_And_Area!$C$1:$C$500,MATCH($A163,O10_Polygon_And_Area!$A$1:$A$500,0))),""))</f>
        <v/>
      </c>
      <c r="AK163" s="8" t="str">
        <f aca="false">IF(COUNTA(AF163:AJ163)=0,"",COUNTIF(AF163:AJ163,"yes"))</f>
        <v/>
      </c>
    </row>
    <row r="164" customFormat="false" ht="15" hidden="false" customHeight="true" outlineLevel="0" collapsed="false">
      <c r="U164" s="8" t="str">
        <f aca="false">IF($A164="","",IFERROR(IF(INDEX(O10_Polygon_And_Area!$C$1:$C$500,MATCH($A164,O10_Polygon_And_Area!$A$1:$A$500,0))="","",INDEX(O10_Polygon_And_Area!$C$1:$C$500,MATCH($A164,O10_Polygon_And_Area!$A$1:$A$500,0))),""))</f>
        <v/>
      </c>
      <c r="AK164" s="8" t="str">
        <f aca="false">IF(COUNTA(AF164:AJ164)=0,"",COUNTIF(AF164:AJ164,"yes"))</f>
        <v/>
      </c>
    </row>
    <row r="165" customFormat="false" ht="15" hidden="false" customHeight="true" outlineLevel="0" collapsed="false">
      <c r="U165" s="8" t="str">
        <f aca="false">IF($A165="","",IFERROR(IF(INDEX(O10_Polygon_And_Area!$C$1:$C$500,MATCH($A165,O10_Polygon_And_Area!$A$1:$A$500,0))="","",INDEX(O10_Polygon_And_Area!$C$1:$C$500,MATCH($A165,O10_Polygon_And_Area!$A$1:$A$500,0))),""))</f>
        <v/>
      </c>
      <c r="AK165" s="8" t="str">
        <f aca="false">IF(COUNTA(AF165:AJ165)=0,"",COUNTIF(AF165:AJ165,"yes"))</f>
        <v/>
      </c>
    </row>
    <row r="166" customFormat="false" ht="15" hidden="false" customHeight="true" outlineLevel="0" collapsed="false">
      <c r="U166" s="8" t="str">
        <f aca="false">IF($A166="","",IFERROR(IF(INDEX(O10_Polygon_And_Area!$C$1:$C$500,MATCH($A166,O10_Polygon_And_Area!$A$1:$A$500,0))="","",INDEX(O10_Polygon_And_Area!$C$1:$C$500,MATCH($A166,O10_Polygon_And_Area!$A$1:$A$500,0))),""))</f>
        <v/>
      </c>
      <c r="AK166" s="8" t="str">
        <f aca="false">IF(COUNTA(AF166:AJ166)=0,"",COUNTIF(AF166:AJ166,"yes"))</f>
        <v/>
      </c>
    </row>
    <row r="167" customFormat="false" ht="15" hidden="false" customHeight="true" outlineLevel="0" collapsed="false">
      <c r="U167" s="8" t="str">
        <f aca="false">IF($A167="","",IFERROR(IF(INDEX(O10_Polygon_And_Area!$C$1:$C$500,MATCH($A167,O10_Polygon_And_Area!$A$1:$A$500,0))="","",INDEX(O10_Polygon_And_Area!$C$1:$C$500,MATCH($A167,O10_Polygon_And_Area!$A$1:$A$500,0))),""))</f>
        <v/>
      </c>
      <c r="AK167" s="8" t="str">
        <f aca="false">IF(COUNTA(AF167:AJ167)=0,"",COUNTIF(AF167:AJ167,"yes"))</f>
        <v/>
      </c>
    </row>
    <row r="168" customFormat="false" ht="15" hidden="false" customHeight="true" outlineLevel="0" collapsed="false">
      <c r="U168" s="8" t="str">
        <f aca="false">IF($A168="","",IFERROR(IF(INDEX(O10_Polygon_And_Area!$C$1:$C$500,MATCH($A168,O10_Polygon_And_Area!$A$1:$A$500,0))="","",INDEX(O10_Polygon_And_Area!$C$1:$C$500,MATCH($A168,O10_Polygon_And_Area!$A$1:$A$500,0))),""))</f>
        <v/>
      </c>
      <c r="AK168" s="8" t="str">
        <f aca="false">IF(COUNTA(AF168:AJ168)=0,"",COUNTIF(AF168:AJ168,"yes"))</f>
        <v/>
      </c>
    </row>
    <row r="169" customFormat="false" ht="15" hidden="false" customHeight="true" outlineLevel="0" collapsed="false">
      <c r="U169" s="8" t="str">
        <f aca="false">IF($A169="","",IFERROR(IF(INDEX(O10_Polygon_And_Area!$C$1:$C$500,MATCH($A169,O10_Polygon_And_Area!$A$1:$A$500,0))="","",INDEX(O10_Polygon_And_Area!$C$1:$C$500,MATCH($A169,O10_Polygon_And_Area!$A$1:$A$500,0))),""))</f>
        <v/>
      </c>
      <c r="AK169" s="8" t="str">
        <f aca="false">IF(COUNTA(AF169:AJ169)=0,"",COUNTIF(AF169:AJ169,"yes"))</f>
        <v/>
      </c>
    </row>
    <row r="170" customFormat="false" ht="15" hidden="false" customHeight="true" outlineLevel="0" collapsed="false">
      <c r="U170" s="8" t="str">
        <f aca="false">IF($A170="","",IFERROR(IF(INDEX(O10_Polygon_And_Area!$C$1:$C$500,MATCH($A170,O10_Polygon_And_Area!$A$1:$A$500,0))="","",INDEX(O10_Polygon_And_Area!$C$1:$C$500,MATCH($A170,O10_Polygon_And_Area!$A$1:$A$500,0))),""))</f>
        <v/>
      </c>
      <c r="AK170" s="8" t="str">
        <f aca="false">IF(COUNTA(AF170:AJ170)=0,"",COUNTIF(AF170:AJ170,"yes"))</f>
        <v/>
      </c>
    </row>
    <row r="171" customFormat="false" ht="15" hidden="false" customHeight="true" outlineLevel="0" collapsed="false">
      <c r="U171" s="8" t="str">
        <f aca="false">IF($A171="","",IFERROR(IF(INDEX(O10_Polygon_And_Area!$C$1:$C$500,MATCH($A171,O10_Polygon_And_Area!$A$1:$A$500,0))="","",INDEX(O10_Polygon_And_Area!$C$1:$C$500,MATCH($A171,O10_Polygon_And_Area!$A$1:$A$500,0))),""))</f>
        <v/>
      </c>
      <c r="AK171" s="8" t="str">
        <f aca="false">IF(COUNTA(AF171:AJ171)=0,"",COUNTIF(AF171:AJ171,"yes"))</f>
        <v/>
      </c>
    </row>
    <row r="172" customFormat="false" ht="15" hidden="false" customHeight="true" outlineLevel="0" collapsed="false">
      <c r="U172" s="8" t="str">
        <f aca="false">IF($A172="","",IFERROR(IF(INDEX(O10_Polygon_And_Area!$C$1:$C$500,MATCH($A172,O10_Polygon_And_Area!$A$1:$A$500,0))="","",INDEX(O10_Polygon_And_Area!$C$1:$C$500,MATCH($A172,O10_Polygon_And_Area!$A$1:$A$500,0))),""))</f>
        <v/>
      </c>
      <c r="AK172" s="8" t="str">
        <f aca="false">IF(COUNTA(AF172:AJ172)=0,"",COUNTIF(AF172:AJ172,"yes"))</f>
        <v/>
      </c>
    </row>
    <row r="173" customFormat="false" ht="15" hidden="false" customHeight="true" outlineLevel="0" collapsed="false">
      <c r="U173" s="8" t="str">
        <f aca="false">IF($A173="","",IFERROR(IF(INDEX(O10_Polygon_And_Area!$C$1:$C$500,MATCH($A173,O10_Polygon_And_Area!$A$1:$A$500,0))="","",INDEX(O10_Polygon_And_Area!$C$1:$C$500,MATCH($A173,O10_Polygon_And_Area!$A$1:$A$500,0))),""))</f>
        <v/>
      </c>
      <c r="AK173" s="8" t="str">
        <f aca="false">IF(COUNTA(AF173:AJ173)=0,"",COUNTIF(AF173:AJ173,"yes"))</f>
        <v/>
      </c>
    </row>
    <row r="174" customFormat="false" ht="15" hidden="false" customHeight="true" outlineLevel="0" collapsed="false">
      <c r="U174" s="8" t="str">
        <f aca="false">IF($A174="","",IFERROR(IF(INDEX(O10_Polygon_And_Area!$C$1:$C$500,MATCH($A174,O10_Polygon_And_Area!$A$1:$A$500,0))="","",INDEX(O10_Polygon_And_Area!$C$1:$C$500,MATCH($A174,O10_Polygon_And_Area!$A$1:$A$500,0))),""))</f>
        <v/>
      </c>
      <c r="AK174" s="8" t="str">
        <f aca="false">IF(COUNTA(AF174:AJ174)=0,"",COUNTIF(AF174:AJ174,"yes"))</f>
        <v/>
      </c>
    </row>
    <row r="175" customFormat="false" ht="15" hidden="false" customHeight="true" outlineLevel="0" collapsed="false">
      <c r="U175" s="8" t="str">
        <f aca="false">IF($A175="","",IFERROR(IF(INDEX(O10_Polygon_And_Area!$C$1:$C$500,MATCH($A175,O10_Polygon_And_Area!$A$1:$A$500,0))="","",INDEX(O10_Polygon_And_Area!$C$1:$C$500,MATCH($A175,O10_Polygon_And_Area!$A$1:$A$500,0))),""))</f>
        <v/>
      </c>
      <c r="AK175" s="8" t="str">
        <f aca="false">IF(COUNTA(AF175:AJ175)=0,"",COUNTIF(AF175:AJ175,"yes"))</f>
        <v/>
      </c>
    </row>
    <row r="176" customFormat="false" ht="15" hidden="false" customHeight="true" outlineLevel="0" collapsed="false">
      <c r="U176" s="8" t="str">
        <f aca="false">IF($A176="","",IFERROR(IF(INDEX(O10_Polygon_And_Area!$C$1:$C$500,MATCH($A176,O10_Polygon_And_Area!$A$1:$A$500,0))="","",INDEX(O10_Polygon_And_Area!$C$1:$C$500,MATCH($A176,O10_Polygon_And_Area!$A$1:$A$500,0))),""))</f>
        <v/>
      </c>
      <c r="AK176" s="8" t="str">
        <f aca="false">IF(COUNTA(AF176:AJ176)=0,"",COUNTIF(AF176:AJ176,"yes"))</f>
        <v/>
      </c>
    </row>
    <row r="177" customFormat="false" ht="15" hidden="false" customHeight="true" outlineLevel="0" collapsed="false">
      <c r="U177" s="8" t="str">
        <f aca="false">IF($A177="","",IFERROR(IF(INDEX(O10_Polygon_And_Area!$C$1:$C$500,MATCH($A177,O10_Polygon_And_Area!$A$1:$A$500,0))="","",INDEX(O10_Polygon_And_Area!$C$1:$C$500,MATCH($A177,O10_Polygon_And_Area!$A$1:$A$500,0))),""))</f>
        <v/>
      </c>
      <c r="AK177" s="8" t="str">
        <f aca="false">IF(COUNTA(AF177:AJ177)=0,"",COUNTIF(AF177:AJ177,"yes"))</f>
        <v/>
      </c>
    </row>
    <row r="178" customFormat="false" ht="15" hidden="false" customHeight="true" outlineLevel="0" collapsed="false">
      <c r="U178" s="8" t="str">
        <f aca="false">IF($A178="","",IFERROR(IF(INDEX(O10_Polygon_And_Area!$C$1:$C$500,MATCH($A178,O10_Polygon_And_Area!$A$1:$A$500,0))="","",INDEX(O10_Polygon_And_Area!$C$1:$C$500,MATCH($A178,O10_Polygon_And_Area!$A$1:$A$500,0))),""))</f>
        <v/>
      </c>
      <c r="AK178" s="8" t="str">
        <f aca="false">IF(COUNTA(AF178:AJ178)=0,"",COUNTIF(AF178:AJ178,"yes"))</f>
        <v/>
      </c>
    </row>
    <row r="179" customFormat="false" ht="15" hidden="false" customHeight="true" outlineLevel="0" collapsed="false">
      <c r="U179" s="8" t="str">
        <f aca="false">IF($A179="","",IFERROR(IF(INDEX(O10_Polygon_And_Area!$C$1:$C$500,MATCH($A179,O10_Polygon_And_Area!$A$1:$A$500,0))="","",INDEX(O10_Polygon_And_Area!$C$1:$C$500,MATCH($A179,O10_Polygon_And_Area!$A$1:$A$500,0))),""))</f>
        <v/>
      </c>
      <c r="AK179" s="8" t="str">
        <f aca="false">IF(COUNTA(AF179:AJ179)=0,"",COUNTIF(AF179:AJ179,"yes"))</f>
        <v/>
      </c>
    </row>
    <row r="180" customFormat="false" ht="15" hidden="false" customHeight="true" outlineLevel="0" collapsed="false">
      <c r="U180" s="8" t="str">
        <f aca="false">IF($A180="","",IFERROR(IF(INDEX(O10_Polygon_And_Area!$C$1:$C$500,MATCH($A180,O10_Polygon_And_Area!$A$1:$A$500,0))="","",INDEX(O10_Polygon_And_Area!$C$1:$C$500,MATCH($A180,O10_Polygon_And_Area!$A$1:$A$500,0))),""))</f>
        <v/>
      </c>
      <c r="AK180" s="8" t="str">
        <f aca="false">IF(COUNTA(AF180:AJ180)=0,"",COUNTIF(AF180:AJ180,"yes"))</f>
        <v/>
      </c>
    </row>
    <row r="181" customFormat="false" ht="15" hidden="false" customHeight="true" outlineLevel="0" collapsed="false">
      <c r="U181" s="8" t="str">
        <f aca="false">IF($A181="","",IFERROR(IF(INDEX(O10_Polygon_And_Area!$C$1:$C$500,MATCH($A181,O10_Polygon_And_Area!$A$1:$A$500,0))="","",INDEX(O10_Polygon_And_Area!$C$1:$C$500,MATCH($A181,O10_Polygon_And_Area!$A$1:$A$500,0))),""))</f>
        <v/>
      </c>
      <c r="AK181" s="8" t="str">
        <f aca="false">IF(COUNTA(AF181:AJ181)=0,"",COUNTIF(AF181:AJ181,"yes"))</f>
        <v/>
      </c>
    </row>
    <row r="182" customFormat="false" ht="15" hidden="false" customHeight="true" outlineLevel="0" collapsed="false">
      <c r="U182" s="8" t="str">
        <f aca="false">IF($A182="","",IFERROR(IF(INDEX(O10_Polygon_And_Area!$C$1:$C$500,MATCH($A182,O10_Polygon_And_Area!$A$1:$A$500,0))="","",INDEX(O10_Polygon_And_Area!$C$1:$C$500,MATCH($A182,O10_Polygon_And_Area!$A$1:$A$500,0))),""))</f>
        <v/>
      </c>
      <c r="AK182" s="8" t="str">
        <f aca="false">IF(COUNTA(AF182:AJ182)=0,"",COUNTIF(AF182:AJ182,"yes"))</f>
        <v/>
      </c>
    </row>
    <row r="183" customFormat="false" ht="15" hidden="false" customHeight="true" outlineLevel="0" collapsed="false">
      <c r="U183" s="8" t="str">
        <f aca="false">IF($A183="","",IFERROR(IF(INDEX(O10_Polygon_And_Area!$C$1:$C$500,MATCH($A183,O10_Polygon_And_Area!$A$1:$A$500,0))="","",INDEX(O10_Polygon_And_Area!$C$1:$C$500,MATCH($A183,O10_Polygon_And_Area!$A$1:$A$500,0))),""))</f>
        <v/>
      </c>
      <c r="AK183" s="8" t="str">
        <f aca="false">IF(COUNTA(AF183:AJ183)=0,"",COUNTIF(AF183:AJ183,"yes"))</f>
        <v/>
      </c>
    </row>
    <row r="184" customFormat="false" ht="15" hidden="false" customHeight="true" outlineLevel="0" collapsed="false">
      <c r="U184" s="8" t="str">
        <f aca="false">IF($A184="","",IFERROR(IF(INDEX(O10_Polygon_And_Area!$C$1:$C$500,MATCH($A184,O10_Polygon_And_Area!$A$1:$A$500,0))="","",INDEX(O10_Polygon_And_Area!$C$1:$C$500,MATCH($A184,O10_Polygon_And_Area!$A$1:$A$500,0))),""))</f>
        <v/>
      </c>
      <c r="AK184" s="8" t="str">
        <f aca="false">IF(COUNTA(AF184:AJ184)=0,"",COUNTIF(AF184:AJ184,"yes"))</f>
        <v/>
      </c>
    </row>
    <row r="185" customFormat="false" ht="15" hidden="false" customHeight="true" outlineLevel="0" collapsed="false">
      <c r="U185" s="8" t="str">
        <f aca="false">IF($A185="","",IFERROR(IF(INDEX(O10_Polygon_And_Area!$C$1:$C$500,MATCH($A185,O10_Polygon_And_Area!$A$1:$A$500,0))="","",INDEX(O10_Polygon_And_Area!$C$1:$C$500,MATCH($A185,O10_Polygon_And_Area!$A$1:$A$500,0))),""))</f>
        <v/>
      </c>
      <c r="AK185" s="8" t="str">
        <f aca="false">IF(COUNTA(AF185:AJ185)=0,"",COUNTIF(AF185:AJ185,"yes"))</f>
        <v/>
      </c>
    </row>
    <row r="186" customFormat="false" ht="15" hidden="false" customHeight="true" outlineLevel="0" collapsed="false">
      <c r="U186" s="8" t="str">
        <f aca="false">IF($A186="","",IFERROR(IF(INDEX(O10_Polygon_And_Area!$C$1:$C$500,MATCH($A186,O10_Polygon_And_Area!$A$1:$A$500,0))="","",INDEX(O10_Polygon_And_Area!$C$1:$C$500,MATCH($A186,O10_Polygon_And_Area!$A$1:$A$500,0))),""))</f>
        <v/>
      </c>
      <c r="AK186" s="8" t="str">
        <f aca="false">IF(COUNTA(AF186:AJ186)=0,"",COUNTIF(AF186:AJ186,"yes"))</f>
        <v/>
      </c>
    </row>
    <row r="187" customFormat="false" ht="15" hidden="false" customHeight="true" outlineLevel="0" collapsed="false">
      <c r="U187" s="8" t="str">
        <f aca="false">IF($A187="","",IFERROR(IF(INDEX(O10_Polygon_And_Area!$C$1:$C$500,MATCH($A187,O10_Polygon_And_Area!$A$1:$A$500,0))="","",INDEX(O10_Polygon_And_Area!$C$1:$C$500,MATCH($A187,O10_Polygon_And_Area!$A$1:$A$500,0))),""))</f>
        <v/>
      </c>
      <c r="AK187" s="8" t="str">
        <f aca="false">IF(COUNTA(AF187:AJ187)=0,"",COUNTIF(AF187:AJ187,"yes"))</f>
        <v/>
      </c>
    </row>
    <row r="188" customFormat="false" ht="15" hidden="false" customHeight="true" outlineLevel="0" collapsed="false">
      <c r="U188" s="8" t="str">
        <f aca="false">IF($A188="","",IFERROR(IF(INDEX(O10_Polygon_And_Area!$C$1:$C$500,MATCH($A188,O10_Polygon_And_Area!$A$1:$A$500,0))="","",INDEX(O10_Polygon_And_Area!$C$1:$C$500,MATCH($A188,O10_Polygon_And_Area!$A$1:$A$500,0))),""))</f>
        <v/>
      </c>
      <c r="AK188" s="8" t="str">
        <f aca="false">IF(COUNTA(AF188:AJ188)=0,"",COUNTIF(AF188:AJ188,"yes"))</f>
        <v/>
      </c>
    </row>
    <row r="189" customFormat="false" ht="15" hidden="false" customHeight="true" outlineLevel="0" collapsed="false">
      <c r="U189" s="8" t="str">
        <f aca="false">IF($A189="","",IFERROR(IF(INDEX(O10_Polygon_And_Area!$C$1:$C$500,MATCH($A189,O10_Polygon_And_Area!$A$1:$A$500,0))="","",INDEX(O10_Polygon_And_Area!$C$1:$C$500,MATCH($A189,O10_Polygon_And_Area!$A$1:$A$500,0))),""))</f>
        <v/>
      </c>
      <c r="AK189" s="8" t="str">
        <f aca="false">IF(COUNTA(AF189:AJ189)=0,"",COUNTIF(AF189:AJ189,"yes"))</f>
        <v/>
      </c>
    </row>
    <row r="190" customFormat="false" ht="15" hidden="false" customHeight="true" outlineLevel="0" collapsed="false">
      <c r="U190" s="8" t="str">
        <f aca="false">IF($A190="","",IFERROR(IF(INDEX(O10_Polygon_And_Area!$C$1:$C$500,MATCH($A190,O10_Polygon_And_Area!$A$1:$A$500,0))="","",INDEX(O10_Polygon_And_Area!$C$1:$C$500,MATCH($A190,O10_Polygon_And_Area!$A$1:$A$500,0))),""))</f>
        <v/>
      </c>
      <c r="AK190" s="8" t="str">
        <f aca="false">IF(COUNTA(AF190:AJ190)=0,"",COUNTIF(AF190:AJ190,"yes"))</f>
        <v/>
      </c>
    </row>
    <row r="191" customFormat="false" ht="15" hidden="false" customHeight="true" outlineLevel="0" collapsed="false">
      <c r="U191" s="8" t="str">
        <f aca="false">IF($A191="","",IFERROR(IF(INDEX(O10_Polygon_And_Area!$C$1:$C$500,MATCH($A191,O10_Polygon_And_Area!$A$1:$A$500,0))="","",INDEX(O10_Polygon_And_Area!$C$1:$C$500,MATCH($A191,O10_Polygon_And_Area!$A$1:$A$500,0))),""))</f>
        <v/>
      </c>
      <c r="AK191" s="8" t="str">
        <f aca="false">IF(COUNTA(AF191:AJ191)=0,"",COUNTIF(AF191:AJ191,"yes"))</f>
        <v/>
      </c>
    </row>
    <row r="192" customFormat="false" ht="15" hidden="false" customHeight="true" outlineLevel="0" collapsed="false">
      <c r="U192" s="8" t="str">
        <f aca="false">IF($A192="","",IFERROR(IF(INDEX(O10_Polygon_And_Area!$C$1:$C$500,MATCH($A192,O10_Polygon_And_Area!$A$1:$A$500,0))="","",INDEX(O10_Polygon_And_Area!$C$1:$C$500,MATCH($A192,O10_Polygon_And_Area!$A$1:$A$500,0))),""))</f>
        <v/>
      </c>
      <c r="AK192" s="8" t="str">
        <f aca="false">IF(COUNTA(AF192:AJ192)=0,"",COUNTIF(AF192:AJ192,"yes"))</f>
        <v/>
      </c>
    </row>
    <row r="193" customFormat="false" ht="15" hidden="false" customHeight="true" outlineLevel="0" collapsed="false">
      <c r="U193" s="8" t="str">
        <f aca="false">IF($A193="","",IFERROR(IF(INDEX(O10_Polygon_And_Area!$C$1:$C$500,MATCH($A193,O10_Polygon_And_Area!$A$1:$A$500,0))="","",INDEX(O10_Polygon_And_Area!$C$1:$C$500,MATCH($A193,O10_Polygon_And_Area!$A$1:$A$500,0))),""))</f>
        <v/>
      </c>
      <c r="AK193" s="8" t="str">
        <f aca="false">IF(COUNTA(AF193:AJ193)=0,"",COUNTIF(AF193:AJ193,"yes"))</f>
        <v/>
      </c>
    </row>
    <row r="194" customFormat="false" ht="15" hidden="false" customHeight="true" outlineLevel="0" collapsed="false">
      <c r="U194" s="8" t="str">
        <f aca="false">IF($A194="","",IFERROR(IF(INDEX(O10_Polygon_And_Area!$C$1:$C$500,MATCH($A194,O10_Polygon_And_Area!$A$1:$A$500,0))="","",INDEX(O10_Polygon_And_Area!$C$1:$C$500,MATCH($A194,O10_Polygon_And_Area!$A$1:$A$500,0))),""))</f>
        <v/>
      </c>
      <c r="AK194" s="8" t="str">
        <f aca="false">IF(COUNTA(AF194:AJ194)=0,"",COUNTIF(AF194:AJ194,"yes"))</f>
        <v/>
      </c>
    </row>
    <row r="195" customFormat="false" ht="15" hidden="false" customHeight="true" outlineLevel="0" collapsed="false">
      <c r="U195" s="8" t="str">
        <f aca="false">IF($A195="","",IFERROR(IF(INDEX(O10_Polygon_And_Area!$C$1:$C$500,MATCH($A195,O10_Polygon_And_Area!$A$1:$A$500,0))="","",INDEX(O10_Polygon_And_Area!$C$1:$C$500,MATCH($A195,O10_Polygon_And_Area!$A$1:$A$500,0))),""))</f>
        <v/>
      </c>
      <c r="AK195" s="8" t="str">
        <f aca="false">IF(COUNTA(AF195:AJ195)=0,"",COUNTIF(AF195:AJ195,"yes"))</f>
        <v/>
      </c>
    </row>
    <row r="196" customFormat="false" ht="15" hidden="false" customHeight="true" outlineLevel="0" collapsed="false">
      <c r="U196" s="8" t="str">
        <f aca="false">IF($A196="","",IFERROR(IF(INDEX(O10_Polygon_And_Area!$C$1:$C$500,MATCH($A196,O10_Polygon_And_Area!$A$1:$A$500,0))="","",INDEX(O10_Polygon_And_Area!$C$1:$C$500,MATCH($A196,O10_Polygon_And_Area!$A$1:$A$500,0))),""))</f>
        <v/>
      </c>
      <c r="AK196" s="8" t="str">
        <f aca="false">IF(COUNTA(AF196:AJ196)=0,"",COUNTIF(AF196:AJ196,"yes"))</f>
        <v/>
      </c>
    </row>
    <row r="197" customFormat="false" ht="15" hidden="false" customHeight="true" outlineLevel="0" collapsed="false">
      <c r="U197" s="8" t="str">
        <f aca="false">IF($A197="","",IFERROR(IF(INDEX(O10_Polygon_And_Area!$C$1:$C$500,MATCH($A197,O10_Polygon_And_Area!$A$1:$A$500,0))="","",INDEX(O10_Polygon_And_Area!$C$1:$C$500,MATCH($A197,O10_Polygon_And_Area!$A$1:$A$500,0))),""))</f>
        <v/>
      </c>
      <c r="AK197" s="8" t="str">
        <f aca="false">IF(COUNTA(AF197:AJ197)=0,"",COUNTIF(AF197:AJ197,"yes"))</f>
        <v/>
      </c>
    </row>
    <row r="198" customFormat="false" ht="15" hidden="false" customHeight="true" outlineLevel="0" collapsed="false">
      <c r="U198" s="8" t="str">
        <f aca="false">IF($A198="","",IFERROR(IF(INDEX(O10_Polygon_And_Area!$C$1:$C$500,MATCH($A198,O10_Polygon_And_Area!$A$1:$A$500,0))="","",INDEX(O10_Polygon_And_Area!$C$1:$C$500,MATCH($A198,O10_Polygon_And_Area!$A$1:$A$500,0))),""))</f>
        <v/>
      </c>
      <c r="AK198" s="8" t="str">
        <f aca="false">IF(COUNTA(AF198:AJ198)=0,"",COUNTIF(AF198:AJ198,"yes"))</f>
        <v/>
      </c>
    </row>
    <row r="199" customFormat="false" ht="15" hidden="false" customHeight="true" outlineLevel="0" collapsed="false">
      <c r="U199" s="8" t="str">
        <f aca="false">IF($A199="","",IFERROR(IF(INDEX(O10_Polygon_And_Area!$C$1:$C$500,MATCH($A199,O10_Polygon_And_Area!$A$1:$A$500,0))="","",INDEX(O10_Polygon_And_Area!$C$1:$C$500,MATCH($A199,O10_Polygon_And_Area!$A$1:$A$500,0))),""))</f>
        <v/>
      </c>
      <c r="AK199" s="8" t="str">
        <f aca="false">IF(COUNTA(AF199:AJ199)=0,"",COUNTIF(AF199:AJ199,"yes"))</f>
        <v/>
      </c>
    </row>
    <row r="200" customFormat="false" ht="15" hidden="false" customHeight="true" outlineLevel="0" collapsed="false">
      <c r="U200" s="8" t="str">
        <f aca="false">IF($A200="","",IFERROR(IF(INDEX(O10_Polygon_And_Area!$C$1:$C$500,MATCH($A200,O10_Polygon_And_Area!$A$1:$A$500,0))="","",INDEX(O10_Polygon_And_Area!$C$1:$C$500,MATCH($A200,O10_Polygon_And_Area!$A$1:$A$500,0))),""))</f>
        <v/>
      </c>
      <c r="AK200" s="8" t="str">
        <f aca="false">IF(COUNTA(AF200:AJ200)=0,"",COUNTIF(AF200:AJ200,"yes"))</f>
        <v/>
      </c>
    </row>
    <row r="201" customFormat="false" ht="15" hidden="false" customHeight="true" outlineLevel="0" collapsed="false">
      <c r="U201" s="8" t="str">
        <f aca="false">IF($A201="","",IFERROR(IF(INDEX(O10_Polygon_And_Area!$C$1:$C$500,MATCH($A201,O10_Polygon_And_Area!$A$1:$A$500,0))="","",INDEX(O10_Polygon_And_Area!$C$1:$C$500,MATCH($A201,O10_Polygon_And_Area!$A$1:$A$500,0))),""))</f>
        <v/>
      </c>
      <c r="AK201" s="8" t="str">
        <f aca="false">IF(COUNTA(AF201:AJ201)=0,"",COUNTIF(AF201:AJ201,"yes"))</f>
        <v/>
      </c>
    </row>
    <row r="202" customFormat="false" ht="15" hidden="false" customHeight="true" outlineLevel="0" collapsed="false">
      <c r="U202" s="8" t="str">
        <f aca="false">IF($A202="","",IFERROR(IF(INDEX(O10_Polygon_And_Area!$C$1:$C$500,MATCH($A202,O10_Polygon_And_Area!$A$1:$A$500,0))="","",INDEX(O10_Polygon_And_Area!$C$1:$C$500,MATCH($A202,O10_Polygon_And_Area!$A$1:$A$500,0))),""))</f>
        <v/>
      </c>
      <c r="AK202" s="8" t="str">
        <f aca="false">IF(COUNTA(AF202:AJ202)=0,"",COUNTIF(AF202:AJ202,"yes"))</f>
        <v/>
      </c>
    </row>
    <row r="203" customFormat="false" ht="15" hidden="false" customHeight="true" outlineLevel="0" collapsed="false">
      <c r="U203" s="8" t="str">
        <f aca="false">IF($A203="","",IFERROR(IF(INDEX(O10_Polygon_And_Area!$C$1:$C$500,MATCH($A203,O10_Polygon_And_Area!$A$1:$A$500,0))="","",INDEX(O10_Polygon_And_Area!$C$1:$C$500,MATCH($A203,O10_Polygon_And_Area!$A$1:$A$500,0))),""))</f>
        <v/>
      </c>
      <c r="AK203" s="8" t="str">
        <f aca="false">IF(COUNTA(AF203:AJ203)=0,"",COUNTIF(AF203:AJ203,"yes"))</f>
        <v/>
      </c>
    </row>
    <row r="204" customFormat="false" ht="15" hidden="false" customHeight="true" outlineLevel="0" collapsed="false">
      <c r="U204" s="8" t="str">
        <f aca="false">IF($A204="","",IFERROR(IF(INDEX(O10_Polygon_And_Area!$C$1:$C$500,MATCH($A204,O10_Polygon_And_Area!$A$1:$A$500,0))="","",INDEX(O10_Polygon_And_Area!$C$1:$C$500,MATCH($A204,O10_Polygon_And_Area!$A$1:$A$500,0))),""))</f>
        <v/>
      </c>
      <c r="AK204" s="8" t="str">
        <f aca="false">IF(COUNTA(AF204:AJ204)=0,"",COUNTIF(AF204:AJ204,"yes"))</f>
        <v/>
      </c>
    </row>
    <row r="205" customFormat="false" ht="15" hidden="false" customHeight="true" outlineLevel="0" collapsed="false">
      <c r="U205" s="8" t="str">
        <f aca="false">IF($A205="","",IFERROR(IF(INDEX(O10_Polygon_And_Area!$C$1:$C$500,MATCH($A205,O10_Polygon_And_Area!$A$1:$A$500,0))="","",INDEX(O10_Polygon_And_Area!$C$1:$C$500,MATCH($A205,O10_Polygon_And_Area!$A$1:$A$500,0))),""))</f>
        <v/>
      </c>
      <c r="AK205" s="8" t="str">
        <f aca="false">IF(COUNTA(AF205:AJ205)=0,"",COUNTIF(AF205:AJ205,"yes"))</f>
        <v/>
      </c>
    </row>
    <row r="206" customFormat="false" ht="15" hidden="false" customHeight="true" outlineLevel="0" collapsed="false">
      <c r="U206" s="8" t="str">
        <f aca="false">IF($A206="","",IFERROR(IF(INDEX(O10_Polygon_And_Area!$C$1:$C$500,MATCH($A206,O10_Polygon_And_Area!$A$1:$A$500,0))="","",INDEX(O10_Polygon_And_Area!$C$1:$C$500,MATCH($A206,O10_Polygon_And_Area!$A$1:$A$500,0))),""))</f>
        <v/>
      </c>
      <c r="AK206" s="8" t="str">
        <f aca="false">IF(COUNTA(AF206:AJ206)=0,"",COUNTIF(AF206:AJ206,"yes"))</f>
        <v/>
      </c>
    </row>
    <row r="207" customFormat="false" ht="15" hidden="false" customHeight="true" outlineLevel="0" collapsed="false">
      <c r="U207" s="8" t="str">
        <f aca="false">IF($A207="","",IFERROR(IF(INDEX(O10_Polygon_And_Area!$C$1:$C$500,MATCH($A207,O10_Polygon_And_Area!$A$1:$A$500,0))="","",INDEX(O10_Polygon_And_Area!$C$1:$C$500,MATCH($A207,O10_Polygon_And_Area!$A$1:$A$500,0))),""))</f>
        <v/>
      </c>
      <c r="AK207" s="8" t="str">
        <f aca="false">IF(COUNTA(AF207:AJ207)=0,"",COUNTIF(AF207:AJ207,"yes"))</f>
        <v/>
      </c>
    </row>
    <row r="208" customFormat="false" ht="15" hidden="false" customHeight="true" outlineLevel="0" collapsed="false">
      <c r="U208" s="8" t="str">
        <f aca="false">IF($A208="","",IFERROR(IF(INDEX(O10_Polygon_And_Area!$C$1:$C$500,MATCH($A208,O10_Polygon_And_Area!$A$1:$A$500,0))="","",INDEX(O10_Polygon_And_Area!$C$1:$C$500,MATCH($A208,O10_Polygon_And_Area!$A$1:$A$500,0))),""))</f>
        <v/>
      </c>
      <c r="AK208" s="8" t="str">
        <f aca="false">IF(COUNTA(AF208:AJ208)=0,"",COUNTIF(AF208:AJ208,"yes"))</f>
        <v/>
      </c>
    </row>
    <row r="209" customFormat="false" ht="15" hidden="false" customHeight="true" outlineLevel="0" collapsed="false">
      <c r="U209" s="8" t="str">
        <f aca="false">IF($A209="","",IFERROR(IF(INDEX(O10_Polygon_And_Area!$C$1:$C$500,MATCH($A209,O10_Polygon_And_Area!$A$1:$A$500,0))="","",INDEX(O10_Polygon_And_Area!$C$1:$C$500,MATCH($A209,O10_Polygon_And_Area!$A$1:$A$500,0))),""))</f>
        <v/>
      </c>
      <c r="AK209" s="8" t="str">
        <f aca="false">IF(COUNTA(AF209:AJ209)=0,"",COUNTIF(AF209:AJ209,"yes"))</f>
        <v/>
      </c>
    </row>
    <row r="210" customFormat="false" ht="15" hidden="false" customHeight="true" outlineLevel="0" collapsed="false">
      <c r="U210" s="8" t="str">
        <f aca="false">IF($A210="","",IFERROR(IF(INDEX(O10_Polygon_And_Area!$C$1:$C$500,MATCH($A210,O10_Polygon_And_Area!$A$1:$A$500,0))="","",INDEX(O10_Polygon_And_Area!$C$1:$C$500,MATCH($A210,O10_Polygon_And_Area!$A$1:$A$500,0))),""))</f>
        <v/>
      </c>
      <c r="AK210" s="8" t="str">
        <f aca="false">IF(COUNTA(AF210:AJ210)=0,"",COUNTIF(AF210:AJ210,"yes"))</f>
        <v/>
      </c>
    </row>
    <row r="211" customFormat="false" ht="15" hidden="false" customHeight="true" outlineLevel="0" collapsed="false">
      <c r="U211" s="8" t="str">
        <f aca="false">IF($A211="","",IFERROR(IF(INDEX(O10_Polygon_And_Area!$C$1:$C$500,MATCH($A211,O10_Polygon_And_Area!$A$1:$A$500,0))="","",INDEX(O10_Polygon_And_Area!$C$1:$C$500,MATCH($A211,O10_Polygon_And_Area!$A$1:$A$500,0))),""))</f>
        <v/>
      </c>
      <c r="AK211" s="8" t="str">
        <f aca="false">IF(COUNTA(AF211:AJ211)=0,"",COUNTIF(AF211:AJ211,"yes"))</f>
        <v/>
      </c>
    </row>
    <row r="212" customFormat="false" ht="15" hidden="false" customHeight="true" outlineLevel="0" collapsed="false">
      <c r="U212" s="8" t="str">
        <f aca="false">IF($A212="","",IFERROR(IF(INDEX(O10_Polygon_And_Area!$C$1:$C$500,MATCH($A212,O10_Polygon_And_Area!$A$1:$A$500,0))="","",INDEX(O10_Polygon_And_Area!$C$1:$C$500,MATCH($A212,O10_Polygon_And_Area!$A$1:$A$500,0))),""))</f>
        <v/>
      </c>
      <c r="AK212" s="8" t="str">
        <f aca="false">IF(COUNTA(AF212:AJ212)=0,"",COUNTIF(AF212:AJ212,"yes"))</f>
        <v/>
      </c>
    </row>
    <row r="213" customFormat="false" ht="15" hidden="false" customHeight="true" outlineLevel="0" collapsed="false">
      <c r="U213" s="8" t="str">
        <f aca="false">IF($A213="","",IFERROR(IF(INDEX(O10_Polygon_And_Area!$C$1:$C$500,MATCH($A213,O10_Polygon_And_Area!$A$1:$A$500,0))="","",INDEX(O10_Polygon_And_Area!$C$1:$C$500,MATCH($A213,O10_Polygon_And_Area!$A$1:$A$500,0))),""))</f>
        <v/>
      </c>
      <c r="AK213" s="8" t="str">
        <f aca="false">IF(COUNTA(AF213:AJ213)=0,"",COUNTIF(AF213:AJ213,"yes"))</f>
        <v/>
      </c>
    </row>
    <row r="214" customFormat="false" ht="15" hidden="false" customHeight="true" outlineLevel="0" collapsed="false">
      <c r="U214" s="8" t="str">
        <f aca="false">IF($A214="","",IFERROR(IF(INDEX(O10_Polygon_And_Area!$C$1:$C$500,MATCH($A214,O10_Polygon_And_Area!$A$1:$A$500,0))="","",INDEX(O10_Polygon_And_Area!$C$1:$C$500,MATCH($A214,O10_Polygon_And_Area!$A$1:$A$500,0))),""))</f>
        <v/>
      </c>
      <c r="AK214" s="8" t="str">
        <f aca="false">IF(COUNTA(AF214:AJ214)=0,"",COUNTIF(AF214:AJ214,"yes"))</f>
        <v/>
      </c>
    </row>
    <row r="215" customFormat="false" ht="15" hidden="false" customHeight="true" outlineLevel="0" collapsed="false">
      <c r="U215" s="8" t="str">
        <f aca="false">IF($A215="","",IFERROR(IF(INDEX(O10_Polygon_And_Area!$C$1:$C$500,MATCH($A215,O10_Polygon_And_Area!$A$1:$A$500,0))="","",INDEX(O10_Polygon_And_Area!$C$1:$C$500,MATCH($A215,O10_Polygon_And_Area!$A$1:$A$500,0))),""))</f>
        <v/>
      </c>
      <c r="AK215" s="8" t="str">
        <f aca="false">IF(COUNTA(AF215:AJ215)=0,"",COUNTIF(AF215:AJ215,"yes"))</f>
        <v/>
      </c>
    </row>
    <row r="216" customFormat="false" ht="15" hidden="false" customHeight="true" outlineLevel="0" collapsed="false">
      <c r="U216" s="8" t="str">
        <f aca="false">IF($A216="","",IFERROR(IF(INDEX(O10_Polygon_And_Area!$C$1:$C$500,MATCH($A216,O10_Polygon_And_Area!$A$1:$A$500,0))="","",INDEX(O10_Polygon_And_Area!$C$1:$C$500,MATCH($A216,O10_Polygon_And_Area!$A$1:$A$500,0))),""))</f>
        <v/>
      </c>
      <c r="AK216" s="8" t="str">
        <f aca="false">IF(COUNTA(AF216:AJ216)=0,"",COUNTIF(AF216:AJ216,"yes"))</f>
        <v/>
      </c>
    </row>
    <row r="217" customFormat="false" ht="15" hidden="false" customHeight="true" outlineLevel="0" collapsed="false">
      <c r="U217" s="8" t="str">
        <f aca="false">IF($A217="","",IFERROR(IF(INDEX(O10_Polygon_And_Area!$C$1:$C$500,MATCH($A217,O10_Polygon_And_Area!$A$1:$A$500,0))="","",INDEX(O10_Polygon_And_Area!$C$1:$C$500,MATCH($A217,O10_Polygon_And_Area!$A$1:$A$500,0))),""))</f>
        <v/>
      </c>
      <c r="AK217" s="8" t="str">
        <f aca="false">IF(COUNTA(AF217:AJ217)=0,"",COUNTIF(AF217:AJ217,"yes"))</f>
        <v/>
      </c>
    </row>
    <row r="218" customFormat="false" ht="15" hidden="false" customHeight="true" outlineLevel="0" collapsed="false">
      <c r="U218" s="8" t="str">
        <f aca="false">IF($A218="","",IFERROR(IF(INDEX(O10_Polygon_And_Area!$C$1:$C$500,MATCH($A218,O10_Polygon_And_Area!$A$1:$A$500,0))="","",INDEX(O10_Polygon_And_Area!$C$1:$C$500,MATCH($A218,O10_Polygon_And_Area!$A$1:$A$500,0))),""))</f>
        <v/>
      </c>
      <c r="AK218" s="8" t="str">
        <f aca="false">IF(COUNTA(AF218:AJ218)=0,"",COUNTIF(AF218:AJ218,"yes"))</f>
        <v/>
      </c>
    </row>
    <row r="219" customFormat="false" ht="15" hidden="false" customHeight="true" outlineLevel="0" collapsed="false">
      <c r="U219" s="8" t="str">
        <f aca="false">IF($A219="","",IFERROR(IF(INDEX(O10_Polygon_And_Area!$C$1:$C$500,MATCH($A219,O10_Polygon_And_Area!$A$1:$A$500,0))="","",INDEX(O10_Polygon_And_Area!$C$1:$C$500,MATCH($A219,O10_Polygon_And_Area!$A$1:$A$500,0))),""))</f>
        <v/>
      </c>
      <c r="AK219" s="8" t="str">
        <f aca="false">IF(COUNTA(AF219:AJ219)=0,"",COUNTIF(AF219:AJ219,"yes"))</f>
        <v/>
      </c>
    </row>
    <row r="220" customFormat="false" ht="15" hidden="false" customHeight="true" outlineLevel="0" collapsed="false">
      <c r="U220" s="8" t="str">
        <f aca="false">IF($A220="","",IFERROR(IF(INDEX(O10_Polygon_And_Area!$C$1:$C$500,MATCH($A220,O10_Polygon_And_Area!$A$1:$A$500,0))="","",INDEX(O10_Polygon_And_Area!$C$1:$C$500,MATCH($A220,O10_Polygon_And_Area!$A$1:$A$500,0))),""))</f>
        <v/>
      </c>
      <c r="AK220" s="8" t="str">
        <f aca="false">IF(COUNTA(AF220:AJ220)=0,"",COUNTIF(AF220:AJ220,"yes"))</f>
        <v/>
      </c>
    </row>
    <row r="221" customFormat="false" ht="15" hidden="false" customHeight="true" outlineLevel="0" collapsed="false">
      <c r="U221" s="8" t="str">
        <f aca="false">IF($A221="","",IFERROR(IF(INDEX(O10_Polygon_And_Area!$C$1:$C$500,MATCH($A221,O10_Polygon_And_Area!$A$1:$A$500,0))="","",INDEX(O10_Polygon_And_Area!$C$1:$C$500,MATCH($A221,O10_Polygon_And_Area!$A$1:$A$500,0))),""))</f>
        <v/>
      </c>
      <c r="AK221" s="8" t="str">
        <f aca="false">IF(COUNTA(AF221:AJ221)=0,"",COUNTIF(AF221:AJ221,"yes"))</f>
        <v/>
      </c>
    </row>
    <row r="222" customFormat="false" ht="15" hidden="false" customHeight="true" outlineLevel="0" collapsed="false">
      <c r="U222" s="8" t="str">
        <f aca="false">IF($A222="","",IFERROR(IF(INDEX(O10_Polygon_And_Area!$C$1:$C$500,MATCH($A222,O10_Polygon_And_Area!$A$1:$A$500,0))="","",INDEX(O10_Polygon_And_Area!$C$1:$C$500,MATCH($A222,O10_Polygon_And_Area!$A$1:$A$500,0))),""))</f>
        <v/>
      </c>
      <c r="AK222" s="8" t="str">
        <f aca="false">IF(COUNTA(AF222:AJ222)=0,"",COUNTIF(AF222:AJ222,"yes"))</f>
        <v/>
      </c>
    </row>
    <row r="223" customFormat="false" ht="15" hidden="false" customHeight="true" outlineLevel="0" collapsed="false">
      <c r="U223" s="8" t="str">
        <f aca="false">IF($A223="","",IFERROR(IF(INDEX(O10_Polygon_And_Area!$C$1:$C$500,MATCH($A223,O10_Polygon_And_Area!$A$1:$A$500,0))="","",INDEX(O10_Polygon_And_Area!$C$1:$C$500,MATCH($A223,O10_Polygon_And_Area!$A$1:$A$500,0))),""))</f>
        <v/>
      </c>
      <c r="AK223" s="8" t="str">
        <f aca="false">IF(COUNTA(AF223:AJ223)=0,"",COUNTIF(AF223:AJ223,"yes"))</f>
        <v/>
      </c>
    </row>
    <row r="224" customFormat="false" ht="15" hidden="false" customHeight="true" outlineLevel="0" collapsed="false">
      <c r="U224" s="8" t="str">
        <f aca="false">IF($A224="","",IFERROR(IF(INDEX(O10_Polygon_And_Area!$C$1:$C$500,MATCH($A224,O10_Polygon_And_Area!$A$1:$A$500,0))="","",INDEX(O10_Polygon_And_Area!$C$1:$C$500,MATCH($A224,O10_Polygon_And_Area!$A$1:$A$500,0))),""))</f>
        <v/>
      </c>
      <c r="AK224" s="8" t="str">
        <f aca="false">IF(COUNTA(AF224:AJ224)=0,"",COUNTIF(AF224:AJ224,"yes"))</f>
        <v/>
      </c>
    </row>
    <row r="225" customFormat="false" ht="15" hidden="false" customHeight="true" outlineLevel="0" collapsed="false">
      <c r="U225" s="8" t="str">
        <f aca="false">IF($A225="","",IFERROR(IF(INDEX(O10_Polygon_And_Area!$C$1:$C$500,MATCH($A225,O10_Polygon_And_Area!$A$1:$A$500,0))="","",INDEX(O10_Polygon_And_Area!$C$1:$C$500,MATCH($A225,O10_Polygon_And_Area!$A$1:$A$500,0))),""))</f>
        <v/>
      </c>
      <c r="AK225" s="8" t="str">
        <f aca="false">IF(COUNTA(AF225:AJ225)=0,"",COUNTIF(AF225:AJ225,"yes"))</f>
        <v/>
      </c>
    </row>
    <row r="226" customFormat="false" ht="15" hidden="false" customHeight="true" outlineLevel="0" collapsed="false">
      <c r="U226" s="8" t="str">
        <f aca="false">IF($A226="","",IFERROR(IF(INDEX(O10_Polygon_And_Area!$C$1:$C$500,MATCH($A226,O10_Polygon_And_Area!$A$1:$A$500,0))="","",INDEX(O10_Polygon_And_Area!$C$1:$C$500,MATCH($A226,O10_Polygon_And_Area!$A$1:$A$500,0))),""))</f>
        <v/>
      </c>
      <c r="AK226" s="8" t="str">
        <f aca="false">IF(COUNTA(AF226:AJ226)=0,"",COUNTIF(AF226:AJ226,"yes"))</f>
        <v/>
      </c>
    </row>
    <row r="227" customFormat="false" ht="15" hidden="false" customHeight="true" outlineLevel="0" collapsed="false">
      <c r="U227" s="8" t="str">
        <f aca="false">IF($A227="","",IFERROR(IF(INDEX(O10_Polygon_And_Area!$C$1:$C$500,MATCH($A227,O10_Polygon_And_Area!$A$1:$A$500,0))="","",INDEX(O10_Polygon_And_Area!$C$1:$C$500,MATCH($A227,O10_Polygon_And_Area!$A$1:$A$500,0))),""))</f>
        <v/>
      </c>
      <c r="AK227" s="8" t="str">
        <f aca="false">IF(COUNTA(AF227:AJ227)=0,"",COUNTIF(AF227:AJ227,"yes"))</f>
        <v/>
      </c>
    </row>
    <row r="228" customFormat="false" ht="15" hidden="false" customHeight="true" outlineLevel="0" collapsed="false">
      <c r="U228" s="8" t="str">
        <f aca="false">IF($A228="","",IFERROR(IF(INDEX(O10_Polygon_And_Area!$C$1:$C$500,MATCH($A228,O10_Polygon_And_Area!$A$1:$A$500,0))="","",INDEX(O10_Polygon_And_Area!$C$1:$C$500,MATCH($A228,O10_Polygon_And_Area!$A$1:$A$500,0))),""))</f>
        <v/>
      </c>
      <c r="AK228" s="8" t="str">
        <f aca="false">IF(COUNTA(AF228:AJ228)=0,"",COUNTIF(AF228:AJ228,"yes"))</f>
        <v/>
      </c>
    </row>
    <row r="229" customFormat="false" ht="15" hidden="false" customHeight="true" outlineLevel="0" collapsed="false">
      <c r="U229" s="8" t="str">
        <f aca="false">IF($A229="","",IFERROR(IF(INDEX(O10_Polygon_And_Area!$C$1:$C$500,MATCH($A229,O10_Polygon_And_Area!$A$1:$A$500,0))="","",INDEX(O10_Polygon_And_Area!$C$1:$C$500,MATCH($A229,O10_Polygon_And_Area!$A$1:$A$500,0))),""))</f>
        <v/>
      </c>
      <c r="AK229" s="8" t="str">
        <f aca="false">IF(COUNTA(AF229:AJ229)=0,"",COUNTIF(AF229:AJ229,"yes"))</f>
        <v/>
      </c>
    </row>
    <row r="230" customFormat="false" ht="15" hidden="false" customHeight="true" outlineLevel="0" collapsed="false">
      <c r="U230" s="8" t="str">
        <f aca="false">IF($A230="","",IFERROR(IF(INDEX(O10_Polygon_And_Area!$C$1:$C$500,MATCH($A230,O10_Polygon_And_Area!$A$1:$A$500,0))="","",INDEX(O10_Polygon_And_Area!$C$1:$C$500,MATCH($A230,O10_Polygon_And_Area!$A$1:$A$500,0))),""))</f>
        <v/>
      </c>
      <c r="AK230" s="8" t="str">
        <f aca="false">IF(COUNTA(AF230:AJ230)=0,"",COUNTIF(AF230:AJ230,"yes"))</f>
        <v/>
      </c>
    </row>
    <row r="231" customFormat="false" ht="15" hidden="false" customHeight="true" outlineLevel="0" collapsed="false">
      <c r="U231" s="8" t="str">
        <f aca="false">IF($A231="","",IFERROR(IF(INDEX(O10_Polygon_And_Area!$C$1:$C$500,MATCH($A231,O10_Polygon_And_Area!$A$1:$A$500,0))="","",INDEX(O10_Polygon_And_Area!$C$1:$C$500,MATCH($A231,O10_Polygon_And_Area!$A$1:$A$500,0))),""))</f>
        <v/>
      </c>
      <c r="AK231" s="8" t="str">
        <f aca="false">IF(COUNTA(AF231:AJ231)=0,"",COUNTIF(AF231:AJ231,"yes"))</f>
        <v/>
      </c>
    </row>
    <row r="232" customFormat="false" ht="15" hidden="false" customHeight="true" outlineLevel="0" collapsed="false">
      <c r="U232" s="8" t="str">
        <f aca="false">IF($A232="","",IFERROR(IF(INDEX(O10_Polygon_And_Area!$C$1:$C$500,MATCH($A232,O10_Polygon_And_Area!$A$1:$A$500,0))="","",INDEX(O10_Polygon_And_Area!$C$1:$C$500,MATCH($A232,O10_Polygon_And_Area!$A$1:$A$500,0))),""))</f>
        <v/>
      </c>
      <c r="AK232" s="8" t="str">
        <f aca="false">IF(COUNTA(AF232:AJ232)=0,"",COUNTIF(AF232:AJ232,"yes"))</f>
        <v/>
      </c>
    </row>
    <row r="233" customFormat="false" ht="15" hidden="false" customHeight="true" outlineLevel="0" collapsed="false">
      <c r="U233" s="8" t="str">
        <f aca="false">IF($A233="","",IFERROR(IF(INDEX(O10_Polygon_And_Area!$C$1:$C$500,MATCH($A233,O10_Polygon_And_Area!$A$1:$A$500,0))="","",INDEX(O10_Polygon_And_Area!$C$1:$C$500,MATCH($A233,O10_Polygon_And_Area!$A$1:$A$500,0))),""))</f>
        <v/>
      </c>
      <c r="AK233" s="8" t="str">
        <f aca="false">IF(COUNTA(AF233:AJ233)=0,"",COUNTIF(AF233:AJ233,"yes"))</f>
        <v/>
      </c>
    </row>
    <row r="234" customFormat="false" ht="15" hidden="false" customHeight="true" outlineLevel="0" collapsed="false">
      <c r="U234" s="8" t="str">
        <f aca="false">IF($A234="","",IFERROR(IF(INDEX(O10_Polygon_And_Area!$C$1:$C$500,MATCH($A234,O10_Polygon_And_Area!$A$1:$A$500,0))="","",INDEX(O10_Polygon_And_Area!$C$1:$C$500,MATCH($A234,O10_Polygon_And_Area!$A$1:$A$500,0))),""))</f>
        <v/>
      </c>
      <c r="AK234" s="8" t="str">
        <f aca="false">IF(COUNTA(AF234:AJ234)=0,"",COUNTIF(AF234:AJ234,"yes"))</f>
        <v/>
      </c>
    </row>
    <row r="235" customFormat="false" ht="15" hidden="false" customHeight="true" outlineLevel="0" collapsed="false">
      <c r="U235" s="8" t="str">
        <f aca="false">IF($A235="","",IFERROR(IF(INDEX(O10_Polygon_And_Area!$C$1:$C$500,MATCH($A235,O10_Polygon_And_Area!$A$1:$A$500,0))="","",INDEX(O10_Polygon_And_Area!$C$1:$C$500,MATCH($A235,O10_Polygon_And_Area!$A$1:$A$500,0))),""))</f>
        <v/>
      </c>
      <c r="AK235" s="8" t="str">
        <f aca="false">IF(COUNTA(AF235:AJ235)=0,"",COUNTIF(AF235:AJ235,"yes"))</f>
        <v/>
      </c>
    </row>
    <row r="236" customFormat="false" ht="15" hidden="false" customHeight="true" outlineLevel="0" collapsed="false">
      <c r="U236" s="8" t="str">
        <f aca="false">IF($A236="","",IFERROR(IF(INDEX(O10_Polygon_And_Area!$C$1:$C$500,MATCH($A236,O10_Polygon_And_Area!$A$1:$A$500,0))="","",INDEX(O10_Polygon_And_Area!$C$1:$C$500,MATCH($A236,O10_Polygon_And_Area!$A$1:$A$500,0))),""))</f>
        <v/>
      </c>
      <c r="AK236" s="8" t="str">
        <f aca="false">IF(COUNTA(AF236:AJ236)=0,"",COUNTIF(AF236:AJ236,"yes"))</f>
        <v/>
      </c>
    </row>
    <row r="237" customFormat="false" ht="15" hidden="false" customHeight="true" outlineLevel="0" collapsed="false">
      <c r="U237" s="8" t="str">
        <f aca="false">IF($A237="","",IFERROR(IF(INDEX(O10_Polygon_And_Area!$C$1:$C$500,MATCH($A237,O10_Polygon_And_Area!$A$1:$A$500,0))="","",INDEX(O10_Polygon_And_Area!$C$1:$C$500,MATCH($A237,O10_Polygon_And_Area!$A$1:$A$500,0))),""))</f>
        <v/>
      </c>
      <c r="AK237" s="8" t="str">
        <f aca="false">IF(COUNTA(AF237:AJ237)=0,"",COUNTIF(AF237:AJ237,"yes"))</f>
        <v/>
      </c>
    </row>
    <row r="238" customFormat="false" ht="15" hidden="false" customHeight="true" outlineLevel="0" collapsed="false">
      <c r="U238" s="8" t="str">
        <f aca="false">IF($A238="","",IFERROR(IF(INDEX(O10_Polygon_And_Area!$C$1:$C$500,MATCH($A238,O10_Polygon_And_Area!$A$1:$A$500,0))="","",INDEX(O10_Polygon_And_Area!$C$1:$C$500,MATCH($A238,O10_Polygon_And_Area!$A$1:$A$500,0))),""))</f>
        <v/>
      </c>
      <c r="AK238" s="8" t="str">
        <f aca="false">IF(COUNTA(AF238:AJ238)=0,"",COUNTIF(AF238:AJ238,"yes"))</f>
        <v/>
      </c>
    </row>
    <row r="239" customFormat="false" ht="15" hidden="false" customHeight="true" outlineLevel="0" collapsed="false">
      <c r="U239" s="8" t="str">
        <f aca="false">IF($A239="","",IFERROR(IF(INDEX(O10_Polygon_And_Area!$C$1:$C$500,MATCH($A239,O10_Polygon_And_Area!$A$1:$A$500,0))="","",INDEX(O10_Polygon_And_Area!$C$1:$C$500,MATCH($A239,O10_Polygon_And_Area!$A$1:$A$500,0))),""))</f>
        <v/>
      </c>
      <c r="AK239" s="8" t="str">
        <f aca="false">IF(COUNTA(AF239:AJ239)=0,"",COUNTIF(AF239:AJ239,"yes"))</f>
        <v/>
      </c>
    </row>
    <row r="240" customFormat="false" ht="15" hidden="false" customHeight="true" outlineLevel="0" collapsed="false">
      <c r="U240" s="8" t="str">
        <f aca="false">IF($A240="","",IFERROR(IF(INDEX(O10_Polygon_And_Area!$C$1:$C$500,MATCH($A240,O10_Polygon_And_Area!$A$1:$A$500,0))="","",INDEX(O10_Polygon_And_Area!$C$1:$C$500,MATCH($A240,O10_Polygon_And_Area!$A$1:$A$500,0))),""))</f>
        <v/>
      </c>
      <c r="AK240" s="8" t="str">
        <f aca="false">IF(COUNTA(AF240:AJ240)=0,"",COUNTIF(AF240:AJ240,"yes"))</f>
        <v/>
      </c>
    </row>
    <row r="241" customFormat="false" ht="15" hidden="false" customHeight="true" outlineLevel="0" collapsed="false">
      <c r="U241" s="8" t="str">
        <f aca="false">IF($A241="","",IFERROR(IF(INDEX(O10_Polygon_And_Area!$C$1:$C$500,MATCH($A241,O10_Polygon_And_Area!$A$1:$A$500,0))="","",INDEX(O10_Polygon_And_Area!$C$1:$C$500,MATCH($A241,O10_Polygon_And_Area!$A$1:$A$500,0))),""))</f>
        <v/>
      </c>
      <c r="AK241" s="8" t="str">
        <f aca="false">IF(COUNTA(AF241:AJ241)=0,"",COUNTIF(AF241:AJ241,"yes"))</f>
        <v/>
      </c>
    </row>
    <row r="242" customFormat="false" ht="15" hidden="false" customHeight="true" outlineLevel="0" collapsed="false">
      <c r="U242" s="8" t="str">
        <f aca="false">IF($A242="","",IFERROR(IF(INDEX(O10_Polygon_And_Area!$C$1:$C$500,MATCH($A242,O10_Polygon_And_Area!$A$1:$A$500,0))="","",INDEX(O10_Polygon_And_Area!$C$1:$C$500,MATCH($A242,O10_Polygon_And_Area!$A$1:$A$500,0))),""))</f>
        <v/>
      </c>
      <c r="AK242" s="8" t="str">
        <f aca="false">IF(COUNTA(AF242:AJ242)=0,"",COUNTIF(AF242:AJ242,"yes"))</f>
        <v/>
      </c>
    </row>
    <row r="243" customFormat="false" ht="15" hidden="false" customHeight="true" outlineLevel="0" collapsed="false">
      <c r="U243" s="8" t="str">
        <f aca="false">IF($A243="","",IFERROR(IF(INDEX(O10_Polygon_And_Area!$C$1:$C$500,MATCH($A243,O10_Polygon_And_Area!$A$1:$A$500,0))="","",INDEX(O10_Polygon_And_Area!$C$1:$C$500,MATCH($A243,O10_Polygon_And_Area!$A$1:$A$500,0))),""))</f>
        <v/>
      </c>
      <c r="AK243" s="8" t="str">
        <f aca="false">IF(COUNTA(AF243:AJ243)=0,"",COUNTIF(AF243:AJ243,"yes"))</f>
        <v/>
      </c>
    </row>
    <row r="244" customFormat="false" ht="15" hidden="false" customHeight="true" outlineLevel="0" collapsed="false">
      <c r="U244" s="8" t="str">
        <f aca="false">IF($A244="","",IFERROR(IF(INDEX(O10_Polygon_And_Area!$C$1:$C$500,MATCH($A244,O10_Polygon_And_Area!$A$1:$A$500,0))="","",INDEX(O10_Polygon_And_Area!$C$1:$C$500,MATCH($A244,O10_Polygon_And_Area!$A$1:$A$500,0))),""))</f>
        <v/>
      </c>
      <c r="AK244" s="8" t="str">
        <f aca="false">IF(COUNTA(AF244:AJ244)=0,"",COUNTIF(AF244:AJ244,"yes"))</f>
        <v/>
      </c>
    </row>
    <row r="245" customFormat="false" ht="15" hidden="false" customHeight="true" outlineLevel="0" collapsed="false">
      <c r="U245" s="8" t="str">
        <f aca="false">IF($A245="","",IFERROR(IF(INDEX(O10_Polygon_And_Area!$C$1:$C$500,MATCH($A245,O10_Polygon_And_Area!$A$1:$A$500,0))="","",INDEX(O10_Polygon_And_Area!$C$1:$C$500,MATCH($A245,O10_Polygon_And_Area!$A$1:$A$500,0))),""))</f>
        <v/>
      </c>
      <c r="AK245" s="8" t="str">
        <f aca="false">IF(COUNTA(AF245:AJ245)=0,"",COUNTIF(AF245:AJ245,"yes"))</f>
        <v/>
      </c>
    </row>
    <row r="246" customFormat="false" ht="15" hidden="false" customHeight="true" outlineLevel="0" collapsed="false">
      <c r="U246" s="8" t="str">
        <f aca="false">IF($A246="","",IFERROR(IF(INDEX(O10_Polygon_And_Area!$C$1:$C$500,MATCH($A246,O10_Polygon_And_Area!$A$1:$A$500,0))="","",INDEX(O10_Polygon_And_Area!$C$1:$C$500,MATCH($A246,O10_Polygon_And_Area!$A$1:$A$500,0))),""))</f>
        <v/>
      </c>
      <c r="AK246" s="8" t="str">
        <f aca="false">IF(COUNTA(AF246:AJ246)=0,"",COUNTIF(AF246:AJ246,"yes"))</f>
        <v/>
      </c>
    </row>
    <row r="247" customFormat="false" ht="15" hidden="false" customHeight="true" outlineLevel="0" collapsed="false">
      <c r="U247" s="8" t="str">
        <f aca="false">IF($A247="","",IFERROR(IF(INDEX(O10_Polygon_And_Area!$C$1:$C$500,MATCH($A247,O10_Polygon_And_Area!$A$1:$A$500,0))="","",INDEX(O10_Polygon_And_Area!$C$1:$C$500,MATCH($A247,O10_Polygon_And_Area!$A$1:$A$500,0))),""))</f>
        <v/>
      </c>
      <c r="AK247" s="8" t="str">
        <f aca="false">IF(COUNTA(AF247:AJ247)=0,"",COUNTIF(AF247:AJ247,"yes"))</f>
        <v/>
      </c>
    </row>
    <row r="248" customFormat="false" ht="15" hidden="false" customHeight="true" outlineLevel="0" collapsed="false">
      <c r="U248" s="8" t="str">
        <f aca="false">IF($A248="","",IFERROR(IF(INDEX(O10_Polygon_And_Area!$C$1:$C$500,MATCH($A248,O10_Polygon_And_Area!$A$1:$A$500,0))="","",INDEX(O10_Polygon_And_Area!$C$1:$C$500,MATCH($A248,O10_Polygon_And_Area!$A$1:$A$500,0))),""))</f>
        <v/>
      </c>
      <c r="AK248" s="8" t="str">
        <f aca="false">IF(COUNTA(AF248:AJ248)=0,"",COUNTIF(AF248:AJ248,"yes"))</f>
        <v/>
      </c>
    </row>
    <row r="249" customFormat="false" ht="15" hidden="false" customHeight="true" outlineLevel="0" collapsed="false">
      <c r="U249" s="8" t="str">
        <f aca="false">IF($A249="","",IFERROR(IF(INDEX(O10_Polygon_And_Area!$C$1:$C$500,MATCH($A249,O10_Polygon_And_Area!$A$1:$A$500,0))="","",INDEX(O10_Polygon_And_Area!$C$1:$C$500,MATCH($A249,O10_Polygon_And_Area!$A$1:$A$500,0))),""))</f>
        <v/>
      </c>
      <c r="AK249" s="8" t="str">
        <f aca="false">IF(COUNTA(AF249:AJ249)=0,"",COUNTIF(AF249:AJ249,"yes"))</f>
        <v/>
      </c>
    </row>
    <row r="250" customFormat="false" ht="15" hidden="false" customHeight="true" outlineLevel="0" collapsed="false">
      <c r="U250" s="8" t="str">
        <f aca="false">IF($A250="","",IFERROR(IF(INDEX(O10_Polygon_And_Area!$C$1:$C$500,MATCH($A250,O10_Polygon_And_Area!$A$1:$A$500,0))="","",INDEX(O10_Polygon_And_Area!$C$1:$C$500,MATCH($A250,O10_Polygon_And_Area!$A$1:$A$500,0))),""))</f>
        <v/>
      </c>
      <c r="AK250" s="8" t="str">
        <f aca="false">IF(COUNTA(AF250:AJ250)=0,"",COUNTIF(AF250:AJ250,"yes"))</f>
        <v/>
      </c>
    </row>
    <row r="251" customFormat="false" ht="15" hidden="false" customHeight="true" outlineLevel="0" collapsed="false">
      <c r="U251" s="8" t="str">
        <f aca="false">IF($A251="","",IFERROR(IF(INDEX(O10_Polygon_And_Area!$C$1:$C$500,MATCH($A251,O10_Polygon_And_Area!$A$1:$A$500,0))="","",INDEX(O10_Polygon_And_Area!$C$1:$C$500,MATCH($A251,O10_Polygon_And_Area!$A$1:$A$500,0))),""))</f>
        <v/>
      </c>
      <c r="AK251" s="8" t="str">
        <f aca="false">IF(COUNTA(AF251:AJ251)=0,"",COUNTIF(AF251:AJ251,"yes"))</f>
        <v/>
      </c>
    </row>
    <row r="252" customFormat="false" ht="15" hidden="false" customHeight="true" outlineLevel="0" collapsed="false">
      <c r="U252" s="8" t="str">
        <f aca="false">IF($A252="","",IFERROR(IF(INDEX(O10_Polygon_And_Area!$C$1:$C$500,MATCH($A252,O10_Polygon_And_Area!$A$1:$A$500,0))="","",INDEX(O10_Polygon_And_Area!$C$1:$C$500,MATCH($A252,O10_Polygon_And_Area!$A$1:$A$500,0))),""))</f>
        <v/>
      </c>
      <c r="AK252" s="8" t="str">
        <f aca="false">IF(COUNTA(AF252:AJ252)=0,"",COUNTIF(AF252:AJ252,"yes"))</f>
        <v/>
      </c>
    </row>
    <row r="253" customFormat="false" ht="15" hidden="false" customHeight="true" outlineLevel="0" collapsed="false">
      <c r="U253" s="8" t="str">
        <f aca="false">IF($A253="","",IFERROR(IF(INDEX(O10_Polygon_And_Area!$C$1:$C$500,MATCH($A253,O10_Polygon_And_Area!$A$1:$A$500,0))="","",INDEX(O10_Polygon_And_Area!$C$1:$C$500,MATCH($A253,O10_Polygon_And_Area!$A$1:$A$500,0))),""))</f>
        <v/>
      </c>
      <c r="AK253" s="8" t="str">
        <f aca="false">IF(COUNTA(AF253:AJ253)=0,"",COUNTIF(AF253:AJ253,"yes"))</f>
        <v/>
      </c>
    </row>
    <row r="254" customFormat="false" ht="15" hidden="false" customHeight="true" outlineLevel="0" collapsed="false">
      <c r="U254" s="8" t="str">
        <f aca="false">IF($A254="","",IFERROR(IF(INDEX(O10_Polygon_And_Area!$C$1:$C$500,MATCH($A254,O10_Polygon_And_Area!$A$1:$A$500,0))="","",INDEX(O10_Polygon_And_Area!$C$1:$C$500,MATCH($A254,O10_Polygon_And_Area!$A$1:$A$500,0))),""))</f>
        <v/>
      </c>
      <c r="AK254" s="8" t="str">
        <f aca="false">IF(COUNTA(AF254:AJ254)=0,"",COUNTIF(AF254:AJ254,"yes"))</f>
        <v/>
      </c>
    </row>
    <row r="255" customFormat="false" ht="15" hidden="false" customHeight="true" outlineLevel="0" collapsed="false">
      <c r="U255" s="8" t="str">
        <f aca="false">IF($A255="","",IFERROR(IF(INDEX(O10_Polygon_And_Area!$C$1:$C$500,MATCH($A255,O10_Polygon_And_Area!$A$1:$A$500,0))="","",INDEX(O10_Polygon_And_Area!$C$1:$C$500,MATCH($A255,O10_Polygon_And_Area!$A$1:$A$500,0))),""))</f>
        <v/>
      </c>
      <c r="AK255" s="8" t="str">
        <f aca="false">IF(COUNTA(AF255:AJ255)=0,"",COUNTIF(AF255:AJ255,"yes"))</f>
        <v/>
      </c>
    </row>
    <row r="256" customFormat="false" ht="15" hidden="false" customHeight="true" outlineLevel="0" collapsed="false">
      <c r="U256" s="8" t="str">
        <f aca="false">IF($A256="","",IFERROR(IF(INDEX(O10_Polygon_And_Area!$C$1:$C$500,MATCH($A256,O10_Polygon_And_Area!$A$1:$A$500,0))="","",INDEX(O10_Polygon_And_Area!$C$1:$C$500,MATCH($A256,O10_Polygon_And_Area!$A$1:$A$500,0))),""))</f>
        <v/>
      </c>
      <c r="AK256" s="8" t="str">
        <f aca="false">IF(COUNTA(AF256:AJ256)=0,"",COUNTIF(AF256:AJ256,"yes"))</f>
        <v/>
      </c>
    </row>
    <row r="257" customFormat="false" ht="15" hidden="false" customHeight="true" outlineLevel="0" collapsed="false">
      <c r="U257" s="8" t="str">
        <f aca="false">IF($A257="","",IFERROR(IF(INDEX(O10_Polygon_And_Area!$C$1:$C$500,MATCH($A257,O10_Polygon_And_Area!$A$1:$A$500,0))="","",INDEX(O10_Polygon_And_Area!$C$1:$C$500,MATCH($A257,O10_Polygon_And_Area!$A$1:$A$500,0))),""))</f>
        <v/>
      </c>
      <c r="AK257" s="8" t="str">
        <f aca="false">IF(COUNTA(AF257:AJ257)=0,"",COUNTIF(AF257:AJ257,"yes"))</f>
        <v/>
      </c>
    </row>
    <row r="258" customFormat="false" ht="15" hidden="false" customHeight="true" outlineLevel="0" collapsed="false">
      <c r="U258" s="8" t="str">
        <f aca="false">IF($A258="","",IFERROR(IF(INDEX(O10_Polygon_And_Area!$C$1:$C$500,MATCH($A258,O10_Polygon_And_Area!$A$1:$A$500,0))="","",INDEX(O10_Polygon_And_Area!$C$1:$C$500,MATCH($A258,O10_Polygon_And_Area!$A$1:$A$500,0))),""))</f>
        <v/>
      </c>
      <c r="AK258" s="8" t="str">
        <f aca="false">IF(COUNTA(AF258:AJ258)=0,"",COUNTIF(AF258:AJ258,"yes"))</f>
        <v/>
      </c>
    </row>
    <row r="259" customFormat="false" ht="15" hidden="false" customHeight="true" outlineLevel="0" collapsed="false">
      <c r="U259" s="8" t="str">
        <f aca="false">IF($A259="","",IFERROR(IF(INDEX(O10_Polygon_And_Area!$C$1:$C$500,MATCH($A259,O10_Polygon_And_Area!$A$1:$A$500,0))="","",INDEX(O10_Polygon_And_Area!$C$1:$C$500,MATCH($A259,O10_Polygon_And_Area!$A$1:$A$500,0))),""))</f>
        <v/>
      </c>
      <c r="AK259" s="8" t="str">
        <f aca="false">IF(COUNTA(AF259:AJ259)=0,"",COUNTIF(AF259:AJ259,"yes"))</f>
        <v/>
      </c>
    </row>
    <row r="260" customFormat="false" ht="15" hidden="false" customHeight="true" outlineLevel="0" collapsed="false">
      <c r="U260" s="8" t="str">
        <f aca="false">IF($A260="","",IFERROR(IF(INDEX(O10_Polygon_And_Area!$C$1:$C$500,MATCH($A260,O10_Polygon_And_Area!$A$1:$A$500,0))="","",INDEX(O10_Polygon_And_Area!$C$1:$C$500,MATCH($A260,O10_Polygon_And_Area!$A$1:$A$500,0))),""))</f>
        <v/>
      </c>
      <c r="AK260" s="8" t="str">
        <f aca="false">IF(COUNTA(AF260:AJ260)=0,"",COUNTIF(AF260:AJ260,"yes"))</f>
        <v/>
      </c>
    </row>
    <row r="261" customFormat="false" ht="15" hidden="false" customHeight="true" outlineLevel="0" collapsed="false">
      <c r="U261" s="8" t="str">
        <f aca="false">IF($A261="","",IFERROR(IF(INDEX(O10_Polygon_And_Area!$C$1:$C$500,MATCH($A261,O10_Polygon_And_Area!$A$1:$A$500,0))="","",INDEX(O10_Polygon_And_Area!$C$1:$C$500,MATCH($A261,O10_Polygon_And_Area!$A$1:$A$500,0))),""))</f>
        <v/>
      </c>
      <c r="AK261" s="8" t="str">
        <f aca="false">IF(COUNTA(AF261:AJ261)=0,"",COUNTIF(AF261:AJ261,"yes"))</f>
        <v/>
      </c>
    </row>
    <row r="262" customFormat="false" ht="15" hidden="false" customHeight="true" outlineLevel="0" collapsed="false">
      <c r="U262" s="8" t="str">
        <f aca="false">IF($A262="","",IFERROR(IF(INDEX(O10_Polygon_And_Area!$C$1:$C$500,MATCH($A262,O10_Polygon_And_Area!$A$1:$A$500,0))="","",INDEX(O10_Polygon_And_Area!$C$1:$C$500,MATCH($A262,O10_Polygon_And_Area!$A$1:$A$500,0))),""))</f>
        <v/>
      </c>
      <c r="AK262" s="8" t="str">
        <f aca="false">IF(COUNTA(AF262:AJ262)=0,"",COUNTIF(AF262:AJ262,"yes"))</f>
        <v/>
      </c>
    </row>
    <row r="263" customFormat="false" ht="15" hidden="false" customHeight="true" outlineLevel="0" collapsed="false">
      <c r="U263" s="8" t="str">
        <f aca="false">IF($A263="","",IFERROR(IF(INDEX(O10_Polygon_And_Area!$C$1:$C$500,MATCH($A263,O10_Polygon_And_Area!$A$1:$A$500,0))="","",INDEX(O10_Polygon_And_Area!$C$1:$C$500,MATCH($A263,O10_Polygon_And_Area!$A$1:$A$500,0))),""))</f>
        <v/>
      </c>
      <c r="AK263" s="8" t="str">
        <f aca="false">IF(COUNTA(AF263:AJ263)=0,"",COUNTIF(AF263:AJ263,"yes"))</f>
        <v/>
      </c>
    </row>
    <row r="264" customFormat="false" ht="15" hidden="false" customHeight="true" outlineLevel="0" collapsed="false">
      <c r="U264" s="8" t="str">
        <f aca="false">IF($A264="","",IFERROR(IF(INDEX(O10_Polygon_And_Area!$C$1:$C$500,MATCH($A264,O10_Polygon_And_Area!$A$1:$A$500,0))="","",INDEX(O10_Polygon_And_Area!$C$1:$C$500,MATCH($A264,O10_Polygon_And_Area!$A$1:$A$500,0))),""))</f>
        <v/>
      </c>
      <c r="AK264" s="8" t="str">
        <f aca="false">IF(COUNTA(AF264:AJ264)=0,"",COUNTIF(AF264:AJ264,"yes"))</f>
        <v/>
      </c>
    </row>
    <row r="265" customFormat="false" ht="15" hidden="false" customHeight="true" outlineLevel="0" collapsed="false">
      <c r="U265" s="8" t="str">
        <f aca="false">IF($A265="","",IFERROR(IF(INDEX(O10_Polygon_And_Area!$C$1:$C$500,MATCH($A265,O10_Polygon_And_Area!$A$1:$A$500,0))="","",INDEX(O10_Polygon_And_Area!$C$1:$C$500,MATCH($A265,O10_Polygon_And_Area!$A$1:$A$500,0))),""))</f>
        <v/>
      </c>
      <c r="AK265" s="8" t="str">
        <f aca="false">IF(COUNTA(AF265:AJ265)=0,"",COUNTIF(AF265:AJ265,"yes"))</f>
        <v/>
      </c>
    </row>
    <row r="266" customFormat="false" ht="15" hidden="false" customHeight="true" outlineLevel="0" collapsed="false">
      <c r="U266" s="8" t="str">
        <f aca="false">IF($A266="","",IFERROR(IF(INDEX(O10_Polygon_And_Area!$C$1:$C$500,MATCH($A266,O10_Polygon_And_Area!$A$1:$A$500,0))="","",INDEX(O10_Polygon_And_Area!$C$1:$C$500,MATCH($A266,O10_Polygon_And_Area!$A$1:$A$500,0))),""))</f>
        <v/>
      </c>
      <c r="AK266" s="8" t="str">
        <f aca="false">IF(COUNTA(AF266:AJ266)=0,"",COUNTIF(AF266:AJ266,"yes"))</f>
        <v/>
      </c>
    </row>
    <row r="267" customFormat="false" ht="15" hidden="false" customHeight="true" outlineLevel="0" collapsed="false">
      <c r="U267" s="8" t="str">
        <f aca="false">IF($A267="","",IFERROR(IF(INDEX(O10_Polygon_And_Area!$C$1:$C$500,MATCH($A267,O10_Polygon_And_Area!$A$1:$A$500,0))="","",INDEX(O10_Polygon_And_Area!$C$1:$C$500,MATCH($A267,O10_Polygon_And_Area!$A$1:$A$500,0))),""))</f>
        <v/>
      </c>
      <c r="AK267" s="8" t="str">
        <f aca="false">IF(COUNTA(AF267:AJ267)=0,"",COUNTIF(AF267:AJ267,"yes"))</f>
        <v/>
      </c>
    </row>
    <row r="268" customFormat="false" ht="15" hidden="false" customHeight="true" outlineLevel="0" collapsed="false">
      <c r="U268" s="8" t="str">
        <f aca="false">IF($A268="","",IFERROR(IF(INDEX(O10_Polygon_And_Area!$C$1:$C$500,MATCH($A268,O10_Polygon_And_Area!$A$1:$A$500,0))="","",INDEX(O10_Polygon_And_Area!$C$1:$C$500,MATCH($A268,O10_Polygon_And_Area!$A$1:$A$500,0))),""))</f>
        <v/>
      </c>
      <c r="AK268" s="8" t="str">
        <f aca="false">IF(COUNTA(AF268:AJ268)=0,"",COUNTIF(AF268:AJ268,"yes"))</f>
        <v/>
      </c>
    </row>
    <row r="269" customFormat="false" ht="15" hidden="false" customHeight="true" outlineLevel="0" collapsed="false">
      <c r="U269" s="8" t="str">
        <f aca="false">IF($A269="","",IFERROR(IF(INDEX(O10_Polygon_And_Area!$C$1:$C$500,MATCH($A269,O10_Polygon_And_Area!$A$1:$A$500,0))="","",INDEX(O10_Polygon_And_Area!$C$1:$C$500,MATCH($A269,O10_Polygon_And_Area!$A$1:$A$500,0))),""))</f>
        <v/>
      </c>
      <c r="AK269" s="8" t="str">
        <f aca="false">IF(COUNTA(AF269:AJ269)=0,"",COUNTIF(AF269:AJ269,"yes"))</f>
        <v/>
      </c>
    </row>
    <row r="270" customFormat="false" ht="15" hidden="false" customHeight="true" outlineLevel="0" collapsed="false">
      <c r="U270" s="8" t="str">
        <f aca="false">IF($A270="","",IFERROR(IF(INDEX(O10_Polygon_And_Area!$C$1:$C$500,MATCH($A270,O10_Polygon_And_Area!$A$1:$A$500,0))="","",INDEX(O10_Polygon_And_Area!$C$1:$C$500,MATCH($A270,O10_Polygon_And_Area!$A$1:$A$500,0))),""))</f>
        <v/>
      </c>
      <c r="AK270" s="8" t="str">
        <f aca="false">IF(COUNTA(AF270:AJ270)=0,"",COUNTIF(AF270:AJ270,"yes"))</f>
        <v/>
      </c>
    </row>
    <row r="271" customFormat="false" ht="15" hidden="false" customHeight="true" outlineLevel="0" collapsed="false">
      <c r="U271" s="8" t="str">
        <f aca="false">IF($A271="","",IFERROR(IF(INDEX(O10_Polygon_And_Area!$C$1:$C$500,MATCH($A271,O10_Polygon_And_Area!$A$1:$A$500,0))="","",INDEX(O10_Polygon_And_Area!$C$1:$C$500,MATCH($A271,O10_Polygon_And_Area!$A$1:$A$500,0))),""))</f>
        <v/>
      </c>
      <c r="AK271" s="8" t="str">
        <f aca="false">IF(COUNTA(AF271:AJ271)=0,"",COUNTIF(AF271:AJ271,"yes"))</f>
        <v/>
      </c>
    </row>
    <row r="272" customFormat="false" ht="15" hidden="false" customHeight="true" outlineLevel="0" collapsed="false">
      <c r="U272" s="8" t="str">
        <f aca="false">IF($A272="","",IFERROR(IF(INDEX(O10_Polygon_And_Area!$C$1:$C$500,MATCH($A272,O10_Polygon_And_Area!$A$1:$A$500,0))="","",INDEX(O10_Polygon_And_Area!$C$1:$C$500,MATCH($A272,O10_Polygon_And_Area!$A$1:$A$500,0))),""))</f>
        <v/>
      </c>
      <c r="AK272" s="8" t="str">
        <f aca="false">IF(COUNTA(AF272:AJ272)=0,"",COUNTIF(AF272:AJ272,"yes"))</f>
        <v/>
      </c>
    </row>
    <row r="273" customFormat="false" ht="15" hidden="false" customHeight="true" outlineLevel="0" collapsed="false">
      <c r="U273" s="8" t="str">
        <f aca="false">IF($A273="","",IFERROR(IF(INDEX(O10_Polygon_And_Area!$C$1:$C$500,MATCH($A273,O10_Polygon_And_Area!$A$1:$A$500,0))="","",INDEX(O10_Polygon_And_Area!$C$1:$C$500,MATCH($A273,O10_Polygon_And_Area!$A$1:$A$500,0))),""))</f>
        <v/>
      </c>
      <c r="AK273" s="8" t="str">
        <f aca="false">IF(COUNTA(AF273:AJ273)=0,"",COUNTIF(AF273:AJ273,"yes"))</f>
        <v/>
      </c>
    </row>
    <row r="274" customFormat="false" ht="15" hidden="false" customHeight="true" outlineLevel="0" collapsed="false">
      <c r="U274" s="8" t="str">
        <f aca="false">IF($A274="","",IFERROR(IF(INDEX(O10_Polygon_And_Area!$C$1:$C$500,MATCH($A274,O10_Polygon_And_Area!$A$1:$A$500,0))="","",INDEX(O10_Polygon_And_Area!$C$1:$C$500,MATCH($A274,O10_Polygon_And_Area!$A$1:$A$500,0))),""))</f>
        <v/>
      </c>
      <c r="AK274" s="8" t="str">
        <f aca="false">IF(COUNTA(AF274:AJ274)=0,"",COUNTIF(AF274:AJ274,"yes"))</f>
        <v/>
      </c>
    </row>
    <row r="275" customFormat="false" ht="15" hidden="false" customHeight="true" outlineLevel="0" collapsed="false">
      <c r="U275" s="8" t="str">
        <f aca="false">IF($A275="","",IFERROR(IF(INDEX(O10_Polygon_And_Area!$C$1:$C$500,MATCH($A275,O10_Polygon_And_Area!$A$1:$A$500,0))="","",INDEX(O10_Polygon_And_Area!$C$1:$C$500,MATCH($A275,O10_Polygon_And_Area!$A$1:$A$500,0))),""))</f>
        <v/>
      </c>
      <c r="AK275" s="8" t="str">
        <f aca="false">IF(COUNTA(AF275:AJ275)=0,"",COUNTIF(AF275:AJ275,"yes"))</f>
        <v/>
      </c>
    </row>
    <row r="276" customFormat="false" ht="15" hidden="false" customHeight="true" outlineLevel="0" collapsed="false">
      <c r="U276" s="8" t="str">
        <f aca="false">IF($A276="","",IFERROR(IF(INDEX(O10_Polygon_And_Area!$C$1:$C$500,MATCH($A276,O10_Polygon_And_Area!$A$1:$A$500,0))="","",INDEX(O10_Polygon_And_Area!$C$1:$C$500,MATCH($A276,O10_Polygon_And_Area!$A$1:$A$500,0))),""))</f>
        <v/>
      </c>
      <c r="AK276" s="8" t="str">
        <f aca="false">IF(COUNTA(AF276:AJ276)=0,"",COUNTIF(AF276:AJ276,"yes"))</f>
        <v/>
      </c>
    </row>
    <row r="277" customFormat="false" ht="15" hidden="false" customHeight="true" outlineLevel="0" collapsed="false">
      <c r="U277" s="8" t="str">
        <f aca="false">IF($A277="","",IFERROR(IF(INDEX(O10_Polygon_And_Area!$C$1:$C$500,MATCH($A277,O10_Polygon_And_Area!$A$1:$A$500,0))="","",INDEX(O10_Polygon_And_Area!$C$1:$C$500,MATCH($A277,O10_Polygon_And_Area!$A$1:$A$500,0))),""))</f>
        <v/>
      </c>
      <c r="AK277" s="8" t="str">
        <f aca="false">IF(COUNTA(AF277:AJ277)=0,"",COUNTIF(AF277:AJ277,"yes"))</f>
        <v/>
      </c>
    </row>
    <row r="278" customFormat="false" ht="15" hidden="false" customHeight="true" outlineLevel="0" collapsed="false">
      <c r="U278" s="8" t="str">
        <f aca="false">IF($A278="","",IFERROR(IF(INDEX(O10_Polygon_And_Area!$C$1:$C$500,MATCH($A278,O10_Polygon_And_Area!$A$1:$A$500,0))="","",INDEX(O10_Polygon_And_Area!$C$1:$C$500,MATCH($A278,O10_Polygon_And_Area!$A$1:$A$500,0))),""))</f>
        <v/>
      </c>
      <c r="AK278" s="8" t="str">
        <f aca="false">IF(COUNTA(AF278:AJ278)=0,"",COUNTIF(AF278:AJ278,"yes"))</f>
        <v/>
      </c>
    </row>
    <row r="279" customFormat="false" ht="15" hidden="false" customHeight="true" outlineLevel="0" collapsed="false">
      <c r="U279" s="8" t="str">
        <f aca="false">IF($A279="","",IFERROR(IF(INDEX(O10_Polygon_And_Area!$C$1:$C$500,MATCH($A279,O10_Polygon_And_Area!$A$1:$A$500,0))="","",INDEX(O10_Polygon_And_Area!$C$1:$C$500,MATCH($A279,O10_Polygon_And_Area!$A$1:$A$500,0))),""))</f>
        <v/>
      </c>
      <c r="AK279" s="8" t="str">
        <f aca="false">IF(COUNTA(AF279:AJ279)=0,"",COUNTIF(AF279:AJ279,"yes"))</f>
        <v/>
      </c>
    </row>
    <row r="280" customFormat="false" ht="15" hidden="false" customHeight="true" outlineLevel="0" collapsed="false">
      <c r="U280" s="8" t="str">
        <f aca="false">IF($A280="","",IFERROR(IF(INDEX(O10_Polygon_And_Area!$C$1:$C$500,MATCH($A280,O10_Polygon_And_Area!$A$1:$A$500,0))="","",INDEX(O10_Polygon_And_Area!$C$1:$C$500,MATCH($A280,O10_Polygon_And_Area!$A$1:$A$500,0))),""))</f>
        <v/>
      </c>
      <c r="AK280" s="8" t="str">
        <f aca="false">IF(COUNTA(AF280:AJ280)=0,"",COUNTIF(AF280:AJ280,"yes"))</f>
        <v/>
      </c>
    </row>
    <row r="281" customFormat="false" ht="15" hidden="false" customHeight="true" outlineLevel="0" collapsed="false">
      <c r="U281" s="8" t="str">
        <f aca="false">IF($A281="","",IFERROR(IF(INDEX(O10_Polygon_And_Area!$C$1:$C$500,MATCH($A281,O10_Polygon_And_Area!$A$1:$A$500,0))="","",INDEX(O10_Polygon_And_Area!$C$1:$C$500,MATCH($A281,O10_Polygon_And_Area!$A$1:$A$500,0))),""))</f>
        <v/>
      </c>
      <c r="AK281" s="8" t="str">
        <f aca="false">IF(COUNTA(AF281:AJ281)=0,"",COUNTIF(AF281:AJ281,"yes"))</f>
        <v/>
      </c>
    </row>
    <row r="282" customFormat="false" ht="15" hidden="false" customHeight="true" outlineLevel="0" collapsed="false">
      <c r="U282" s="8" t="str">
        <f aca="false">IF($A282="","",IFERROR(IF(INDEX(O10_Polygon_And_Area!$C$1:$C$500,MATCH($A282,O10_Polygon_And_Area!$A$1:$A$500,0))="","",INDEX(O10_Polygon_And_Area!$C$1:$C$500,MATCH($A282,O10_Polygon_And_Area!$A$1:$A$500,0))),""))</f>
        <v/>
      </c>
      <c r="AK282" s="8" t="str">
        <f aca="false">IF(COUNTA(AF282:AJ282)=0,"",COUNTIF(AF282:AJ282,"yes"))</f>
        <v/>
      </c>
    </row>
    <row r="283" customFormat="false" ht="15" hidden="false" customHeight="true" outlineLevel="0" collapsed="false">
      <c r="U283" s="8" t="str">
        <f aca="false">IF($A283="","",IFERROR(IF(INDEX(O10_Polygon_And_Area!$C$1:$C$500,MATCH($A283,O10_Polygon_And_Area!$A$1:$A$500,0))="","",INDEX(O10_Polygon_And_Area!$C$1:$C$500,MATCH($A283,O10_Polygon_And_Area!$A$1:$A$500,0))),""))</f>
        <v/>
      </c>
      <c r="AK283" s="8" t="str">
        <f aca="false">IF(COUNTA(AF283:AJ283)=0,"",COUNTIF(AF283:AJ283,"yes"))</f>
        <v/>
      </c>
    </row>
    <row r="284" customFormat="false" ht="15" hidden="false" customHeight="true" outlineLevel="0" collapsed="false">
      <c r="U284" s="8" t="str">
        <f aca="false">IF($A284="","",IFERROR(IF(INDEX(O10_Polygon_And_Area!$C$1:$C$500,MATCH($A284,O10_Polygon_And_Area!$A$1:$A$500,0))="","",INDEX(O10_Polygon_And_Area!$C$1:$C$500,MATCH($A284,O10_Polygon_And_Area!$A$1:$A$500,0))),""))</f>
        <v/>
      </c>
      <c r="AK284" s="8" t="str">
        <f aca="false">IF(COUNTA(AF284:AJ284)=0,"",COUNTIF(AF284:AJ284,"yes"))</f>
        <v/>
      </c>
    </row>
    <row r="285" customFormat="false" ht="15" hidden="false" customHeight="true" outlineLevel="0" collapsed="false">
      <c r="U285" s="8" t="str">
        <f aca="false">IF($A285="","",IFERROR(IF(INDEX(O10_Polygon_And_Area!$C$1:$C$500,MATCH($A285,O10_Polygon_And_Area!$A$1:$A$500,0))="","",INDEX(O10_Polygon_And_Area!$C$1:$C$500,MATCH($A285,O10_Polygon_And_Area!$A$1:$A$500,0))),""))</f>
        <v/>
      </c>
      <c r="AK285" s="8" t="str">
        <f aca="false">IF(COUNTA(AF285:AJ285)=0,"",COUNTIF(AF285:AJ285,"yes"))</f>
        <v/>
      </c>
    </row>
    <row r="286" customFormat="false" ht="15" hidden="false" customHeight="true" outlineLevel="0" collapsed="false">
      <c r="U286" s="8" t="str">
        <f aca="false">IF($A286="","",IFERROR(IF(INDEX(O10_Polygon_And_Area!$C$1:$C$500,MATCH($A286,O10_Polygon_And_Area!$A$1:$A$500,0))="","",INDEX(O10_Polygon_And_Area!$C$1:$C$500,MATCH($A286,O10_Polygon_And_Area!$A$1:$A$500,0))),""))</f>
        <v/>
      </c>
      <c r="AK286" s="8" t="str">
        <f aca="false">IF(COUNTA(AF286:AJ286)=0,"",COUNTIF(AF286:AJ286,"yes"))</f>
        <v/>
      </c>
    </row>
    <row r="287" customFormat="false" ht="15" hidden="false" customHeight="true" outlineLevel="0" collapsed="false">
      <c r="U287" s="8" t="str">
        <f aca="false">IF($A287="","",IFERROR(IF(INDEX(O10_Polygon_And_Area!$C$1:$C$500,MATCH($A287,O10_Polygon_And_Area!$A$1:$A$500,0))="","",INDEX(O10_Polygon_And_Area!$C$1:$C$500,MATCH($A287,O10_Polygon_And_Area!$A$1:$A$500,0))),""))</f>
        <v/>
      </c>
      <c r="AK287" s="8" t="str">
        <f aca="false">IF(COUNTA(AF287:AJ287)=0,"",COUNTIF(AF287:AJ287,"yes"))</f>
        <v/>
      </c>
    </row>
    <row r="288" customFormat="false" ht="15" hidden="false" customHeight="true" outlineLevel="0" collapsed="false">
      <c r="U288" s="8" t="str">
        <f aca="false">IF($A288="","",IFERROR(IF(INDEX(O10_Polygon_And_Area!$C$1:$C$500,MATCH($A288,O10_Polygon_And_Area!$A$1:$A$500,0))="","",INDEX(O10_Polygon_And_Area!$C$1:$C$500,MATCH($A288,O10_Polygon_And_Area!$A$1:$A$500,0))),""))</f>
        <v/>
      </c>
      <c r="AK288" s="8" t="str">
        <f aca="false">IF(COUNTA(AF288:AJ288)=0,"",COUNTIF(AF288:AJ288,"yes"))</f>
        <v/>
      </c>
    </row>
    <row r="289" customFormat="false" ht="15" hidden="false" customHeight="true" outlineLevel="0" collapsed="false">
      <c r="U289" s="8" t="str">
        <f aca="false">IF($A289="","",IFERROR(IF(INDEX(O10_Polygon_And_Area!$C$1:$C$500,MATCH($A289,O10_Polygon_And_Area!$A$1:$A$500,0))="","",INDEX(O10_Polygon_And_Area!$C$1:$C$500,MATCH($A289,O10_Polygon_And_Area!$A$1:$A$500,0))),""))</f>
        <v/>
      </c>
      <c r="AK289" s="8" t="str">
        <f aca="false">IF(COUNTA(AF289:AJ289)=0,"",COUNTIF(AF289:AJ289,"yes"))</f>
        <v/>
      </c>
    </row>
    <row r="290" customFormat="false" ht="15" hidden="false" customHeight="true" outlineLevel="0" collapsed="false">
      <c r="U290" s="8" t="str">
        <f aca="false">IF($A290="","",IFERROR(IF(INDEX(O10_Polygon_And_Area!$C$1:$C$500,MATCH($A290,O10_Polygon_And_Area!$A$1:$A$500,0))="","",INDEX(O10_Polygon_And_Area!$C$1:$C$500,MATCH($A290,O10_Polygon_And_Area!$A$1:$A$500,0))),""))</f>
        <v/>
      </c>
      <c r="AK290" s="8" t="str">
        <f aca="false">IF(COUNTA(AF290:AJ290)=0,"",COUNTIF(AF290:AJ290,"yes"))</f>
        <v/>
      </c>
    </row>
    <row r="291" customFormat="false" ht="15" hidden="false" customHeight="true" outlineLevel="0" collapsed="false">
      <c r="U291" s="8" t="str">
        <f aca="false">IF($A291="","",IFERROR(IF(INDEX(O10_Polygon_And_Area!$C$1:$C$500,MATCH($A291,O10_Polygon_And_Area!$A$1:$A$500,0))="","",INDEX(O10_Polygon_And_Area!$C$1:$C$500,MATCH($A291,O10_Polygon_And_Area!$A$1:$A$500,0))),""))</f>
        <v/>
      </c>
      <c r="AK291" s="8" t="str">
        <f aca="false">IF(COUNTA(AF291:AJ291)=0,"",COUNTIF(AF291:AJ291,"yes"))</f>
        <v/>
      </c>
    </row>
    <row r="292" customFormat="false" ht="15" hidden="false" customHeight="true" outlineLevel="0" collapsed="false">
      <c r="U292" s="8" t="str">
        <f aca="false">IF($A292="","",IFERROR(IF(INDEX(O10_Polygon_And_Area!$C$1:$C$500,MATCH($A292,O10_Polygon_And_Area!$A$1:$A$500,0))="","",INDEX(O10_Polygon_And_Area!$C$1:$C$500,MATCH($A292,O10_Polygon_And_Area!$A$1:$A$500,0))),""))</f>
        <v/>
      </c>
      <c r="AK292" s="8" t="str">
        <f aca="false">IF(COUNTA(AF292:AJ292)=0,"",COUNTIF(AF292:AJ292,"yes"))</f>
        <v/>
      </c>
    </row>
    <row r="293" customFormat="false" ht="15" hidden="false" customHeight="true" outlineLevel="0" collapsed="false">
      <c r="U293" s="8" t="str">
        <f aca="false">IF($A293="","",IFERROR(IF(INDEX(O10_Polygon_And_Area!$C$1:$C$500,MATCH($A293,O10_Polygon_And_Area!$A$1:$A$500,0))="","",INDEX(O10_Polygon_And_Area!$C$1:$C$500,MATCH($A293,O10_Polygon_And_Area!$A$1:$A$500,0))),""))</f>
        <v/>
      </c>
      <c r="AK293" s="8" t="str">
        <f aca="false">IF(COUNTA(AF293:AJ293)=0,"",COUNTIF(AF293:AJ293,"yes"))</f>
        <v/>
      </c>
    </row>
    <row r="294" customFormat="false" ht="15" hidden="false" customHeight="true" outlineLevel="0" collapsed="false">
      <c r="U294" s="8" t="str">
        <f aca="false">IF($A294="","",IFERROR(IF(INDEX(O10_Polygon_And_Area!$C$1:$C$500,MATCH($A294,O10_Polygon_And_Area!$A$1:$A$500,0))="","",INDEX(O10_Polygon_And_Area!$C$1:$C$500,MATCH($A294,O10_Polygon_And_Area!$A$1:$A$500,0))),""))</f>
        <v/>
      </c>
      <c r="AK294" s="8" t="str">
        <f aca="false">IF(COUNTA(AF294:AJ294)=0,"",COUNTIF(AF294:AJ294,"yes"))</f>
        <v/>
      </c>
    </row>
    <row r="295" customFormat="false" ht="15" hidden="false" customHeight="true" outlineLevel="0" collapsed="false">
      <c r="U295" s="8" t="str">
        <f aca="false">IF($A295="","",IFERROR(IF(INDEX(O10_Polygon_And_Area!$C$1:$C$500,MATCH($A295,O10_Polygon_And_Area!$A$1:$A$500,0))="","",INDEX(O10_Polygon_And_Area!$C$1:$C$500,MATCH($A295,O10_Polygon_And_Area!$A$1:$A$500,0))),""))</f>
        <v/>
      </c>
      <c r="AK295" s="8" t="str">
        <f aca="false">IF(COUNTA(AF295:AJ295)=0,"",COUNTIF(AF295:AJ295,"yes"))</f>
        <v/>
      </c>
    </row>
    <row r="296" customFormat="false" ht="15" hidden="false" customHeight="true" outlineLevel="0" collapsed="false">
      <c r="U296" s="8" t="str">
        <f aca="false">IF($A296="","",IFERROR(IF(INDEX(O10_Polygon_And_Area!$C$1:$C$500,MATCH($A296,O10_Polygon_And_Area!$A$1:$A$500,0))="","",INDEX(O10_Polygon_And_Area!$C$1:$C$500,MATCH($A296,O10_Polygon_And_Area!$A$1:$A$500,0))),""))</f>
        <v/>
      </c>
      <c r="AK296" s="8" t="str">
        <f aca="false">IF(COUNTA(AF296:AJ296)=0,"",COUNTIF(AF296:AJ296,"yes"))</f>
        <v/>
      </c>
    </row>
    <row r="297" customFormat="false" ht="15" hidden="false" customHeight="true" outlineLevel="0" collapsed="false">
      <c r="U297" s="8" t="str">
        <f aca="false">IF($A297="","",IFERROR(IF(INDEX(O10_Polygon_And_Area!$C$1:$C$500,MATCH($A297,O10_Polygon_And_Area!$A$1:$A$500,0))="","",INDEX(O10_Polygon_And_Area!$C$1:$C$500,MATCH($A297,O10_Polygon_And_Area!$A$1:$A$500,0))),""))</f>
        <v/>
      </c>
      <c r="AK297" s="8" t="str">
        <f aca="false">IF(COUNTA(AF297:AJ297)=0,"",COUNTIF(AF297:AJ297,"yes"))</f>
        <v/>
      </c>
    </row>
    <row r="298" customFormat="false" ht="15" hidden="false" customHeight="true" outlineLevel="0" collapsed="false">
      <c r="U298" s="8" t="str">
        <f aca="false">IF($A298="","",IFERROR(IF(INDEX(O10_Polygon_And_Area!$C$1:$C$500,MATCH($A298,O10_Polygon_And_Area!$A$1:$A$500,0))="","",INDEX(O10_Polygon_And_Area!$C$1:$C$500,MATCH($A298,O10_Polygon_And_Area!$A$1:$A$500,0))),""))</f>
        <v/>
      </c>
      <c r="AK298" s="8" t="str">
        <f aca="false">IF(COUNTA(AF298:AJ298)=0,"",COUNTIF(AF298:AJ298,"yes"))</f>
        <v/>
      </c>
    </row>
    <row r="299" customFormat="false" ht="15" hidden="false" customHeight="true" outlineLevel="0" collapsed="false">
      <c r="U299" s="8" t="str">
        <f aca="false">IF($A299="","",IFERROR(IF(INDEX(O10_Polygon_And_Area!$C$1:$C$500,MATCH($A299,O10_Polygon_And_Area!$A$1:$A$500,0))="","",INDEX(O10_Polygon_And_Area!$C$1:$C$500,MATCH($A299,O10_Polygon_And_Area!$A$1:$A$500,0))),""))</f>
        <v/>
      </c>
      <c r="AK299" s="8" t="str">
        <f aca="false">IF(COUNTA(AF299:AJ299)=0,"",COUNTIF(AF299:AJ299,"yes"))</f>
        <v/>
      </c>
    </row>
    <row r="300" customFormat="false" ht="15" hidden="false" customHeight="true" outlineLevel="0" collapsed="false">
      <c r="U300" s="8" t="str">
        <f aca="false">IF($A300="","",IFERROR(IF(INDEX(O10_Polygon_And_Area!$C$1:$C$500,MATCH($A300,O10_Polygon_And_Area!$A$1:$A$500,0))="","",INDEX(O10_Polygon_And_Area!$C$1:$C$500,MATCH($A300,O10_Polygon_And_Area!$A$1:$A$500,0))),""))</f>
        <v/>
      </c>
      <c r="AK300" s="8" t="str">
        <f aca="false">IF(COUNTA(AF300:AJ300)=0,"",COUNTIF(AF300:AJ300,"yes"))</f>
        <v/>
      </c>
    </row>
    <row r="301" customFormat="false" ht="15" hidden="false" customHeight="true" outlineLevel="0" collapsed="false">
      <c r="U301" s="8" t="str">
        <f aca="false">IF($A301="","",IFERROR(IF(INDEX(O10_Polygon_And_Area!$C$1:$C$500,MATCH($A301,O10_Polygon_And_Area!$A$1:$A$500,0))="","",INDEX(O10_Polygon_And_Area!$C$1:$C$500,MATCH($A301,O10_Polygon_And_Area!$A$1:$A$500,0))),""))</f>
        <v/>
      </c>
      <c r="AK301" s="8" t="str">
        <f aca="false">IF(COUNTA(AF301:AJ301)=0,"",COUNTIF(AF301:AJ301,"yes"))</f>
        <v/>
      </c>
    </row>
    <row r="302" customFormat="false" ht="15" hidden="false" customHeight="true" outlineLevel="0" collapsed="false">
      <c r="U302" s="8" t="str">
        <f aca="false">IF($A302="","",IFERROR(IF(INDEX(O10_Polygon_And_Area!$C$1:$C$500,MATCH($A302,O10_Polygon_And_Area!$A$1:$A$500,0))="","",INDEX(O10_Polygon_And_Area!$C$1:$C$500,MATCH($A302,O10_Polygon_And_Area!$A$1:$A$500,0))),""))</f>
        <v/>
      </c>
      <c r="AK302" s="8" t="str">
        <f aca="false">IF(COUNTA(AF302:AJ302)=0,"",COUNTIF(AF302:AJ302,"yes"))</f>
        <v/>
      </c>
    </row>
    <row r="303" customFormat="false" ht="15" hidden="false" customHeight="true" outlineLevel="0" collapsed="false">
      <c r="U303" s="8" t="str">
        <f aca="false">IF($A303="","",IFERROR(IF(INDEX(O10_Polygon_And_Area!$C$1:$C$500,MATCH($A303,O10_Polygon_And_Area!$A$1:$A$500,0))="","",INDEX(O10_Polygon_And_Area!$C$1:$C$500,MATCH($A303,O10_Polygon_And_Area!$A$1:$A$500,0))),""))</f>
        <v/>
      </c>
      <c r="AK303" s="8" t="str">
        <f aca="false">IF(COUNTA(AF303:AJ303)=0,"",COUNTIF(AF303:AJ303,"yes"))</f>
        <v/>
      </c>
    </row>
    <row r="304" customFormat="false" ht="15" hidden="false" customHeight="true" outlineLevel="0" collapsed="false">
      <c r="U304" s="8" t="str">
        <f aca="false">IF($A304="","",IFERROR(IF(INDEX(O10_Polygon_And_Area!$C$1:$C$500,MATCH($A304,O10_Polygon_And_Area!$A$1:$A$500,0))="","",INDEX(O10_Polygon_And_Area!$C$1:$C$500,MATCH($A304,O10_Polygon_And_Area!$A$1:$A$500,0))),""))</f>
        <v/>
      </c>
      <c r="AK304" s="8" t="str">
        <f aca="false">IF(COUNTA(AF304:AJ304)=0,"",COUNTIF(AF304:AJ304,"yes"))</f>
        <v/>
      </c>
    </row>
    <row r="305" customFormat="false" ht="15" hidden="false" customHeight="true" outlineLevel="0" collapsed="false">
      <c r="U305" s="8" t="str">
        <f aca="false">IF($A305="","",IFERROR(IF(INDEX(O10_Polygon_And_Area!$C$1:$C$500,MATCH($A305,O10_Polygon_And_Area!$A$1:$A$500,0))="","",INDEX(O10_Polygon_And_Area!$C$1:$C$500,MATCH($A305,O10_Polygon_And_Area!$A$1:$A$500,0))),""))</f>
        <v/>
      </c>
      <c r="AK305" s="8" t="str">
        <f aca="false">IF(COUNTA(AF305:AJ305)=0,"",COUNTIF(AF305:AJ305,"yes"))</f>
        <v/>
      </c>
    </row>
    <row r="306" customFormat="false" ht="15" hidden="false" customHeight="true" outlineLevel="0" collapsed="false">
      <c r="U306" s="8" t="str">
        <f aca="false">IF($A306="","",IFERROR(IF(INDEX(O10_Polygon_And_Area!$C$1:$C$500,MATCH($A306,O10_Polygon_And_Area!$A$1:$A$500,0))="","",INDEX(O10_Polygon_And_Area!$C$1:$C$500,MATCH($A306,O10_Polygon_And_Area!$A$1:$A$500,0))),""))</f>
        <v/>
      </c>
      <c r="AK306" s="8" t="str">
        <f aca="false">IF(COUNTA(AF306:AJ306)=0,"",COUNTIF(AF306:AJ306,"yes"))</f>
        <v/>
      </c>
    </row>
    <row r="307" customFormat="false" ht="15" hidden="false" customHeight="true" outlineLevel="0" collapsed="false">
      <c r="U307" s="8" t="str">
        <f aca="false">IF($A307="","",IFERROR(IF(INDEX(O10_Polygon_And_Area!$C$1:$C$500,MATCH($A307,O10_Polygon_And_Area!$A$1:$A$500,0))="","",INDEX(O10_Polygon_And_Area!$C$1:$C$500,MATCH($A307,O10_Polygon_And_Area!$A$1:$A$500,0))),""))</f>
        <v/>
      </c>
      <c r="AK307" s="8" t="str">
        <f aca="false">IF(COUNTA(AF307:AJ307)=0,"",COUNTIF(AF307:AJ307,"yes"))</f>
        <v/>
      </c>
    </row>
    <row r="308" customFormat="false" ht="15" hidden="false" customHeight="true" outlineLevel="0" collapsed="false">
      <c r="U308" s="8" t="str">
        <f aca="false">IF($A308="","",IFERROR(IF(INDEX(O10_Polygon_And_Area!$C$1:$C$500,MATCH($A308,O10_Polygon_And_Area!$A$1:$A$500,0))="","",INDEX(O10_Polygon_And_Area!$C$1:$C$500,MATCH($A308,O10_Polygon_And_Area!$A$1:$A$500,0))),""))</f>
        <v/>
      </c>
      <c r="AK308" s="8" t="str">
        <f aca="false">IF(COUNTA(AF308:AJ308)=0,"",COUNTIF(AF308:AJ308,"yes"))</f>
        <v/>
      </c>
    </row>
    <row r="309" customFormat="false" ht="15" hidden="false" customHeight="true" outlineLevel="0" collapsed="false">
      <c r="U309" s="8" t="str">
        <f aca="false">IF($A309="","",IFERROR(IF(INDEX(O10_Polygon_And_Area!$C$1:$C$500,MATCH($A309,O10_Polygon_And_Area!$A$1:$A$500,0))="","",INDEX(O10_Polygon_And_Area!$C$1:$C$500,MATCH($A309,O10_Polygon_And_Area!$A$1:$A$500,0))),""))</f>
        <v/>
      </c>
      <c r="AK309" s="8" t="str">
        <f aca="false">IF(COUNTA(AF309:AJ309)=0,"",COUNTIF(AF309:AJ309,"yes"))</f>
        <v/>
      </c>
    </row>
    <row r="310" customFormat="false" ht="15" hidden="false" customHeight="true" outlineLevel="0" collapsed="false">
      <c r="U310" s="8" t="str">
        <f aca="false">IF($A310="","",IFERROR(IF(INDEX(O10_Polygon_And_Area!$C$1:$C$500,MATCH($A310,O10_Polygon_And_Area!$A$1:$A$500,0))="","",INDEX(O10_Polygon_And_Area!$C$1:$C$500,MATCH($A310,O10_Polygon_And_Area!$A$1:$A$500,0))),""))</f>
        <v/>
      </c>
      <c r="AK310" s="8" t="str">
        <f aca="false">IF(COUNTA(AF310:AJ310)=0,"",COUNTIF(AF310:AJ310,"yes"))</f>
        <v/>
      </c>
    </row>
    <row r="311" customFormat="false" ht="15" hidden="false" customHeight="true" outlineLevel="0" collapsed="false">
      <c r="U311" s="8" t="str">
        <f aca="false">IF($A311="","",IFERROR(IF(INDEX(O10_Polygon_And_Area!$C$1:$C$500,MATCH($A311,O10_Polygon_And_Area!$A$1:$A$500,0))="","",INDEX(O10_Polygon_And_Area!$C$1:$C$500,MATCH($A311,O10_Polygon_And_Area!$A$1:$A$500,0))),""))</f>
        <v/>
      </c>
      <c r="AK311" s="8" t="str">
        <f aca="false">IF(COUNTA(AF311:AJ311)=0,"",COUNTIF(AF311:AJ311,"yes"))</f>
        <v/>
      </c>
    </row>
    <row r="312" customFormat="false" ht="15" hidden="false" customHeight="true" outlineLevel="0" collapsed="false">
      <c r="U312" s="8" t="str">
        <f aca="false">IF($A312="","",IFERROR(IF(INDEX(O10_Polygon_And_Area!$C$1:$C$500,MATCH($A312,O10_Polygon_And_Area!$A$1:$A$500,0))="","",INDEX(O10_Polygon_And_Area!$C$1:$C$500,MATCH($A312,O10_Polygon_And_Area!$A$1:$A$500,0))),""))</f>
        <v/>
      </c>
      <c r="AK312" s="8" t="str">
        <f aca="false">IF(COUNTA(AF312:AJ312)=0,"",COUNTIF(AF312:AJ312,"yes"))</f>
        <v/>
      </c>
    </row>
    <row r="313" customFormat="false" ht="15" hidden="false" customHeight="true" outlineLevel="0" collapsed="false">
      <c r="U313" s="8" t="str">
        <f aca="false">IF($A313="","",IFERROR(IF(INDEX(O10_Polygon_And_Area!$C$1:$C$500,MATCH($A313,O10_Polygon_And_Area!$A$1:$A$500,0))="","",INDEX(O10_Polygon_And_Area!$C$1:$C$500,MATCH($A313,O10_Polygon_And_Area!$A$1:$A$500,0))),""))</f>
        <v/>
      </c>
      <c r="AK313" s="8" t="str">
        <f aca="false">IF(COUNTA(AF313:AJ313)=0,"",COUNTIF(AF313:AJ313,"yes"))</f>
        <v/>
      </c>
    </row>
    <row r="314" customFormat="false" ht="15" hidden="false" customHeight="true" outlineLevel="0" collapsed="false">
      <c r="U314" s="8" t="str">
        <f aca="false">IF($A314="","",IFERROR(IF(INDEX(O10_Polygon_And_Area!$C$1:$C$500,MATCH($A314,O10_Polygon_And_Area!$A$1:$A$500,0))="","",INDEX(O10_Polygon_And_Area!$C$1:$C$500,MATCH($A314,O10_Polygon_And_Area!$A$1:$A$500,0))),""))</f>
        <v/>
      </c>
      <c r="AK314" s="8" t="str">
        <f aca="false">IF(COUNTA(AF314:AJ314)=0,"",COUNTIF(AF314:AJ314,"yes"))</f>
        <v/>
      </c>
    </row>
    <row r="315" customFormat="false" ht="15" hidden="false" customHeight="true" outlineLevel="0" collapsed="false">
      <c r="U315" s="8" t="str">
        <f aca="false">IF($A315="","",IFERROR(IF(INDEX(O10_Polygon_And_Area!$C$1:$C$500,MATCH($A315,O10_Polygon_And_Area!$A$1:$A$500,0))="","",INDEX(O10_Polygon_And_Area!$C$1:$C$500,MATCH($A315,O10_Polygon_And_Area!$A$1:$A$500,0))),""))</f>
        <v/>
      </c>
      <c r="AK315" s="8" t="str">
        <f aca="false">IF(COUNTA(AF315:AJ315)=0,"",COUNTIF(AF315:AJ315,"yes"))</f>
        <v/>
      </c>
    </row>
    <row r="316" customFormat="false" ht="15" hidden="false" customHeight="true" outlineLevel="0" collapsed="false">
      <c r="U316" s="8" t="str">
        <f aca="false">IF($A316="","",IFERROR(IF(INDEX(O10_Polygon_And_Area!$C$1:$C$500,MATCH($A316,O10_Polygon_And_Area!$A$1:$A$500,0))="","",INDEX(O10_Polygon_And_Area!$C$1:$C$500,MATCH($A316,O10_Polygon_And_Area!$A$1:$A$500,0))),""))</f>
        <v/>
      </c>
      <c r="AK316" s="8" t="str">
        <f aca="false">IF(COUNTA(AF316:AJ316)=0,"",COUNTIF(AF316:AJ316,"yes"))</f>
        <v/>
      </c>
    </row>
    <row r="317" customFormat="false" ht="15" hidden="false" customHeight="true" outlineLevel="0" collapsed="false">
      <c r="U317" s="8" t="str">
        <f aca="false">IF($A317="","",IFERROR(IF(INDEX(O10_Polygon_And_Area!$C$1:$C$500,MATCH($A317,O10_Polygon_And_Area!$A$1:$A$500,0))="","",INDEX(O10_Polygon_And_Area!$C$1:$C$500,MATCH($A317,O10_Polygon_And_Area!$A$1:$A$500,0))),""))</f>
        <v/>
      </c>
      <c r="AK317" s="8" t="str">
        <f aca="false">IF(COUNTA(AF317:AJ317)=0,"",COUNTIF(AF317:AJ317,"yes"))</f>
        <v/>
      </c>
    </row>
    <row r="318" customFormat="false" ht="15" hidden="false" customHeight="true" outlineLevel="0" collapsed="false">
      <c r="U318" s="8" t="str">
        <f aca="false">IF($A318="","",IFERROR(IF(INDEX(O10_Polygon_And_Area!$C$1:$C$500,MATCH($A318,O10_Polygon_And_Area!$A$1:$A$500,0))="","",INDEX(O10_Polygon_And_Area!$C$1:$C$500,MATCH($A318,O10_Polygon_And_Area!$A$1:$A$500,0))),""))</f>
        <v/>
      </c>
      <c r="AK318" s="8" t="str">
        <f aca="false">IF(COUNTA(AF318:AJ318)=0,"",COUNTIF(AF318:AJ318,"yes"))</f>
        <v/>
      </c>
    </row>
    <row r="319" customFormat="false" ht="15" hidden="false" customHeight="true" outlineLevel="0" collapsed="false">
      <c r="U319" s="8" t="str">
        <f aca="false">IF($A319="","",IFERROR(IF(INDEX(O10_Polygon_And_Area!$C$1:$C$500,MATCH($A319,O10_Polygon_And_Area!$A$1:$A$500,0))="","",INDEX(O10_Polygon_And_Area!$C$1:$C$500,MATCH($A319,O10_Polygon_And_Area!$A$1:$A$500,0))),""))</f>
        <v/>
      </c>
      <c r="AK319" s="8" t="str">
        <f aca="false">IF(COUNTA(AF319:AJ319)=0,"",COUNTIF(AF319:AJ319,"yes"))</f>
        <v/>
      </c>
    </row>
    <row r="320" customFormat="false" ht="15" hidden="false" customHeight="true" outlineLevel="0" collapsed="false">
      <c r="U320" s="8" t="str">
        <f aca="false">IF($A320="","",IFERROR(IF(INDEX(O10_Polygon_And_Area!$C$1:$C$500,MATCH($A320,O10_Polygon_And_Area!$A$1:$A$500,0))="","",INDEX(O10_Polygon_And_Area!$C$1:$C$500,MATCH($A320,O10_Polygon_And_Area!$A$1:$A$500,0))),""))</f>
        <v/>
      </c>
      <c r="AK320" s="8" t="str">
        <f aca="false">IF(COUNTA(AF320:AJ320)=0,"",COUNTIF(AF320:AJ320,"yes"))</f>
        <v/>
      </c>
    </row>
    <row r="321" customFormat="false" ht="15" hidden="false" customHeight="true" outlineLevel="0" collapsed="false">
      <c r="U321" s="8" t="str">
        <f aca="false">IF($A321="","",IFERROR(IF(INDEX(O10_Polygon_And_Area!$C$1:$C$500,MATCH($A321,O10_Polygon_And_Area!$A$1:$A$500,0))="","",INDEX(O10_Polygon_And_Area!$C$1:$C$500,MATCH($A321,O10_Polygon_And_Area!$A$1:$A$500,0))),""))</f>
        <v/>
      </c>
      <c r="AK321" s="8" t="str">
        <f aca="false">IF(COUNTA(AF321:AJ321)=0,"",COUNTIF(AF321:AJ321,"yes"))</f>
        <v/>
      </c>
    </row>
    <row r="322" customFormat="false" ht="15" hidden="false" customHeight="true" outlineLevel="0" collapsed="false">
      <c r="U322" s="8" t="str">
        <f aca="false">IF($A322="","",IFERROR(IF(INDEX(O10_Polygon_And_Area!$C$1:$C$500,MATCH($A322,O10_Polygon_And_Area!$A$1:$A$500,0))="","",INDEX(O10_Polygon_And_Area!$C$1:$C$500,MATCH($A322,O10_Polygon_And_Area!$A$1:$A$500,0))),""))</f>
        <v/>
      </c>
      <c r="AK322" s="8" t="str">
        <f aca="false">IF(COUNTA(AF322:AJ322)=0,"",COUNTIF(AF322:AJ322,"yes"))</f>
        <v/>
      </c>
    </row>
    <row r="323" customFormat="false" ht="15" hidden="false" customHeight="true" outlineLevel="0" collapsed="false">
      <c r="U323" s="8" t="str">
        <f aca="false">IF($A323="","",IFERROR(IF(INDEX(O10_Polygon_And_Area!$C$1:$C$500,MATCH($A323,O10_Polygon_And_Area!$A$1:$A$500,0))="","",INDEX(O10_Polygon_And_Area!$C$1:$C$500,MATCH($A323,O10_Polygon_And_Area!$A$1:$A$500,0))),""))</f>
        <v/>
      </c>
      <c r="AK323" s="8" t="str">
        <f aca="false">IF(COUNTA(AF323:AJ323)=0,"",COUNTIF(AF323:AJ323,"yes"))</f>
        <v/>
      </c>
    </row>
    <row r="324" customFormat="false" ht="15" hidden="false" customHeight="true" outlineLevel="0" collapsed="false">
      <c r="U324" s="8" t="str">
        <f aca="false">IF($A324="","",IFERROR(IF(INDEX(O10_Polygon_And_Area!$C$1:$C$500,MATCH($A324,O10_Polygon_And_Area!$A$1:$A$500,0))="","",INDEX(O10_Polygon_And_Area!$C$1:$C$500,MATCH($A324,O10_Polygon_And_Area!$A$1:$A$500,0))),""))</f>
        <v/>
      </c>
      <c r="AK324" s="8" t="str">
        <f aca="false">IF(COUNTA(AF324:AJ324)=0,"",COUNTIF(AF324:AJ324,"yes"))</f>
        <v/>
      </c>
    </row>
    <row r="325" customFormat="false" ht="15" hidden="false" customHeight="true" outlineLevel="0" collapsed="false">
      <c r="U325" s="8" t="str">
        <f aca="false">IF($A325="","",IFERROR(IF(INDEX(O10_Polygon_And_Area!$C$1:$C$500,MATCH($A325,O10_Polygon_And_Area!$A$1:$A$500,0))="","",INDEX(O10_Polygon_And_Area!$C$1:$C$500,MATCH($A325,O10_Polygon_And_Area!$A$1:$A$500,0))),""))</f>
        <v/>
      </c>
      <c r="AK325" s="8" t="str">
        <f aca="false">IF(COUNTA(AF325:AJ325)=0,"",COUNTIF(AF325:AJ325,"yes"))</f>
        <v/>
      </c>
    </row>
    <row r="326" customFormat="false" ht="15" hidden="false" customHeight="true" outlineLevel="0" collapsed="false">
      <c r="U326" s="8" t="str">
        <f aca="false">IF($A326="","",IFERROR(IF(INDEX(O10_Polygon_And_Area!$C$1:$C$500,MATCH($A326,O10_Polygon_And_Area!$A$1:$A$500,0))="","",INDEX(O10_Polygon_And_Area!$C$1:$C$500,MATCH($A326,O10_Polygon_And_Area!$A$1:$A$500,0))),""))</f>
        <v/>
      </c>
      <c r="AK326" s="8" t="str">
        <f aca="false">IF(COUNTA(AF326:AJ326)=0,"",COUNTIF(AF326:AJ326,"yes"))</f>
        <v/>
      </c>
    </row>
    <row r="327" customFormat="false" ht="15" hidden="false" customHeight="true" outlineLevel="0" collapsed="false">
      <c r="U327" s="8" t="str">
        <f aca="false">IF($A327="","",IFERROR(IF(INDEX(O10_Polygon_And_Area!$C$1:$C$500,MATCH($A327,O10_Polygon_And_Area!$A$1:$A$500,0))="","",INDEX(O10_Polygon_And_Area!$C$1:$C$500,MATCH($A327,O10_Polygon_And_Area!$A$1:$A$500,0))),""))</f>
        <v/>
      </c>
      <c r="AK327" s="8" t="str">
        <f aca="false">IF(COUNTA(AF327:AJ327)=0,"",COUNTIF(AF327:AJ327,"yes"))</f>
        <v/>
      </c>
    </row>
    <row r="328" customFormat="false" ht="15" hidden="false" customHeight="true" outlineLevel="0" collapsed="false">
      <c r="U328" s="8" t="str">
        <f aca="false">IF($A328="","",IFERROR(IF(INDEX(O10_Polygon_And_Area!$C$1:$C$500,MATCH($A328,O10_Polygon_And_Area!$A$1:$A$500,0))="","",INDEX(O10_Polygon_And_Area!$C$1:$C$500,MATCH($A328,O10_Polygon_And_Area!$A$1:$A$500,0))),""))</f>
        <v/>
      </c>
      <c r="AK328" s="8" t="str">
        <f aca="false">IF(COUNTA(AF328:AJ328)=0,"",COUNTIF(AF328:AJ328,"yes"))</f>
        <v/>
      </c>
    </row>
    <row r="329" customFormat="false" ht="15" hidden="false" customHeight="true" outlineLevel="0" collapsed="false">
      <c r="U329" s="8" t="str">
        <f aca="false">IF($A329="","",IFERROR(IF(INDEX(O10_Polygon_And_Area!$C$1:$C$500,MATCH($A329,O10_Polygon_And_Area!$A$1:$A$500,0))="","",INDEX(O10_Polygon_And_Area!$C$1:$C$500,MATCH($A329,O10_Polygon_And_Area!$A$1:$A$500,0))),""))</f>
        <v/>
      </c>
      <c r="AK329" s="8" t="str">
        <f aca="false">IF(COUNTA(AF329:AJ329)=0,"",COUNTIF(AF329:AJ329,"yes"))</f>
        <v/>
      </c>
    </row>
    <row r="330" customFormat="false" ht="15" hidden="false" customHeight="true" outlineLevel="0" collapsed="false">
      <c r="U330" s="8" t="str">
        <f aca="false">IF($A330="","",IFERROR(IF(INDEX(O10_Polygon_And_Area!$C$1:$C$500,MATCH($A330,O10_Polygon_And_Area!$A$1:$A$500,0))="","",INDEX(O10_Polygon_And_Area!$C$1:$C$500,MATCH($A330,O10_Polygon_And_Area!$A$1:$A$500,0))),""))</f>
        <v/>
      </c>
      <c r="AK330" s="8" t="str">
        <f aca="false">IF(COUNTA(AF330:AJ330)=0,"",COUNTIF(AF330:AJ330,"yes"))</f>
        <v/>
      </c>
    </row>
    <row r="331" customFormat="false" ht="15" hidden="false" customHeight="true" outlineLevel="0" collapsed="false">
      <c r="U331" s="8" t="str">
        <f aca="false">IF($A331="","",IFERROR(IF(INDEX(O10_Polygon_And_Area!$C$1:$C$500,MATCH($A331,O10_Polygon_And_Area!$A$1:$A$500,0))="","",INDEX(O10_Polygon_And_Area!$C$1:$C$500,MATCH($A331,O10_Polygon_And_Area!$A$1:$A$500,0))),""))</f>
        <v/>
      </c>
      <c r="AK331" s="8" t="str">
        <f aca="false">IF(COUNTA(AF331:AJ331)=0,"",COUNTIF(AF331:AJ331,"yes"))</f>
        <v/>
      </c>
    </row>
    <row r="332" customFormat="false" ht="15" hidden="false" customHeight="true" outlineLevel="0" collapsed="false">
      <c r="U332" s="8" t="str">
        <f aca="false">IF($A332="","",IFERROR(IF(INDEX(O10_Polygon_And_Area!$C$1:$C$500,MATCH($A332,O10_Polygon_And_Area!$A$1:$A$500,0))="","",INDEX(O10_Polygon_And_Area!$C$1:$C$500,MATCH($A332,O10_Polygon_And_Area!$A$1:$A$500,0))),""))</f>
        <v/>
      </c>
      <c r="AK332" s="8" t="str">
        <f aca="false">IF(COUNTA(AF332:AJ332)=0,"",COUNTIF(AF332:AJ332,"yes"))</f>
        <v/>
      </c>
    </row>
    <row r="333" customFormat="false" ht="15" hidden="false" customHeight="true" outlineLevel="0" collapsed="false">
      <c r="U333" s="8" t="str">
        <f aca="false">IF($A333="","",IFERROR(IF(INDEX(O10_Polygon_And_Area!$C$1:$C$500,MATCH($A333,O10_Polygon_And_Area!$A$1:$A$500,0))="","",INDEX(O10_Polygon_And_Area!$C$1:$C$500,MATCH($A333,O10_Polygon_And_Area!$A$1:$A$500,0))),""))</f>
        <v/>
      </c>
      <c r="AK333" s="8" t="str">
        <f aca="false">IF(COUNTA(AF333:AJ333)=0,"",COUNTIF(AF333:AJ333,"yes"))</f>
        <v/>
      </c>
    </row>
    <row r="334" customFormat="false" ht="15" hidden="false" customHeight="true" outlineLevel="0" collapsed="false">
      <c r="U334" s="8" t="str">
        <f aca="false">IF($A334="","",IFERROR(IF(INDEX(O10_Polygon_And_Area!$C$1:$C$500,MATCH($A334,O10_Polygon_And_Area!$A$1:$A$500,0))="","",INDEX(O10_Polygon_And_Area!$C$1:$C$500,MATCH($A334,O10_Polygon_And_Area!$A$1:$A$500,0))),""))</f>
        <v/>
      </c>
      <c r="AK334" s="8" t="str">
        <f aca="false">IF(COUNTA(AF334:AJ334)=0,"",COUNTIF(AF334:AJ334,"yes"))</f>
        <v/>
      </c>
    </row>
    <row r="335" customFormat="false" ht="15" hidden="false" customHeight="true" outlineLevel="0" collapsed="false">
      <c r="U335" s="8" t="str">
        <f aca="false">IF($A335="","",IFERROR(IF(INDEX(O10_Polygon_And_Area!$C$1:$C$500,MATCH($A335,O10_Polygon_And_Area!$A$1:$A$500,0))="","",INDEX(O10_Polygon_And_Area!$C$1:$C$500,MATCH($A335,O10_Polygon_And_Area!$A$1:$A$500,0))),""))</f>
        <v/>
      </c>
      <c r="AK335" s="8" t="str">
        <f aca="false">IF(COUNTA(AF335:AJ335)=0,"",COUNTIF(AF335:AJ335,"yes"))</f>
        <v/>
      </c>
    </row>
    <row r="336" customFormat="false" ht="15" hidden="false" customHeight="true" outlineLevel="0" collapsed="false">
      <c r="U336" s="8" t="str">
        <f aca="false">IF($A336="","",IFERROR(IF(INDEX(O10_Polygon_And_Area!$C$1:$C$500,MATCH($A336,O10_Polygon_And_Area!$A$1:$A$500,0))="","",INDEX(O10_Polygon_And_Area!$C$1:$C$500,MATCH($A336,O10_Polygon_And_Area!$A$1:$A$500,0))),""))</f>
        <v/>
      </c>
      <c r="AK336" s="8" t="str">
        <f aca="false">IF(COUNTA(AF336:AJ336)=0,"",COUNTIF(AF336:AJ336,"yes"))</f>
        <v/>
      </c>
    </row>
    <row r="337" customFormat="false" ht="15" hidden="false" customHeight="true" outlineLevel="0" collapsed="false">
      <c r="U337" s="8" t="str">
        <f aca="false">IF($A337="","",IFERROR(IF(INDEX(O10_Polygon_And_Area!$C$1:$C$500,MATCH($A337,O10_Polygon_And_Area!$A$1:$A$500,0))="","",INDEX(O10_Polygon_And_Area!$C$1:$C$500,MATCH($A337,O10_Polygon_And_Area!$A$1:$A$500,0))),""))</f>
        <v/>
      </c>
      <c r="AK337" s="8" t="str">
        <f aca="false">IF(COUNTA(AF337:AJ337)=0,"",COUNTIF(AF337:AJ337,"yes"))</f>
        <v/>
      </c>
    </row>
    <row r="338" customFormat="false" ht="15" hidden="false" customHeight="true" outlineLevel="0" collapsed="false">
      <c r="U338" s="8" t="str">
        <f aca="false">IF($A338="","",IFERROR(IF(INDEX(O10_Polygon_And_Area!$C$1:$C$500,MATCH($A338,O10_Polygon_And_Area!$A$1:$A$500,0))="","",INDEX(O10_Polygon_And_Area!$C$1:$C$500,MATCH($A338,O10_Polygon_And_Area!$A$1:$A$500,0))),""))</f>
        <v/>
      </c>
      <c r="AK338" s="8" t="str">
        <f aca="false">IF(COUNTA(AF338:AJ338)=0,"",COUNTIF(AF338:AJ338,"yes"))</f>
        <v/>
      </c>
    </row>
    <row r="339" customFormat="false" ht="15" hidden="false" customHeight="true" outlineLevel="0" collapsed="false">
      <c r="U339" s="8" t="str">
        <f aca="false">IF($A339="","",IFERROR(IF(INDEX(O10_Polygon_And_Area!$C$1:$C$500,MATCH($A339,O10_Polygon_And_Area!$A$1:$A$500,0))="","",INDEX(O10_Polygon_And_Area!$C$1:$C$500,MATCH($A339,O10_Polygon_And_Area!$A$1:$A$500,0))),""))</f>
        <v/>
      </c>
      <c r="AK339" s="8" t="str">
        <f aca="false">IF(COUNTA(AF339:AJ339)=0,"",COUNTIF(AF339:AJ339,"yes"))</f>
        <v/>
      </c>
    </row>
    <row r="340" customFormat="false" ht="15" hidden="false" customHeight="true" outlineLevel="0" collapsed="false">
      <c r="U340" s="8" t="str">
        <f aca="false">IF($A340="","",IFERROR(IF(INDEX(O10_Polygon_And_Area!$C$1:$C$500,MATCH($A340,O10_Polygon_And_Area!$A$1:$A$500,0))="","",INDEX(O10_Polygon_And_Area!$C$1:$C$500,MATCH($A340,O10_Polygon_And_Area!$A$1:$A$500,0))),""))</f>
        <v/>
      </c>
      <c r="AK340" s="8" t="str">
        <f aca="false">IF(COUNTA(AF340:AJ340)=0,"",COUNTIF(AF340:AJ340,"yes"))</f>
        <v/>
      </c>
    </row>
    <row r="341" customFormat="false" ht="15" hidden="false" customHeight="true" outlineLevel="0" collapsed="false">
      <c r="U341" s="8" t="str">
        <f aca="false">IF($A341="","",IFERROR(IF(INDEX(O10_Polygon_And_Area!$C$1:$C$500,MATCH($A341,O10_Polygon_And_Area!$A$1:$A$500,0))="","",INDEX(O10_Polygon_And_Area!$C$1:$C$500,MATCH($A341,O10_Polygon_And_Area!$A$1:$A$500,0))),""))</f>
        <v/>
      </c>
      <c r="AK341" s="8" t="str">
        <f aca="false">IF(COUNTA(AF341:AJ341)=0,"",COUNTIF(AF341:AJ341,"yes"))</f>
        <v/>
      </c>
    </row>
    <row r="342" customFormat="false" ht="15" hidden="false" customHeight="true" outlineLevel="0" collapsed="false">
      <c r="U342" s="8" t="str">
        <f aca="false">IF($A342="","",IFERROR(IF(INDEX(O10_Polygon_And_Area!$C$1:$C$500,MATCH($A342,O10_Polygon_And_Area!$A$1:$A$500,0))="","",INDEX(O10_Polygon_And_Area!$C$1:$C$500,MATCH($A342,O10_Polygon_And_Area!$A$1:$A$500,0))),""))</f>
        <v/>
      </c>
      <c r="AK342" s="8" t="str">
        <f aca="false">IF(COUNTA(AF342:AJ342)=0,"",COUNTIF(AF342:AJ342,"yes"))</f>
        <v/>
      </c>
    </row>
    <row r="343" customFormat="false" ht="15" hidden="false" customHeight="true" outlineLevel="0" collapsed="false">
      <c r="U343" s="8" t="str">
        <f aca="false">IF($A343="","",IFERROR(IF(INDEX(O10_Polygon_And_Area!$C$1:$C$500,MATCH($A343,O10_Polygon_And_Area!$A$1:$A$500,0))="","",INDEX(O10_Polygon_And_Area!$C$1:$C$500,MATCH($A343,O10_Polygon_And_Area!$A$1:$A$500,0))),""))</f>
        <v/>
      </c>
      <c r="AK343" s="8" t="str">
        <f aca="false">IF(COUNTA(AF343:AJ343)=0,"",COUNTIF(AF343:AJ343,"yes"))</f>
        <v/>
      </c>
    </row>
    <row r="344" customFormat="false" ht="15" hidden="false" customHeight="true" outlineLevel="0" collapsed="false">
      <c r="U344" s="8" t="str">
        <f aca="false">IF($A344="","",IFERROR(IF(INDEX(O10_Polygon_And_Area!$C$1:$C$500,MATCH($A344,O10_Polygon_And_Area!$A$1:$A$500,0))="","",INDEX(O10_Polygon_And_Area!$C$1:$C$500,MATCH($A344,O10_Polygon_And_Area!$A$1:$A$500,0))),""))</f>
        <v/>
      </c>
      <c r="AK344" s="8" t="str">
        <f aca="false">IF(COUNTA(AF344:AJ344)=0,"",COUNTIF(AF344:AJ344,"yes"))</f>
        <v/>
      </c>
    </row>
    <row r="345" customFormat="false" ht="15" hidden="false" customHeight="true" outlineLevel="0" collapsed="false">
      <c r="U345" s="8" t="str">
        <f aca="false">IF($A345="","",IFERROR(IF(INDEX(O10_Polygon_And_Area!$C$1:$C$500,MATCH($A345,O10_Polygon_And_Area!$A$1:$A$500,0))="","",INDEX(O10_Polygon_And_Area!$C$1:$C$500,MATCH($A345,O10_Polygon_And_Area!$A$1:$A$500,0))),""))</f>
        <v/>
      </c>
      <c r="AK345" s="8" t="str">
        <f aca="false">IF(COUNTA(AF345:AJ345)=0,"",COUNTIF(AF345:AJ345,"yes"))</f>
        <v/>
      </c>
    </row>
    <row r="346" customFormat="false" ht="15" hidden="false" customHeight="true" outlineLevel="0" collapsed="false">
      <c r="U346" s="8" t="str">
        <f aca="false">IF($A346="","",IFERROR(IF(INDEX(O10_Polygon_And_Area!$C$1:$C$500,MATCH($A346,O10_Polygon_And_Area!$A$1:$A$500,0))="","",INDEX(O10_Polygon_And_Area!$C$1:$C$500,MATCH($A346,O10_Polygon_And_Area!$A$1:$A$500,0))),""))</f>
        <v/>
      </c>
      <c r="AK346" s="8" t="str">
        <f aca="false">IF(COUNTA(AF346:AJ346)=0,"",COUNTIF(AF346:AJ346,"yes"))</f>
        <v/>
      </c>
    </row>
    <row r="347" customFormat="false" ht="15" hidden="false" customHeight="true" outlineLevel="0" collapsed="false">
      <c r="U347" s="8" t="str">
        <f aca="false">IF($A347="","",IFERROR(IF(INDEX(O10_Polygon_And_Area!$C$1:$C$500,MATCH($A347,O10_Polygon_And_Area!$A$1:$A$500,0))="","",INDEX(O10_Polygon_And_Area!$C$1:$C$500,MATCH($A347,O10_Polygon_And_Area!$A$1:$A$500,0))),""))</f>
        <v/>
      </c>
      <c r="AK347" s="8" t="str">
        <f aca="false">IF(COUNTA(AF347:AJ347)=0,"",COUNTIF(AF347:AJ347,"yes"))</f>
        <v/>
      </c>
    </row>
    <row r="348" customFormat="false" ht="15" hidden="false" customHeight="true" outlineLevel="0" collapsed="false">
      <c r="U348" s="8" t="str">
        <f aca="false">IF($A348="","",IFERROR(IF(INDEX(O10_Polygon_And_Area!$C$1:$C$500,MATCH($A348,O10_Polygon_And_Area!$A$1:$A$500,0))="","",INDEX(O10_Polygon_And_Area!$C$1:$C$500,MATCH($A348,O10_Polygon_And_Area!$A$1:$A$500,0))),""))</f>
        <v/>
      </c>
      <c r="AK348" s="8" t="str">
        <f aca="false">IF(COUNTA(AF348:AJ348)=0,"",COUNTIF(AF348:AJ348,"yes"))</f>
        <v/>
      </c>
    </row>
    <row r="349" customFormat="false" ht="15" hidden="false" customHeight="true" outlineLevel="0" collapsed="false">
      <c r="U349" s="8" t="str">
        <f aca="false">IF($A349="","",IFERROR(IF(INDEX(O10_Polygon_And_Area!$C$1:$C$500,MATCH($A349,O10_Polygon_And_Area!$A$1:$A$500,0))="","",INDEX(O10_Polygon_And_Area!$C$1:$C$500,MATCH($A349,O10_Polygon_And_Area!$A$1:$A$500,0))),""))</f>
        <v/>
      </c>
      <c r="AK349" s="8" t="str">
        <f aca="false">IF(COUNTA(AF349:AJ349)=0,"",COUNTIF(AF349:AJ349,"yes"))</f>
        <v/>
      </c>
    </row>
    <row r="350" customFormat="false" ht="15" hidden="false" customHeight="true" outlineLevel="0" collapsed="false">
      <c r="U350" s="8" t="str">
        <f aca="false">IF($A350="","",IFERROR(IF(INDEX(O10_Polygon_And_Area!$C$1:$C$500,MATCH($A350,O10_Polygon_And_Area!$A$1:$A$500,0))="","",INDEX(O10_Polygon_And_Area!$C$1:$C$500,MATCH($A350,O10_Polygon_And_Area!$A$1:$A$500,0))),""))</f>
        <v/>
      </c>
      <c r="AK350" s="8" t="str">
        <f aca="false">IF(COUNTA(AF350:AJ350)=0,"",COUNTIF(AF350:AJ350,"yes"))</f>
        <v/>
      </c>
    </row>
    <row r="351" customFormat="false" ht="15" hidden="false" customHeight="true" outlineLevel="0" collapsed="false">
      <c r="U351" s="8" t="str">
        <f aca="false">IF($A351="","",IFERROR(IF(INDEX(O10_Polygon_And_Area!$C$1:$C$500,MATCH($A351,O10_Polygon_And_Area!$A$1:$A$500,0))="","",INDEX(O10_Polygon_And_Area!$C$1:$C$500,MATCH($A351,O10_Polygon_And_Area!$A$1:$A$500,0))),""))</f>
        <v/>
      </c>
      <c r="AK351" s="8" t="str">
        <f aca="false">IF(COUNTA(AF351:AJ351)=0,"",COUNTIF(AF351:AJ351,"yes"))</f>
        <v/>
      </c>
    </row>
    <row r="352" customFormat="false" ht="15" hidden="false" customHeight="true" outlineLevel="0" collapsed="false">
      <c r="U352" s="8" t="str">
        <f aca="false">IF($A352="","",IFERROR(IF(INDEX(O10_Polygon_And_Area!$C$1:$C$500,MATCH($A352,O10_Polygon_And_Area!$A$1:$A$500,0))="","",INDEX(O10_Polygon_And_Area!$C$1:$C$500,MATCH($A352,O10_Polygon_And_Area!$A$1:$A$500,0))),""))</f>
        <v/>
      </c>
      <c r="AK352" s="8" t="str">
        <f aca="false">IF(COUNTA(AF352:AJ352)=0,"",COUNTIF(AF352:AJ352,"yes"))</f>
        <v/>
      </c>
    </row>
    <row r="353" customFormat="false" ht="15" hidden="false" customHeight="true" outlineLevel="0" collapsed="false">
      <c r="U353" s="8" t="str">
        <f aca="false">IF($A353="","",IFERROR(IF(INDEX(O10_Polygon_And_Area!$C$1:$C$500,MATCH($A353,O10_Polygon_And_Area!$A$1:$A$500,0))="","",INDEX(O10_Polygon_And_Area!$C$1:$C$500,MATCH($A353,O10_Polygon_And_Area!$A$1:$A$500,0))),""))</f>
        <v/>
      </c>
      <c r="AK353" s="8" t="str">
        <f aca="false">IF(COUNTA(AF353:AJ353)=0,"",COUNTIF(AF353:AJ353,"yes"))</f>
        <v/>
      </c>
    </row>
    <row r="354" customFormat="false" ht="15" hidden="false" customHeight="true" outlineLevel="0" collapsed="false">
      <c r="U354" s="8" t="str">
        <f aca="false">IF($A354="","",IFERROR(IF(INDEX(O10_Polygon_And_Area!$C$1:$C$500,MATCH($A354,O10_Polygon_And_Area!$A$1:$A$500,0))="","",INDEX(O10_Polygon_And_Area!$C$1:$C$500,MATCH($A354,O10_Polygon_And_Area!$A$1:$A$500,0))),""))</f>
        <v/>
      </c>
      <c r="AK354" s="8" t="str">
        <f aca="false">IF(COUNTA(AF354:AJ354)=0,"",COUNTIF(AF354:AJ354,"yes"))</f>
        <v/>
      </c>
    </row>
    <row r="355" customFormat="false" ht="15" hidden="false" customHeight="true" outlineLevel="0" collapsed="false">
      <c r="U355" s="8" t="str">
        <f aca="false">IF($A355="","",IFERROR(IF(INDEX(O10_Polygon_And_Area!$C$1:$C$500,MATCH($A355,O10_Polygon_And_Area!$A$1:$A$500,0))="","",INDEX(O10_Polygon_And_Area!$C$1:$C$500,MATCH($A355,O10_Polygon_And_Area!$A$1:$A$500,0))),""))</f>
        <v/>
      </c>
      <c r="AK355" s="8" t="str">
        <f aca="false">IF(COUNTA(AF355:AJ355)=0,"",COUNTIF(AF355:AJ355,"yes"))</f>
        <v/>
      </c>
    </row>
    <row r="356" customFormat="false" ht="15" hidden="false" customHeight="true" outlineLevel="0" collapsed="false">
      <c r="U356" s="8" t="str">
        <f aca="false">IF($A356="","",IFERROR(IF(INDEX(O10_Polygon_And_Area!$C$1:$C$500,MATCH($A356,O10_Polygon_And_Area!$A$1:$A$500,0))="","",INDEX(O10_Polygon_And_Area!$C$1:$C$500,MATCH($A356,O10_Polygon_And_Area!$A$1:$A$500,0))),""))</f>
        <v/>
      </c>
      <c r="AK356" s="8" t="str">
        <f aca="false">IF(COUNTA(AF356:AJ356)=0,"",COUNTIF(AF356:AJ356,"yes"))</f>
        <v/>
      </c>
    </row>
    <row r="357" customFormat="false" ht="15" hidden="false" customHeight="true" outlineLevel="0" collapsed="false">
      <c r="U357" s="8" t="str">
        <f aca="false">IF($A357="","",IFERROR(IF(INDEX(O10_Polygon_And_Area!$C$1:$C$500,MATCH($A357,O10_Polygon_And_Area!$A$1:$A$500,0))="","",INDEX(O10_Polygon_And_Area!$C$1:$C$500,MATCH($A357,O10_Polygon_And_Area!$A$1:$A$500,0))),""))</f>
        <v/>
      </c>
      <c r="AK357" s="8" t="str">
        <f aca="false">IF(COUNTA(AF357:AJ357)=0,"",COUNTIF(AF357:AJ357,"yes"))</f>
        <v/>
      </c>
    </row>
    <row r="358" customFormat="false" ht="15" hidden="false" customHeight="true" outlineLevel="0" collapsed="false">
      <c r="U358" s="8" t="str">
        <f aca="false">IF($A358="","",IFERROR(IF(INDEX(O10_Polygon_And_Area!$C$1:$C$500,MATCH($A358,O10_Polygon_And_Area!$A$1:$A$500,0))="","",INDEX(O10_Polygon_And_Area!$C$1:$C$500,MATCH($A358,O10_Polygon_And_Area!$A$1:$A$500,0))),""))</f>
        <v/>
      </c>
      <c r="AK358" s="8" t="str">
        <f aca="false">IF(COUNTA(AF358:AJ358)=0,"",COUNTIF(AF358:AJ358,"yes"))</f>
        <v/>
      </c>
    </row>
    <row r="359" customFormat="false" ht="15" hidden="false" customHeight="true" outlineLevel="0" collapsed="false">
      <c r="U359" s="8" t="str">
        <f aca="false">IF($A359="","",IFERROR(IF(INDEX(O10_Polygon_And_Area!$C$1:$C$500,MATCH($A359,O10_Polygon_And_Area!$A$1:$A$500,0))="","",INDEX(O10_Polygon_And_Area!$C$1:$C$500,MATCH($A359,O10_Polygon_And_Area!$A$1:$A$500,0))),""))</f>
        <v/>
      </c>
      <c r="AK359" s="8" t="str">
        <f aca="false">IF(COUNTA(AF359:AJ359)=0,"",COUNTIF(AF359:AJ359,"yes"))</f>
        <v/>
      </c>
    </row>
    <row r="360" customFormat="false" ht="15" hidden="false" customHeight="true" outlineLevel="0" collapsed="false">
      <c r="U360" s="8" t="str">
        <f aca="false">IF($A360="","",IFERROR(IF(INDEX(O10_Polygon_And_Area!$C$1:$C$500,MATCH($A360,O10_Polygon_And_Area!$A$1:$A$500,0))="","",INDEX(O10_Polygon_And_Area!$C$1:$C$500,MATCH($A360,O10_Polygon_And_Area!$A$1:$A$500,0))),""))</f>
        <v/>
      </c>
      <c r="AK360" s="8" t="str">
        <f aca="false">IF(COUNTA(AF360:AJ360)=0,"",COUNTIF(AF360:AJ360,"yes"))</f>
        <v/>
      </c>
    </row>
    <row r="361" customFormat="false" ht="15" hidden="false" customHeight="true" outlineLevel="0" collapsed="false">
      <c r="U361" s="8" t="str">
        <f aca="false">IF($A361="","",IFERROR(IF(INDEX(O10_Polygon_And_Area!$C$1:$C$500,MATCH($A361,O10_Polygon_And_Area!$A$1:$A$500,0))="","",INDEX(O10_Polygon_And_Area!$C$1:$C$500,MATCH($A361,O10_Polygon_And_Area!$A$1:$A$500,0))),""))</f>
        <v/>
      </c>
      <c r="AK361" s="8" t="str">
        <f aca="false">IF(COUNTA(AF361:AJ361)=0,"",COUNTIF(AF361:AJ361,"yes"))</f>
        <v/>
      </c>
    </row>
    <row r="362" customFormat="false" ht="15" hidden="false" customHeight="true" outlineLevel="0" collapsed="false">
      <c r="U362" s="8" t="str">
        <f aca="false">IF($A362="","",IFERROR(IF(INDEX(O10_Polygon_And_Area!$C$1:$C$500,MATCH($A362,O10_Polygon_And_Area!$A$1:$A$500,0))="","",INDEX(O10_Polygon_And_Area!$C$1:$C$500,MATCH($A362,O10_Polygon_And_Area!$A$1:$A$500,0))),""))</f>
        <v/>
      </c>
      <c r="AK362" s="8" t="str">
        <f aca="false">IF(COUNTA(AF362:AJ362)=0,"",COUNTIF(AF362:AJ362,"yes"))</f>
        <v/>
      </c>
    </row>
    <row r="363" customFormat="false" ht="15" hidden="false" customHeight="true" outlineLevel="0" collapsed="false">
      <c r="U363" s="8" t="str">
        <f aca="false">IF($A363="","",IFERROR(IF(INDEX(O10_Polygon_And_Area!$C$1:$C$500,MATCH($A363,O10_Polygon_And_Area!$A$1:$A$500,0))="","",INDEX(O10_Polygon_And_Area!$C$1:$C$500,MATCH($A363,O10_Polygon_And_Area!$A$1:$A$500,0))),""))</f>
        <v/>
      </c>
      <c r="AK363" s="8" t="str">
        <f aca="false">IF(COUNTA(AF363:AJ363)=0,"",COUNTIF(AF363:AJ363,"yes"))</f>
        <v/>
      </c>
    </row>
    <row r="364" customFormat="false" ht="15" hidden="false" customHeight="true" outlineLevel="0" collapsed="false">
      <c r="U364" s="8" t="str">
        <f aca="false">IF($A364="","",IFERROR(IF(INDEX(O10_Polygon_And_Area!$C$1:$C$500,MATCH($A364,O10_Polygon_And_Area!$A$1:$A$500,0))="","",INDEX(O10_Polygon_And_Area!$C$1:$C$500,MATCH($A364,O10_Polygon_And_Area!$A$1:$A$500,0))),""))</f>
        <v/>
      </c>
      <c r="AK364" s="8" t="str">
        <f aca="false">IF(COUNTA(AF364:AJ364)=0,"",COUNTIF(AF364:AJ364,"yes"))</f>
        <v/>
      </c>
    </row>
    <row r="365" customFormat="false" ht="15" hidden="false" customHeight="true" outlineLevel="0" collapsed="false">
      <c r="U365" s="8" t="str">
        <f aca="false">IF($A365="","",IFERROR(IF(INDEX(O10_Polygon_And_Area!$C$1:$C$500,MATCH($A365,O10_Polygon_And_Area!$A$1:$A$500,0))="","",INDEX(O10_Polygon_And_Area!$C$1:$C$500,MATCH($A365,O10_Polygon_And_Area!$A$1:$A$500,0))),""))</f>
        <v/>
      </c>
      <c r="AK365" s="8" t="str">
        <f aca="false">IF(COUNTA(AF365:AJ365)=0,"",COUNTIF(AF365:AJ365,"yes"))</f>
        <v/>
      </c>
    </row>
    <row r="366" customFormat="false" ht="15" hidden="false" customHeight="true" outlineLevel="0" collapsed="false">
      <c r="U366" s="8" t="str">
        <f aca="false">IF($A366="","",IFERROR(IF(INDEX(O10_Polygon_And_Area!$C$1:$C$500,MATCH($A366,O10_Polygon_And_Area!$A$1:$A$500,0))="","",INDEX(O10_Polygon_And_Area!$C$1:$C$500,MATCH($A366,O10_Polygon_And_Area!$A$1:$A$500,0))),""))</f>
        <v/>
      </c>
      <c r="AK366" s="8" t="str">
        <f aca="false">IF(COUNTA(AF366:AJ366)=0,"",COUNTIF(AF366:AJ366,"yes"))</f>
        <v/>
      </c>
    </row>
    <row r="367" customFormat="false" ht="15" hidden="false" customHeight="true" outlineLevel="0" collapsed="false">
      <c r="U367" s="8" t="str">
        <f aca="false">IF($A367="","",IFERROR(IF(INDEX(O10_Polygon_And_Area!$C$1:$C$500,MATCH($A367,O10_Polygon_And_Area!$A$1:$A$500,0))="","",INDEX(O10_Polygon_And_Area!$C$1:$C$500,MATCH($A367,O10_Polygon_And_Area!$A$1:$A$500,0))),""))</f>
        <v/>
      </c>
      <c r="AK367" s="8" t="str">
        <f aca="false">IF(COUNTA(AF367:AJ367)=0,"",COUNTIF(AF367:AJ367,"yes"))</f>
        <v/>
      </c>
    </row>
    <row r="368" customFormat="false" ht="15" hidden="false" customHeight="true" outlineLevel="0" collapsed="false">
      <c r="U368" s="8" t="str">
        <f aca="false">IF($A368="","",IFERROR(IF(INDEX(O10_Polygon_And_Area!$C$1:$C$500,MATCH($A368,O10_Polygon_And_Area!$A$1:$A$500,0))="","",INDEX(O10_Polygon_And_Area!$C$1:$C$500,MATCH($A368,O10_Polygon_And_Area!$A$1:$A$500,0))),""))</f>
        <v/>
      </c>
      <c r="AK368" s="8" t="str">
        <f aca="false">IF(COUNTA(AF368:AJ368)=0,"",COUNTIF(AF368:AJ368,"yes"))</f>
        <v/>
      </c>
    </row>
    <row r="369" customFormat="false" ht="15" hidden="false" customHeight="true" outlineLevel="0" collapsed="false">
      <c r="U369" s="8" t="str">
        <f aca="false">IF($A369="","",IFERROR(IF(INDEX(O10_Polygon_And_Area!$C$1:$C$500,MATCH($A369,O10_Polygon_And_Area!$A$1:$A$500,0))="","",INDEX(O10_Polygon_And_Area!$C$1:$C$500,MATCH($A369,O10_Polygon_And_Area!$A$1:$A$500,0))),""))</f>
        <v/>
      </c>
      <c r="AK369" s="8" t="str">
        <f aca="false">IF(COUNTA(AF369:AJ369)=0,"",COUNTIF(AF369:AJ369,"yes"))</f>
        <v/>
      </c>
    </row>
    <row r="370" customFormat="false" ht="15" hidden="false" customHeight="true" outlineLevel="0" collapsed="false">
      <c r="U370" s="8" t="str">
        <f aca="false">IF($A370="","",IFERROR(IF(INDEX(O10_Polygon_And_Area!$C$1:$C$500,MATCH($A370,O10_Polygon_And_Area!$A$1:$A$500,0))="","",INDEX(O10_Polygon_And_Area!$C$1:$C$500,MATCH($A370,O10_Polygon_And_Area!$A$1:$A$500,0))),""))</f>
        <v/>
      </c>
      <c r="AK370" s="8" t="str">
        <f aca="false">IF(COUNTA(AF370:AJ370)=0,"",COUNTIF(AF370:AJ370,"yes"))</f>
        <v/>
      </c>
    </row>
    <row r="371" customFormat="false" ht="15" hidden="false" customHeight="true" outlineLevel="0" collapsed="false">
      <c r="U371" s="8" t="str">
        <f aca="false">IF($A371="","",IFERROR(IF(INDEX(O10_Polygon_And_Area!$C$1:$C$500,MATCH($A371,O10_Polygon_And_Area!$A$1:$A$500,0))="","",INDEX(O10_Polygon_And_Area!$C$1:$C$500,MATCH($A371,O10_Polygon_And_Area!$A$1:$A$500,0))),""))</f>
        <v/>
      </c>
      <c r="AK371" s="8" t="str">
        <f aca="false">IF(COUNTA(AF371:AJ371)=0,"",COUNTIF(AF371:AJ371,"yes"))</f>
        <v/>
      </c>
    </row>
    <row r="372" customFormat="false" ht="15" hidden="false" customHeight="true" outlineLevel="0" collapsed="false">
      <c r="U372" s="8" t="str">
        <f aca="false">IF($A372="","",IFERROR(IF(INDEX(O10_Polygon_And_Area!$C$1:$C$500,MATCH($A372,O10_Polygon_And_Area!$A$1:$A$500,0))="","",INDEX(O10_Polygon_And_Area!$C$1:$C$500,MATCH($A372,O10_Polygon_And_Area!$A$1:$A$500,0))),""))</f>
        <v/>
      </c>
      <c r="AK372" s="8" t="str">
        <f aca="false">IF(COUNTA(AF372:AJ372)=0,"",COUNTIF(AF372:AJ372,"yes"))</f>
        <v/>
      </c>
    </row>
    <row r="373" customFormat="false" ht="15" hidden="false" customHeight="true" outlineLevel="0" collapsed="false">
      <c r="U373" s="8" t="str">
        <f aca="false">IF($A373="","",IFERROR(IF(INDEX(O10_Polygon_And_Area!$C$1:$C$500,MATCH($A373,O10_Polygon_And_Area!$A$1:$A$500,0))="","",INDEX(O10_Polygon_And_Area!$C$1:$C$500,MATCH($A373,O10_Polygon_And_Area!$A$1:$A$500,0))),""))</f>
        <v/>
      </c>
      <c r="AK373" s="8" t="str">
        <f aca="false">IF(COUNTA(AF373:AJ373)=0,"",COUNTIF(AF373:AJ373,"yes"))</f>
        <v/>
      </c>
    </row>
    <row r="374" customFormat="false" ht="15" hidden="false" customHeight="true" outlineLevel="0" collapsed="false">
      <c r="U374" s="8" t="str">
        <f aca="false">IF($A374="","",IFERROR(IF(INDEX(O10_Polygon_And_Area!$C$1:$C$500,MATCH($A374,O10_Polygon_And_Area!$A$1:$A$500,0))="","",INDEX(O10_Polygon_And_Area!$C$1:$C$500,MATCH($A374,O10_Polygon_And_Area!$A$1:$A$500,0))),""))</f>
        <v/>
      </c>
      <c r="AK374" s="8" t="str">
        <f aca="false">IF(COUNTA(AF374:AJ374)=0,"",COUNTIF(AF374:AJ374,"yes"))</f>
        <v/>
      </c>
    </row>
    <row r="375" customFormat="false" ht="15" hidden="false" customHeight="true" outlineLevel="0" collapsed="false">
      <c r="U375" s="8" t="str">
        <f aca="false">IF($A375="","",IFERROR(IF(INDEX(O10_Polygon_And_Area!$C$1:$C$500,MATCH($A375,O10_Polygon_And_Area!$A$1:$A$500,0))="","",INDEX(O10_Polygon_And_Area!$C$1:$C$500,MATCH($A375,O10_Polygon_And_Area!$A$1:$A$500,0))),""))</f>
        <v/>
      </c>
      <c r="AK375" s="8" t="str">
        <f aca="false">IF(COUNTA(AF375:AJ375)=0,"",COUNTIF(AF375:AJ375,"yes"))</f>
        <v/>
      </c>
    </row>
    <row r="376" customFormat="false" ht="15" hidden="false" customHeight="true" outlineLevel="0" collapsed="false">
      <c r="U376" s="8" t="str">
        <f aca="false">IF($A376="","",IFERROR(IF(INDEX(O10_Polygon_And_Area!$C$1:$C$500,MATCH($A376,O10_Polygon_And_Area!$A$1:$A$500,0))="","",INDEX(O10_Polygon_And_Area!$C$1:$C$500,MATCH($A376,O10_Polygon_And_Area!$A$1:$A$500,0))),""))</f>
        <v/>
      </c>
      <c r="AK376" s="8" t="str">
        <f aca="false">IF(COUNTA(AF376:AJ376)=0,"",COUNTIF(AF376:AJ376,"yes"))</f>
        <v/>
      </c>
    </row>
    <row r="377" customFormat="false" ht="15" hidden="false" customHeight="true" outlineLevel="0" collapsed="false">
      <c r="U377" s="8" t="str">
        <f aca="false">IF($A377="","",IFERROR(IF(INDEX(O10_Polygon_And_Area!$C$1:$C$500,MATCH($A377,O10_Polygon_And_Area!$A$1:$A$500,0))="","",INDEX(O10_Polygon_And_Area!$C$1:$C$500,MATCH($A377,O10_Polygon_And_Area!$A$1:$A$500,0))),""))</f>
        <v/>
      </c>
      <c r="AK377" s="8" t="str">
        <f aca="false">IF(COUNTA(AF377:AJ377)=0,"",COUNTIF(AF377:AJ377,"yes"))</f>
        <v/>
      </c>
    </row>
    <row r="378" customFormat="false" ht="15" hidden="false" customHeight="true" outlineLevel="0" collapsed="false">
      <c r="U378" s="8" t="str">
        <f aca="false">IF($A378="","",IFERROR(IF(INDEX(O10_Polygon_And_Area!$C$1:$C$500,MATCH($A378,O10_Polygon_And_Area!$A$1:$A$500,0))="","",INDEX(O10_Polygon_And_Area!$C$1:$C$500,MATCH($A378,O10_Polygon_And_Area!$A$1:$A$500,0))),""))</f>
        <v/>
      </c>
      <c r="AK378" s="8" t="str">
        <f aca="false">IF(COUNTA(AF378:AJ378)=0,"",COUNTIF(AF378:AJ378,"yes"))</f>
        <v/>
      </c>
    </row>
    <row r="379" customFormat="false" ht="15" hidden="false" customHeight="true" outlineLevel="0" collapsed="false">
      <c r="U379" s="8" t="str">
        <f aca="false">IF($A379="","",IFERROR(IF(INDEX(O10_Polygon_And_Area!$C$1:$C$500,MATCH($A379,O10_Polygon_And_Area!$A$1:$A$500,0))="","",INDEX(O10_Polygon_And_Area!$C$1:$C$500,MATCH($A379,O10_Polygon_And_Area!$A$1:$A$500,0))),""))</f>
        <v/>
      </c>
      <c r="AK379" s="8" t="str">
        <f aca="false">IF(COUNTA(AF379:AJ379)=0,"",COUNTIF(AF379:AJ379,"yes"))</f>
        <v/>
      </c>
    </row>
    <row r="380" customFormat="false" ht="15" hidden="false" customHeight="true" outlineLevel="0" collapsed="false">
      <c r="U380" s="8" t="str">
        <f aca="false">IF($A380="","",IFERROR(IF(INDEX(O10_Polygon_And_Area!$C$1:$C$500,MATCH($A380,O10_Polygon_And_Area!$A$1:$A$500,0))="","",INDEX(O10_Polygon_And_Area!$C$1:$C$500,MATCH($A380,O10_Polygon_And_Area!$A$1:$A$500,0))),""))</f>
        <v/>
      </c>
      <c r="AK380" s="8" t="str">
        <f aca="false">IF(COUNTA(AF380:AJ380)=0,"",COUNTIF(AF380:AJ380,"yes"))</f>
        <v/>
      </c>
    </row>
    <row r="381" customFormat="false" ht="15" hidden="false" customHeight="true" outlineLevel="0" collapsed="false">
      <c r="U381" s="8" t="str">
        <f aca="false">IF($A381="","",IFERROR(IF(INDEX(O10_Polygon_And_Area!$C$1:$C$500,MATCH($A381,O10_Polygon_And_Area!$A$1:$A$500,0))="","",INDEX(O10_Polygon_And_Area!$C$1:$C$500,MATCH($A381,O10_Polygon_And_Area!$A$1:$A$500,0))),""))</f>
        <v/>
      </c>
      <c r="AK381" s="8" t="str">
        <f aca="false">IF(COUNTA(AF381:AJ381)=0,"",COUNTIF(AF381:AJ381,"yes"))</f>
        <v/>
      </c>
    </row>
    <row r="382" customFormat="false" ht="15" hidden="false" customHeight="true" outlineLevel="0" collapsed="false">
      <c r="U382" s="8" t="str">
        <f aca="false">IF($A382="","",IFERROR(IF(INDEX(O10_Polygon_And_Area!$C$1:$C$500,MATCH($A382,O10_Polygon_And_Area!$A$1:$A$500,0))="","",INDEX(O10_Polygon_And_Area!$C$1:$C$500,MATCH($A382,O10_Polygon_And_Area!$A$1:$A$500,0))),""))</f>
        <v/>
      </c>
      <c r="AK382" s="8" t="str">
        <f aca="false">IF(COUNTA(AF382:AJ382)=0,"",COUNTIF(AF382:AJ382,"yes"))</f>
        <v/>
      </c>
    </row>
    <row r="383" customFormat="false" ht="15" hidden="false" customHeight="true" outlineLevel="0" collapsed="false">
      <c r="U383" s="8" t="str">
        <f aca="false">IF($A383="","",IFERROR(IF(INDEX(O10_Polygon_And_Area!$C$1:$C$500,MATCH($A383,O10_Polygon_And_Area!$A$1:$A$500,0))="","",INDEX(O10_Polygon_And_Area!$C$1:$C$500,MATCH($A383,O10_Polygon_And_Area!$A$1:$A$500,0))),""))</f>
        <v/>
      </c>
      <c r="AK383" s="8" t="str">
        <f aca="false">IF(COUNTA(AF383:AJ383)=0,"",COUNTIF(AF383:AJ383,"yes"))</f>
        <v/>
      </c>
    </row>
    <row r="384" customFormat="false" ht="15" hidden="false" customHeight="true" outlineLevel="0" collapsed="false">
      <c r="U384" s="8" t="str">
        <f aca="false">IF($A384="","",IFERROR(IF(INDEX(O10_Polygon_And_Area!$C$1:$C$500,MATCH($A384,O10_Polygon_And_Area!$A$1:$A$500,0))="","",INDEX(O10_Polygon_And_Area!$C$1:$C$500,MATCH($A384,O10_Polygon_And_Area!$A$1:$A$500,0))),""))</f>
        <v/>
      </c>
      <c r="AK384" s="8" t="str">
        <f aca="false">IF(COUNTA(AF384:AJ384)=0,"",COUNTIF(AF384:AJ384,"yes"))</f>
        <v/>
      </c>
    </row>
    <row r="385" customFormat="false" ht="15" hidden="false" customHeight="true" outlineLevel="0" collapsed="false">
      <c r="U385" s="8" t="str">
        <f aca="false">IF($A385="","",IFERROR(IF(INDEX(O10_Polygon_And_Area!$C$1:$C$500,MATCH($A385,O10_Polygon_And_Area!$A$1:$A$500,0))="","",INDEX(O10_Polygon_And_Area!$C$1:$C$500,MATCH($A385,O10_Polygon_And_Area!$A$1:$A$500,0))),""))</f>
        <v/>
      </c>
      <c r="AK385" s="8" t="str">
        <f aca="false">IF(COUNTA(AF385:AJ385)=0,"",COUNTIF(AF385:AJ385,"yes"))</f>
        <v/>
      </c>
    </row>
    <row r="386" customFormat="false" ht="15" hidden="false" customHeight="true" outlineLevel="0" collapsed="false">
      <c r="U386" s="8" t="str">
        <f aca="false">IF($A386="","",IFERROR(IF(INDEX(O10_Polygon_And_Area!$C$1:$C$500,MATCH($A386,O10_Polygon_And_Area!$A$1:$A$500,0))="","",INDEX(O10_Polygon_And_Area!$C$1:$C$500,MATCH($A386,O10_Polygon_And_Area!$A$1:$A$500,0))),""))</f>
        <v/>
      </c>
      <c r="AK386" s="8" t="str">
        <f aca="false">IF(COUNTA(AF386:AJ386)=0,"",COUNTIF(AF386:AJ386,"yes"))</f>
        <v/>
      </c>
    </row>
    <row r="387" customFormat="false" ht="15" hidden="false" customHeight="true" outlineLevel="0" collapsed="false">
      <c r="U387" s="8" t="str">
        <f aca="false">IF($A387="","",IFERROR(IF(INDEX(O10_Polygon_And_Area!$C$1:$C$500,MATCH($A387,O10_Polygon_And_Area!$A$1:$A$500,0))="","",INDEX(O10_Polygon_And_Area!$C$1:$C$500,MATCH($A387,O10_Polygon_And_Area!$A$1:$A$500,0))),""))</f>
        <v/>
      </c>
      <c r="AK387" s="8" t="str">
        <f aca="false">IF(COUNTA(AF387:AJ387)=0,"",COUNTIF(AF387:AJ387,"yes"))</f>
        <v/>
      </c>
    </row>
    <row r="388" customFormat="false" ht="15" hidden="false" customHeight="true" outlineLevel="0" collapsed="false">
      <c r="U388" s="8" t="str">
        <f aca="false">IF($A388="","",IFERROR(IF(INDEX(O10_Polygon_And_Area!$C$1:$C$500,MATCH($A388,O10_Polygon_And_Area!$A$1:$A$500,0))="","",INDEX(O10_Polygon_And_Area!$C$1:$C$500,MATCH($A388,O10_Polygon_And_Area!$A$1:$A$500,0))),""))</f>
        <v/>
      </c>
      <c r="AK388" s="8" t="str">
        <f aca="false">IF(COUNTA(AF388:AJ388)=0,"",COUNTIF(AF388:AJ388,"yes"))</f>
        <v/>
      </c>
    </row>
    <row r="389" customFormat="false" ht="15" hidden="false" customHeight="true" outlineLevel="0" collapsed="false">
      <c r="U389" s="8" t="str">
        <f aca="false">IF($A389="","",IFERROR(IF(INDEX(O10_Polygon_And_Area!$C$1:$C$500,MATCH($A389,O10_Polygon_And_Area!$A$1:$A$500,0))="","",INDEX(O10_Polygon_And_Area!$C$1:$C$500,MATCH($A389,O10_Polygon_And_Area!$A$1:$A$500,0))),""))</f>
        <v/>
      </c>
      <c r="AK389" s="8" t="str">
        <f aca="false">IF(COUNTA(AF389:AJ389)=0,"",COUNTIF(AF389:AJ389,"yes"))</f>
        <v/>
      </c>
    </row>
    <row r="390" customFormat="false" ht="15" hidden="false" customHeight="true" outlineLevel="0" collapsed="false">
      <c r="U390" s="8" t="str">
        <f aca="false">IF($A390="","",IFERROR(IF(INDEX(O10_Polygon_And_Area!$C$1:$C$500,MATCH($A390,O10_Polygon_And_Area!$A$1:$A$500,0))="","",INDEX(O10_Polygon_And_Area!$C$1:$C$500,MATCH($A390,O10_Polygon_And_Area!$A$1:$A$500,0))),""))</f>
        <v/>
      </c>
      <c r="AK390" s="8" t="str">
        <f aca="false">IF(COUNTA(AF390:AJ390)=0,"",COUNTIF(AF390:AJ390,"yes"))</f>
        <v/>
      </c>
    </row>
    <row r="391" customFormat="false" ht="15" hidden="false" customHeight="true" outlineLevel="0" collapsed="false">
      <c r="U391" s="8" t="str">
        <f aca="false">IF($A391="","",IFERROR(IF(INDEX(O10_Polygon_And_Area!$C$1:$C$500,MATCH($A391,O10_Polygon_And_Area!$A$1:$A$500,0))="","",INDEX(O10_Polygon_And_Area!$C$1:$C$500,MATCH($A391,O10_Polygon_And_Area!$A$1:$A$500,0))),""))</f>
        <v/>
      </c>
      <c r="AK391" s="8" t="str">
        <f aca="false">IF(COUNTA(AF391:AJ391)=0,"",COUNTIF(AF391:AJ391,"yes"))</f>
        <v/>
      </c>
    </row>
    <row r="392" customFormat="false" ht="15" hidden="false" customHeight="true" outlineLevel="0" collapsed="false">
      <c r="U392" s="8" t="str">
        <f aca="false">IF($A392="","",IFERROR(IF(INDEX(O10_Polygon_And_Area!$C$1:$C$500,MATCH($A392,O10_Polygon_And_Area!$A$1:$A$500,0))="","",INDEX(O10_Polygon_And_Area!$C$1:$C$500,MATCH($A392,O10_Polygon_And_Area!$A$1:$A$500,0))),""))</f>
        <v/>
      </c>
      <c r="AK392" s="8" t="str">
        <f aca="false">IF(COUNTA(AF392:AJ392)=0,"",COUNTIF(AF392:AJ392,"yes"))</f>
        <v/>
      </c>
    </row>
    <row r="393" customFormat="false" ht="15" hidden="false" customHeight="true" outlineLevel="0" collapsed="false">
      <c r="U393" s="8" t="str">
        <f aca="false">IF($A393="","",IFERROR(IF(INDEX(O10_Polygon_And_Area!$C$1:$C$500,MATCH($A393,O10_Polygon_And_Area!$A$1:$A$500,0))="","",INDEX(O10_Polygon_And_Area!$C$1:$C$500,MATCH($A393,O10_Polygon_And_Area!$A$1:$A$500,0))),""))</f>
        <v/>
      </c>
      <c r="AK393" s="8" t="str">
        <f aca="false">IF(COUNTA(AF393:AJ393)=0,"",COUNTIF(AF393:AJ393,"yes"))</f>
        <v/>
      </c>
    </row>
    <row r="394" customFormat="false" ht="15" hidden="false" customHeight="true" outlineLevel="0" collapsed="false">
      <c r="U394" s="8" t="str">
        <f aca="false">IF($A394="","",IFERROR(IF(INDEX(O10_Polygon_And_Area!$C$1:$C$500,MATCH($A394,O10_Polygon_And_Area!$A$1:$A$500,0))="","",INDEX(O10_Polygon_And_Area!$C$1:$C$500,MATCH($A394,O10_Polygon_And_Area!$A$1:$A$500,0))),""))</f>
        <v/>
      </c>
      <c r="AK394" s="8" t="str">
        <f aca="false">IF(COUNTA(AF394:AJ394)=0,"",COUNTIF(AF394:AJ394,"yes"))</f>
        <v/>
      </c>
    </row>
    <row r="395" customFormat="false" ht="15" hidden="false" customHeight="true" outlineLevel="0" collapsed="false">
      <c r="U395" s="8" t="str">
        <f aca="false">IF($A395="","",IFERROR(IF(INDEX(O10_Polygon_And_Area!$C$1:$C$500,MATCH($A395,O10_Polygon_And_Area!$A$1:$A$500,0))="","",INDEX(O10_Polygon_And_Area!$C$1:$C$500,MATCH($A395,O10_Polygon_And_Area!$A$1:$A$500,0))),""))</f>
        <v/>
      </c>
      <c r="AK395" s="8" t="str">
        <f aca="false">IF(COUNTA(AF395:AJ395)=0,"",COUNTIF(AF395:AJ395,"yes"))</f>
        <v/>
      </c>
    </row>
    <row r="396" customFormat="false" ht="15" hidden="false" customHeight="true" outlineLevel="0" collapsed="false">
      <c r="U396" s="8" t="str">
        <f aca="false">IF($A396="","",IFERROR(IF(INDEX(O10_Polygon_And_Area!$C$1:$C$500,MATCH($A396,O10_Polygon_And_Area!$A$1:$A$500,0))="","",INDEX(O10_Polygon_And_Area!$C$1:$C$500,MATCH($A396,O10_Polygon_And_Area!$A$1:$A$500,0))),""))</f>
        <v/>
      </c>
      <c r="AK396" s="8" t="str">
        <f aca="false">IF(COUNTA(AF396:AJ396)=0,"",COUNTIF(AF396:AJ396,"yes"))</f>
        <v/>
      </c>
    </row>
    <row r="397" customFormat="false" ht="15" hidden="false" customHeight="true" outlineLevel="0" collapsed="false">
      <c r="U397" s="8" t="str">
        <f aca="false">IF($A397="","",IFERROR(IF(INDEX(O10_Polygon_And_Area!$C$1:$C$500,MATCH($A397,O10_Polygon_And_Area!$A$1:$A$500,0))="","",INDEX(O10_Polygon_And_Area!$C$1:$C$500,MATCH($A397,O10_Polygon_And_Area!$A$1:$A$500,0))),""))</f>
        <v/>
      </c>
      <c r="AK397" s="8" t="str">
        <f aca="false">IF(COUNTA(AF397:AJ397)=0,"",COUNTIF(AF397:AJ397,"yes"))</f>
        <v/>
      </c>
    </row>
    <row r="398" customFormat="false" ht="15" hidden="false" customHeight="true" outlineLevel="0" collapsed="false">
      <c r="U398" s="8" t="str">
        <f aca="false">IF($A398="","",IFERROR(IF(INDEX(O10_Polygon_And_Area!$C$1:$C$500,MATCH($A398,O10_Polygon_And_Area!$A$1:$A$500,0))="","",INDEX(O10_Polygon_And_Area!$C$1:$C$500,MATCH($A398,O10_Polygon_And_Area!$A$1:$A$500,0))),""))</f>
        <v/>
      </c>
      <c r="AK398" s="8" t="str">
        <f aca="false">IF(COUNTA(AF398:AJ398)=0,"",COUNTIF(AF398:AJ398,"yes"))</f>
        <v/>
      </c>
    </row>
    <row r="399" customFormat="false" ht="15" hidden="false" customHeight="true" outlineLevel="0" collapsed="false">
      <c r="U399" s="8" t="str">
        <f aca="false">IF($A399="","",IFERROR(IF(INDEX(O10_Polygon_And_Area!$C$1:$C$500,MATCH($A399,O10_Polygon_And_Area!$A$1:$A$500,0))="","",INDEX(O10_Polygon_And_Area!$C$1:$C$500,MATCH($A399,O10_Polygon_And_Area!$A$1:$A$500,0))),""))</f>
        <v/>
      </c>
      <c r="AK399" s="8" t="str">
        <f aca="false">IF(COUNTA(AF399:AJ399)=0,"",COUNTIF(AF399:AJ399,"yes"))</f>
        <v/>
      </c>
    </row>
    <row r="400" customFormat="false" ht="15" hidden="false" customHeight="true" outlineLevel="0" collapsed="false">
      <c r="U400" s="8" t="str">
        <f aca="false">IF($A400="","",IFERROR(IF(INDEX(O10_Polygon_And_Area!$C$1:$C$500,MATCH($A400,O10_Polygon_And_Area!$A$1:$A$500,0))="","",INDEX(O10_Polygon_And_Area!$C$1:$C$500,MATCH($A400,O10_Polygon_And_Area!$A$1:$A$500,0))),""))</f>
        <v/>
      </c>
      <c r="AK400" s="8" t="str">
        <f aca="false">IF(COUNTA(AF400:AJ400)=0,"",COUNTIF(AF400:AJ400,"yes"))</f>
        <v/>
      </c>
    </row>
    <row r="401" customFormat="false" ht="15" hidden="false" customHeight="true" outlineLevel="0" collapsed="false">
      <c r="U401" s="8" t="str">
        <f aca="false">IF($A401="","",IFERROR(IF(INDEX(O10_Polygon_And_Area!$C$1:$C$500,MATCH($A401,O10_Polygon_And_Area!$A$1:$A$500,0))="","",INDEX(O10_Polygon_And_Area!$C$1:$C$500,MATCH($A401,O10_Polygon_And_Area!$A$1:$A$500,0))),""))</f>
        <v/>
      </c>
      <c r="AK401" s="8" t="str">
        <f aca="false">IF(COUNTA(AF401:AJ401)=0,"",COUNTIF(AF401:AJ401,"yes"))</f>
        <v/>
      </c>
    </row>
    <row r="402" customFormat="false" ht="15" hidden="false" customHeight="true" outlineLevel="0" collapsed="false">
      <c r="U402" s="8" t="str">
        <f aca="false">IF($A402="","",IFERROR(IF(INDEX(O10_Polygon_And_Area!$C$1:$C$500,MATCH($A402,O10_Polygon_And_Area!$A$1:$A$500,0))="","",INDEX(O10_Polygon_And_Area!$C$1:$C$500,MATCH($A402,O10_Polygon_And_Area!$A$1:$A$500,0))),""))</f>
        <v/>
      </c>
      <c r="AK402" s="8" t="str">
        <f aca="false">IF(COUNTA(AF402:AJ402)=0,"",COUNTIF(AF402:AJ402,"yes"))</f>
        <v/>
      </c>
    </row>
  </sheetData>
  <autoFilter ref="A1:BN1"/>
  <dataValidations count="20">
    <dataValidation allowBlank="true" error="Value must come from the list." errorStyle="stop" errorTitle="Controlled vocabulary" operator="between" showDropDown="false" showErrorMessage="false" showInputMessage="false" sqref="H2:H402" type="list">
      <formula1>"agrees,differs,no published location"</formula1>
      <formula2>0</formula2>
    </dataValidation>
    <dataValidation allowBlank="true" error="Value must come from the list." errorStyle="stop" errorTitle="Controlled vocabulary" operator="between" showDropDown="false" showErrorMessage="false" showInputMessage="false" sqref="J2:J402" type="list">
      <formula1>"network/directory listing,independent self-identification,both"</formula1>
      <formula2>0</formula2>
    </dataValidation>
    <dataValidation allowBlank="true" error="Value must come from the list." errorStyle="stop" errorTitle="Controlled vocabulary" operator="between" showDropDown="false" showErrorMessage="false" showInputMessage="false" sqref="L2:L402" type="list">
      <formula1>"village-scale permanent residence,retreat centre,campus,business,single household,urban co-housing,unclear"</formula1>
      <formula2>0</formula2>
    </dataValidation>
    <dataValidation allowBlank="true" error="Value must come from the list." errorStyle="stop" errorTitle="Controlled vocabulary" operator="between" showDropDown="false" showErrorMessage="false" showInputMessage="false" sqref="O2:O402" type="list">
      <formula1>"yes,probably,unclear,no"</formula1>
      <formula2>0</formula2>
    </dataValidation>
    <dataValidation allowBlank="true" error="Value must come from the list." errorStyle="stop" errorTitle="Controlled vocabulary" operator="between" showDropDown="false" showErrorMessage="false" showInputMessage="false" sqref="P2:P402" type="list">
      <formula1>"rural,peri-urban,urban,unclear"</formula1>
      <formula2>0</formula2>
    </dataValidation>
    <dataValidation allowBlank="true" error="Value must come from the list." errorStyle="stop" errorTitle="Controlled vocabulary" operator="between" showDropDown="false" showErrorMessage="false" showInputMessage="false" sqref="Y2:Y402" type="list">
      <formula1>"measured,stated,inferred,not found"</formula1>
      <formula2>0</formula2>
    </dataValidation>
    <dataValidation allowBlank="true" error="Value must come from the list." errorStyle="stop" errorTitle="Controlled vocabulary" operator="between" showDropDown="false" showErrorMessage="false" showInputMessage="false" sqref="Z2:Z402" type="list">
      <formula1>"S1,S2,S3,S4,S5,S6,S7,S8"</formula1>
      <formula2>0</formula2>
    </dataValidation>
    <dataValidation allowBlank="true" error="Value must come from the list." errorStyle="stop" errorTitle="Controlled vocabulary" operator="between" showDropDown="false" showErrorMessage="false" showInputMessage="false" sqref="AB2:AB402" type="list">
      <formula1>"actively managed,total holding only,both recorded,not stated"</formula1>
      <formula2>0</formula2>
    </dataValidation>
    <dataValidation allowBlank="true" error="Value must come from the list." errorStyle="stop" errorTitle="Controlled vocabulary" operator="between" showDropDown="false" showErrorMessage="false" showInputMessage="false" sqref="AC2:AC402" type="list">
      <formula1>"freehold collective,freehold individual,leasehold,commons or trust,informal,mixed,unknown"</formula1>
      <formula2>0</formula2>
    </dataValidation>
    <dataValidation allowBlank="true" error="Value must come from the list." errorStyle="stop" errorTitle="Controlled vocabulary" operator="between" showDropDown="false" showErrorMessage="false" showInputMessage="false" sqref="AD2:AD402" type="list">
      <formula1>"contiguous,non-contiguous,unknown"</formula1>
      <formula2>0</formula2>
    </dataValidation>
    <dataValidation allowBlank="true" error="Value must come from the list." errorStyle="stop" errorTitle="Controlled vocabulary" operator="between" prompt="Was this verification channel satisfied? Two pages of ONE website = ONE channel." promptTitle="Allowed values" showDropDown="false" showErrorMessage="false" showInputMessage="false" sqref="AF2:AJ402" type="list">
      <formula1>"yes,no"</formula1>
      <formula2>0</formula2>
    </dataValidation>
    <dataValidation allowBlank="true" error="Value must come from the list." errorStyle="stop" errorTitle="Controlled vocabulary" operator="between" showDropDown="false" showErrorMessage="false" showInputMessage="false" sqref="AL2:AL402" type="list">
      <formula1>"A,B,C,Fail"</formula1>
      <formula2>0</formula2>
    </dataValidation>
    <dataValidation allowBlank="true" error="Value must come from the list." errorStyle="stop" errorTitle="Controlled vocabulary" operator="between" showDropDown="false" showErrorMessage="false" showInputMessage="false" sqref="AN2:AN402" type="list">
      <formula1>"active,dormant,transformed,relocated,dissolved,unknown"</formula1>
      <formula2>0</formula2>
    </dataValidation>
    <dataValidation allowBlank="true" error="Value must come from the list." errorStyle="stop" errorTitle="Controlled vocabulary" operator="between" showDropDown="false" showErrorMessage="false" showInputMessage="false" sqref="AS2:AS402" type="list">
      <formula1>"dissolution,relocation,changed network,administrative removal,lost contact,unknown,n/a"</formula1>
      <formula2>0</formula2>
    </dataValidation>
    <dataValidation allowBlank="true" error="Value must come from the list." errorStyle="stop" errorTitle="Controlled vocabulary" operator="between" showDropDown="false" showErrorMessage="false" showInputMessage="false" sqref="AT2:AT402" type="list">
      <formula1>"permaculture,ecovillage network,Camphill,kibbutz,Buddhist or spiritual,Transition,agroecology,other,none stated"</formula1>
      <formula2>0</formula2>
    </dataValidation>
    <dataValidation allowBlank="true" error="Value must come from the list." errorStyle="stop" errorTitle="Controlled vocabulary" operator="between" showDropDown="false" showErrorMessage="false" showInputMessage="false" sqref="AV2:AV402" type="list">
      <formula1>"yes,no,unclear"</formula1>
      <formula2>0</formula2>
    </dataValidation>
    <dataValidation allowBlank="true" error="Value must come from the list." errorStyle="stop" errorTitle="Controlled vocabulary" operator="between" showDropDown="false" showErrorMessage="false" showInputMessage="false" sqref="AW2:AW402" type="list">
      <formula1>"subsistence,market,mixed,none stated"</formula1>
      <formula2>0</formula2>
    </dataValidation>
    <dataValidation allowBlank="true" error="Value must come from the list." errorStyle="stop" errorTitle="Controlled vocabulary" operator="between" showDropDown="false" showErrorMessage="false" showInputMessage="false" sqref="AY2:AY402" type="list">
      <formula1>"inside,adjacent,no,unclear"</formula1>
      <formula2>0</formula2>
    </dataValidation>
    <dataValidation allowBlank="true" error="Value must come from the list." errorStyle="stop" errorTitle="Controlled vocabulary" operator="between" showDropDown="false" showErrorMessage="false" showInputMessage="false" sqref="BH2:BH402" type="list">
      <formula1>"yes,no"</formula1>
      <formula2>0</formula2>
    </dataValidation>
    <dataValidation allowBlank="true" errorStyle="stop" operator="between" showDropDown="false" showErrorMessage="false" showInputMessage="false" sqref="BN2:BN40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15" min="3" style="1" width="17"/>
    <col collapsed="false" customWidth="true" hidden="false" outlineLevel="0" max="16" min="16" style="1" width="9"/>
    <col collapsed="false" customWidth="true" hidden="false" outlineLevel="0" max="17" min="17" style="1" width="11"/>
    <col collapsed="false" customWidth="true" hidden="false" outlineLevel="0" max="18" min="18" style="1" width="34"/>
  </cols>
  <sheetData>
    <row r="1" customFormat="false" ht="33.75" hidden="false" customHeight="true" outlineLevel="0" collapsed="false">
      <c r="A1" s="15" t="s">
        <v>103</v>
      </c>
      <c r="B1" s="15" t="s">
        <v>209</v>
      </c>
      <c r="C1" s="15" t="s">
        <v>210</v>
      </c>
      <c r="D1" s="15" t="s">
        <v>211</v>
      </c>
      <c r="E1" s="15" t="s">
        <v>212</v>
      </c>
      <c r="F1" s="15" t="s">
        <v>213</v>
      </c>
      <c r="G1" s="15" t="s">
        <v>214</v>
      </c>
      <c r="H1" s="15" t="s">
        <v>215</v>
      </c>
      <c r="I1" s="15" t="s">
        <v>216</v>
      </c>
      <c r="J1" s="15" t="s">
        <v>217</v>
      </c>
      <c r="K1" s="15" t="s">
        <v>218</v>
      </c>
      <c r="L1" s="15" t="s">
        <v>219</v>
      </c>
      <c r="M1" s="15" t="s">
        <v>220</v>
      </c>
      <c r="N1" s="15" t="s">
        <v>221</v>
      </c>
      <c r="O1" s="15" t="s">
        <v>222</v>
      </c>
      <c r="P1" s="15" t="s">
        <v>160</v>
      </c>
      <c r="Q1" s="15" t="s">
        <v>161</v>
      </c>
      <c r="R1" s="15" t="s">
        <v>164</v>
      </c>
      <c r="T1" s="17" t="s">
        <v>223</v>
      </c>
    </row>
    <row r="2" customFormat="false" ht="21.75" hidden="false" customHeight="true" outlineLevel="0" collapsed="false">
      <c r="A2" s="18" t="s">
        <v>170</v>
      </c>
      <c r="B2" s="18" t="s">
        <v>171</v>
      </c>
      <c r="C2" s="18" t="s">
        <v>224</v>
      </c>
      <c r="D2" s="18" t="s">
        <v>225</v>
      </c>
      <c r="E2" s="18" t="s">
        <v>226</v>
      </c>
      <c r="F2" s="18" t="s">
        <v>225</v>
      </c>
      <c r="G2" s="18" t="s">
        <v>224</v>
      </c>
      <c r="H2" s="18" t="s">
        <v>225</v>
      </c>
      <c r="I2" s="18" t="s">
        <v>224</v>
      </c>
      <c r="J2" s="18" t="s">
        <v>224</v>
      </c>
      <c r="K2" s="18" t="s">
        <v>225</v>
      </c>
      <c r="L2" s="18" t="s">
        <v>226</v>
      </c>
      <c r="M2" s="18" t="s">
        <v>225</v>
      </c>
      <c r="N2" s="18" t="s">
        <v>224</v>
      </c>
      <c r="O2" s="18" t="s">
        <v>225</v>
      </c>
      <c r="P2" s="18" t="s">
        <v>204</v>
      </c>
      <c r="Q2" s="18" t="s">
        <v>205</v>
      </c>
      <c r="R2" s="18" t="s">
        <v>227</v>
      </c>
    </row>
  </sheetData>
  <autoFilter ref="A1:R1"/>
  <dataValidations count="1">
    <dataValidation allowBlank="true" error="Value must come from the list." errorStyle="stop" errorTitle="Controlled vocabulary" operator="between" prompt="evidenced / documented / claimed / explicitly absent / not mentioned" promptTitle="Allowed values" showDropDown="false" showErrorMessage="false" showInputMessage="false" sqref="C2:O402" type="list">
      <formula1>"evidenced,documented,claimed,explicitly absent,not mentioned"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3" min="3" style="1" width="17"/>
    <col collapsed="false" customWidth="true" hidden="false" outlineLevel="0" max="4" min="4" style="1" width="10"/>
    <col collapsed="false" customWidth="true" hidden="false" outlineLevel="0" max="5" min="5" style="1" width="11"/>
    <col collapsed="false" customWidth="true" hidden="false" outlineLevel="0" max="6" min="6" style="1" width="15"/>
    <col collapsed="false" customWidth="true" hidden="false" outlineLevel="0" max="9" min="7" style="1" width="12"/>
    <col collapsed="false" customWidth="true" hidden="false" outlineLevel="0" max="10" min="10" style="1" width="42"/>
    <col collapsed="false" customWidth="true" hidden="false" outlineLevel="0" max="11" min="11" style="1" width="9"/>
    <col collapsed="false" customWidth="true" hidden="false" outlineLevel="0" max="12" min="12" style="1" width="26"/>
  </cols>
  <sheetData>
    <row r="1" customFormat="false" ht="33.75" hidden="false" customHeight="true" outlineLevel="0" collapsed="false">
      <c r="A1" s="15" t="s">
        <v>103</v>
      </c>
      <c r="B1" s="15" t="s">
        <v>228</v>
      </c>
      <c r="C1" s="15" t="s">
        <v>229</v>
      </c>
      <c r="D1" s="15" t="s">
        <v>230</v>
      </c>
      <c r="E1" s="15" t="s">
        <v>231</v>
      </c>
      <c r="F1" s="15" t="s">
        <v>232</v>
      </c>
      <c r="G1" s="15" t="s">
        <v>233</v>
      </c>
      <c r="H1" s="15" t="s">
        <v>234</v>
      </c>
      <c r="I1" s="15" t="s">
        <v>235</v>
      </c>
      <c r="J1" s="15" t="s">
        <v>236</v>
      </c>
      <c r="K1" s="15" t="s">
        <v>160</v>
      </c>
      <c r="L1" s="15" t="s">
        <v>164</v>
      </c>
      <c r="N1" s="17" t="s">
        <v>237</v>
      </c>
    </row>
    <row r="2" customFormat="false" ht="21.75" hidden="false" customHeight="true" outlineLevel="0" collapsed="false">
      <c r="A2" s="18" t="s">
        <v>170</v>
      </c>
      <c r="B2" s="18" t="s">
        <v>217</v>
      </c>
      <c r="C2" s="18" t="s">
        <v>224</v>
      </c>
      <c r="D2" s="18" t="s">
        <v>238</v>
      </c>
      <c r="E2" s="18" t="s">
        <v>184</v>
      </c>
      <c r="F2" s="18" t="s">
        <v>239</v>
      </c>
      <c r="G2" s="18" t="n">
        <v>2019</v>
      </c>
      <c r="H2" s="18" t="n">
        <v>2016</v>
      </c>
      <c r="I2" s="18"/>
      <c r="J2" s="18" t="s">
        <v>240</v>
      </c>
      <c r="K2" s="18" t="s">
        <v>204</v>
      </c>
      <c r="L2" s="18" t="s">
        <v>241</v>
      </c>
    </row>
  </sheetData>
  <autoFilter ref="A1:L1"/>
  <dataValidations count="3">
    <dataValidation allowBlank="true" error="Value must come from the list." errorStyle="stop" errorTitle="Controlled vocabulary" operator="between" showDropDown="false" showErrorMessage="false" showInputMessage="false" sqref="C2:C402" type="list">
      <formula1>"evidenced,documented,claimed,explicitly absent,not mentioned"</formula1>
      <formula2>0</formula2>
    </dataValidation>
    <dataValidation allowBlank="true" error="Value must come from the list." errorStyle="stop" errorTitle="Controlled vocabulary" operator="between" showDropDown="false" showErrorMessage="false" showInputMessage="false" sqref="E2:E402" type="list">
      <formula1>"S1,S2,S3,S4,S5,S6,S7,S8"</formula1>
      <formula2>0</formula2>
    </dataValidation>
    <dataValidation allowBlank="true" error="Value must come from the list." errorStyle="stop" errorTitle="Controlled vocabulary" operator="between" showDropDown="false" showErrorMessage="false" showInputMessage="false" sqref="F2:F402" type="list">
      <formula1>"full text,abstract only,record only,unreachable"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3" min="3" style="1" width="13"/>
    <col collapsed="false" customWidth="true" hidden="false" outlineLevel="0" max="4" min="4" style="1" width="14"/>
    <col collapsed="false" customWidth="true" hidden="false" outlineLevel="0" max="6" min="5" style="1" width="15"/>
    <col collapsed="false" customWidth="true" hidden="false" outlineLevel="0" max="8" min="7" style="1" width="12"/>
    <col collapsed="false" customWidth="true" hidden="false" outlineLevel="0" max="9" min="9" style="1" width="13"/>
    <col collapsed="false" customWidth="true" hidden="false" outlineLevel="0" max="10" min="10" style="1" width="10"/>
    <col collapsed="false" customWidth="true" hidden="false" outlineLevel="0" max="11" min="11" style="1" width="32"/>
    <col collapsed="false" customWidth="true" hidden="false" outlineLevel="0" max="12" min="12" style="1" width="26"/>
    <col collapsed="false" customWidth="true" hidden="false" outlineLevel="0" max="13" min="13" style="1" width="32"/>
    <col collapsed="false" customWidth="true" hidden="false" outlineLevel="0" max="14" min="14" style="1" width="11"/>
    <col collapsed="false" customWidth="true" hidden="false" outlineLevel="0" max="15" min="15" style="1" width="12"/>
    <col collapsed="false" customWidth="true" hidden="false" outlineLevel="0" max="17" min="16" style="1" width="16"/>
    <col collapsed="false" customWidth="true" hidden="false" outlineLevel="0" max="18" min="18" style="1" width="24"/>
    <col collapsed="false" customWidth="true" hidden="false" outlineLevel="0" max="19" min="19" style="1" width="18"/>
    <col collapsed="false" customWidth="true" hidden="false" outlineLevel="0" max="20" min="20" style="1" width="9"/>
    <col collapsed="false" customWidth="true" hidden="false" outlineLevel="0" max="21" min="21" style="1" width="11"/>
    <col collapsed="false" customWidth="true" hidden="false" outlineLevel="0" max="22" min="22" style="1" width="30"/>
  </cols>
  <sheetData>
    <row r="1" customFormat="false" ht="33.75" hidden="false" customHeight="true" outlineLevel="0" collapsed="false">
      <c r="A1" s="15" t="s">
        <v>103</v>
      </c>
      <c r="B1" s="15" t="s">
        <v>209</v>
      </c>
      <c r="C1" s="15" t="s">
        <v>242</v>
      </c>
      <c r="D1" s="15" t="s">
        <v>243</v>
      </c>
      <c r="E1" s="15" t="s">
        <v>244</v>
      </c>
      <c r="F1" s="15" t="s">
        <v>245</v>
      </c>
      <c r="G1" s="15" t="s">
        <v>246</v>
      </c>
      <c r="H1" s="15" t="s">
        <v>247</v>
      </c>
      <c r="I1" s="15" t="s">
        <v>248</v>
      </c>
      <c r="J1" s="15" t="s">
        <v>249</v>
      </c>
      <c r="K1" s="15" t="s">
        <v>250</v>
      </c>
      <c r="L1" s="15" t="s">
        <v>251</v>
      </c>
      <c r="M1" s="15" t="s">
        <v>252</v>
      </c>
      <c r="N1" s="15" t="s">
        <v>253</v>
      </c>
      <c r="O1" s="15" t="s">
        <v>254</v>
      </c>
      <c r="P1" s="15" t="s">
        <v>255</v>
      </c>
      <c r="Q1" s="15" t="s">
        <v>256</v>
      </c>
      <c r="R1" s="15" t="s">
        <v>257</v>
      </c>
      <c r="S1" s="15" t="s">
        <v>258</v>
      </c>
      <c r="T1" s="15" t="s">
        <v>160</v>
      </c>
      <c r="U1" s="15" t="s">
        <v>161</v>
      </c>
      <c r="V1" s="15" t="s">
        <v>164</v>
      </c>
      <c r="X1" s="17" t="s">
        <v>259</v>
      </c>
    </row>
    <row r="2" customFormat="false" ht="21.75" hidden="false" customHeight="true" outlineLevel="0" collapsed="false">
      <c r="A2" s="18" t="s">
        <v>170</v>
      </c>
      <c r="B2" s="18" t="s">
        <v>171</v>
      </c>
      <c r="C2" s="18" t="n">
        <v>1985</v>
      </c>
      <c r="D2" s="18" t="n">
        <v>1987</v>
      </c>
      <c r="E2" s="18" t="n">
        <v>1988</v>
      </c>
      <c r="F2" s="18" t="n">
        <v>1992</v>
      </c>
      <c r="G2" s="18" t="n">
        <v>1990</v>
      </c>
      <c r="H2" s="18" t="n">
        <v>1994</v>
      </c>
      <c r="I2" s="18"/>
      <c r="J2" s="18" t="n">
        <v>3</v>
      </c>
      <c r="K2" s="18" t="s">
        <v>260</v>
      </c>
      <c r="L2" s="18" t="s">
        <v>261</v>
      </c>
      <c r="M2" s="18" t="s">
        <v>262</v>
      </c>
      <c r="N2" s="18" t="s">
        <v>189</v>
      </c>
      <c r="O2" s="18" t="s">
        <v>263</v>
      </c>
      <c r="P2" s="18" t="s">
        <v>264</v>
      </c>
      <c r="Q2" s="18" t="s">
        <v>189</v>
      </c>
      <c r="R2" s="18" t="s">
        <v>265</v>
      </c>
      <c r="S2" s="18" t="s">
        <v>266</v>
      </c>
      <c r="T2" s="18" t="s">
        <v>204</v>
      </c>
      <c r="U2" s="18" t="s">
        <v>205</v>
      </c>
      <c r="V2" s="18" t="s">
        <v>267</v>
      </c>
    </row>
    <row r="3" customFormat="false" ht="15" hidden="false" customHeight="true" outlineLevel="0" collapsed="false">
      <c r="I3" s="8" t="n">
        <f aca="false">IFERROR(H3-G3,"")</f>
        <v>0</v>
      </c>
    </row>
    <row r="4" customFormat="false" ht="15" hidden="false" customHeight="true" outlineLevel="0" collapsed="false">
      <c r="I4" s="8" t="n">
        <f aca="false">IFERROR(H4-G4,"")</f>
        <v>0</v>
      </c>
    </row>
    <row r="5" customFormat="false" ht="15" hidden="false" customHeight="true" outlineLevel="0" collapsed="false">
      <c r="I5" s="8" t="n">
        <f aca="false">IFERROR(H5-G5,"")</f>
        <v>0</v>
      </c>
    </row>
    <row r="6" customFormat="false" ht="15" hidden="false" customHeight="true" outlineLevel="0" collapsed="false">
      <c r="I6" s="8" t="n">
        <f aca="false">IFERROR(H6-G6,"")</f>
        <v>0</v>
      </c>
    </row>
    <row r="7" customFormat="false" ht="15" hidden="false" customHeight="true" outlineLevel="0" collapsed="false">
      <c r="I7" s="8" t="n">
        <f aca="false">IFERROR(H7-G7,"")</f>
        <v>0</v>
      </c>
    </row>
    <row r="8" customFormat="false" ht="15" hidden="false" customHeight="true" outlineLevel="0" collapsed="false">
      <c r="I8" s="8" t="n">
        <f aca="false">IFERROR(H8-G8,"")</f>
        <v>0</v>
      </c>
    </row>
    <row r="9" customFormat="false" ht="15" hidden="false" customHeight="true" outlineLevel="0" collapsed="false">
      <c r="I9" s="8" t="n">
        <f aca="false">IFERROR(H9-G9,"")</f>
        <v>0</v>
      </c>
    </row>
    <row r="10" customFormat="false" ht="15" hidden="false" customHeight="true" outlineLevel="0" collapsed="false">
      <c r="I10" s="8" t="n">
        <f aca="false">IFERROR(H10-G10,"")</f>
        <v>0</v>
      </c>
    </row>
    <row r="11" customFormat="false" ht="15" hidden="false" customHeight="true" outlineLevel="0" collapsed="false">
      <c r="I11" s="8" t="n">
        <f aca="false">IFERROR(H11-G11,"")</f>
        <v>0</v>
      </c>
    </row>
    <row r="12" customFormat="false" ht="15" hidden="false" customHeight="true" outlineLevel="0" collapsed="false">
      <c r="I12" s="8" t="n">
        <f aca="false">IFERROR(H12-G12,"")</f>
        <v>0</v>
      </c>
    </row>
    <row r="13" customFormat="false" ht="15" hidden="false" customHeight="true" outlineLevel="0" collapsed="false">
      <c r="I13" s="8" t="n">
        <f aca="false">IFERROR(H13-G13,"")</f>
        <v>0</v>
      </c>
    </row>
    <row r="14" customFormat="false" ht="15" hidden="false" customHeight="true" outlineLevel="0" collapsed="false">
      <c r="I14" s="8" t="n">
        <f aca="false">IFERROR(H14-G14,"")</f>
        <v>0</v>
      </c>
    </row>
    <row r="15" customFormat="false" ht="15" hidden="false" customHeight="true" outlineLevel="0" collapsed="false">
      <c r="I15" s="8" t="n">
        <f aca="false">IFERROR(H15-G15,"")</f>
        <v>0</v>
      </c>
    </row>
    <row r="16" customFormat="false" ht="15" hidden="false" customHeight="true" outlineLevel="0" collapsed="false">
      <c r="I16" s="8" t="n">
        <f aca="false">IFERROR(H16-G16,"")</f>
        <v>0</v>
      </c>
    </row>
    <row r="17" customFormat="false" ht="15" hidden="false" customHeight="true" outlineLevel="0" collapsed="false">
      <c r="I17" s="8" t="n">
        <f aca="false">IFERROR(H17-G17,"")</f>
        <v>0</v>
      </c>
    </row>
    <row r="18" customFormat="false" ht="15" hidden="false" customHeight="true" outlineLevel="0" collapsed="false">
      <c r="I18" s="8" t="n">
        <f aca="false">IFERROR(H18-G18,"")</f>
        <v>0</v>
      </c>
    </row>
    <row r="19" customFormat="false" ht="15" hidden="false" customHeight="true" outlineLevel="0" collapsed="false">
      <c r="I19" s="8" t="n">
        <f aca="false">IFERROR(H19-G19,"")</f>
        <v>0</v>
      </c>
    </row>
    <row r="20" customFormat="false" ht="15" hidden="false" customHeight="true" outlineLevel="0" collapsed="false">
      <c r="I20" s="8" t="n">
        <f aca="false">IFERROR(H20-G20,"")</f>
        <v>0</v>
      </c>
    </row>
    <row r="21" customFormat="false" ht="15" hidden="false" customHeight="true" outlineLevel="0" collapsed="false">
      <c r="I21" s="8" t="n">
        <f aca="false">IFERROR(H21-G21,"")</f>
        <v>0</v>
      </c>
    </row>
    <row r="22" customFormat="false" ht="15" hidden="false" customHeight="true" outlineLevel="0" collapsed="false">
      <c r="I22" s="8" t="n">
        <f aca="false">IFERROR(H22-G22,"")</f>
        <v>0</v>
      </c>
    </row>
    <row r="23" customFormat="false" ht="15" hidden="false" customHeight="true" outlineLevel="0" collapsed="false">
      <c r="I23" s="8" t="n">
        <f aca="false">IFERROR(H23-G23,"")</f>
        <v>0</v>
      </c>
    </row>
    <row r="24" customFormat="false" ht="15" hidden="false" customHeight="true" outlineLevel="0" collapsed="false">
      <c r="I24" s="8" t="n">
        <f aca="false">IFERROR(H24-G24,"")</f>
        <v>0</v>
      </c>
    </row>
    <row r="25" customFormat="false" ht="15" hidden="false" customHeight="true" outlineLevel="0" collapsed="false">
      <c r="I25" s="8" t="n">
        <f aca="false">IFERROR(H25-G25,"")</f>
        <v>0</v>
      </c>
    </row>
    <row r="26" customFormat="false" ht="15" hidden="false" customHeight="true" outlineLevel="0" collapsed="false">
      <c r="I26" s="8" t="n">
        <f aca="false">IFERROR(H26-G26,"")</f>
        <v>0</v>
      </c>
    </row>
    <row r="27" customFormat="false" ht="15" hidden="false" customHeight="true" outlineLevel="0" collapsed="false">
      <c r="I27" s="8" t="n">
        <f aca="false">IFERROR(H27-G27,"")</f>
        <v>0</v>
      </c>
    </row>
    <row r="28" customFormat="false" ht="15" hidden="false" customHeight="true" outlineLevel="0" collapsed="false">
      <c r="I28" s="8" t="n">
        <f aca="false">IFERROR(H28-G28,"")</f>
        <v>0</v>
      </c>
    </row>
    <row r="29" customFormat="false" ht="15" hidden="false" customHeight="true" outlineLevel="0" collapsed="false">
      <c r="I29" s="8" t="n">
        <f aca="false">IFERROR(H29-G29,"")</f>
        <v>0</v>
      </c>
    </row>
    <row r="30" customFormat="false" ht="15" hidden="false" customHeight="true" outlineLevel="0" collapsed="false">
      <c r="I30" s="8" t="n">
        <f aca="false">IFERROR(H30-G30,"")</f>
        <v>0</v>
      </c>
    </row>
    <row r="31" customFormat="false" ht="15" hidden="false" customHeight="true" outlineLevel="0" collapsed="false">
      <c r="I31" s="8" t="n">
        <f aca="false">IFERROR(H31-G31,"")</f>
        <v>0</v>
      </c>
    </row>
    <row r="32" customFormat="false" ht="15" hidden="false" customHeight="true" outlineLevel="0" collapsed="false">
      <c r="I32" s="8" t="n">
        <f aca="false">IFERROR(H32-G32,"")</f>
        <v>0</v>
      </c>
    </row>
    <row r="33" customFormat="false" ht="15" hidden="false" customHeight="true" outlineLevel="0" collapsed="false">
      <c r="I33" s="8" t="n">
        <f aca="false">IFERROR(H33-G33,"")</f>
        <v>0</v>
      </c>
    </row>
    <row r="34" customFormat="false" ht="15" hidden="false" customHeight="true" outlineLevel="0" collapsed="false">
      <c r="I34" s="8" t="n">
        <f aca="false">IFERROR(H34-G34,"")</f>
        <v>0</v>
      </c>
    </row>
    <row r="35" customFormat="false" ht="15" hidden="false" customHeight="true" outlineLevel="0" collapsed="false">
      <c r="I35" s="8" t="n">
        <f aca="false">IFERROR(H35-G35,"")</f>
        <v>0</v>
      </c>
    </row>
    <row r="36" customFormat="false" ht="15" hidden="false" customHeight="true" outlineLevel="0" collapsed="false">
      <c r="I36" s="8" t="n">
        <f aca="false">IFERROR(H36-G36,"")</f>
        <v>0</v>
      </c>
    </row>
    <row r="37" customFormat="false" ht="15" hidden="false" customHeight="true" outlineLevel="0" collapsed="false">
      <c r="I37" s="8" t="n">
        <f aca="false">IFERROR(H37-G37,"")</f>
        <v>0</v>
      </c>
    </row>
    <row r="38" customFormat="false" ht="15" hidden="false" customHeight="true" outlineLevel="0" collapsed="false">
      <c r="I38" s="8" t="n">
        <f aca="false">IFERROR(H38-G38,"")</f>
        <v>0</v>
      </c>
    </row>
    <row r="39" customFormat="false" ht="15" hidden="false" customHeight="true" outlineLevel="0" collapsed="false">
      <c r="I39" s="8" t="n">
        <f aca="false">IFERROR(H39-G39,"")</f>
        <v>0</v>
      </c>
    </row>
    <row r="40" customFormat="false" ht="15" hidden="false" customHeight="true" outlineLevel="0" collapsed="false">
      <c r="I40" s="8" t="n">
        <f aca="false">IFERROR(H40-G40,"")</f>
        <v>0</v>
      </c>
    </row>
    <row r="41" customFormat="false" ht="15" hidden="false" customHeight="true" outlineLevel="0" collapsed="false">
      <c r="I41" s="8" t="n">
        <f aca="false">IFERROR(H41-G41,"")</f>
        <v>0</v>
      </c>
    </row>
    <row r="42" customFormat="false" ht="15" hidden="false" customHeight="true" outlineLevel="0" collapsed="false">
      <c r="I42" s="8" t="n">
        <f aca="false">IFERROR(H42-G42,"")</f>
        <v>0</v>
      </c>
    </row>
    <row r="43" customFormat="false" ht="15" hidden="false" customHeight="true" outlineLevel="0" collapsed="false">
      <c r="I43" s="8" t="n">
        <f aca="false">IFERROR(H43-G43,"")</f>
        <v>0</v>
      </c>
    </row>
    <row r="44" customFormat="false" ht="15" hidden="false" customHeight="true" outlineLevel="0" collapsed="false">
      <c r="I44" s="8" t="n">
        <f aca="false">IFERROR(H44-G44,"")</f>
        <v>0</v>
      </c>
    </row>
    <row r="45" customFormat="false" ht="15" hidden="false" customHeight="true" outlineLevel="0" collapsed="false">
      <c r="I45" s="8" t="n">
        <f aca="false">IFERROR(H45-G45,"")</f>
        <v>0</v>
      </c>
    </row>
    <row r="46" customFormat="false" ht="15" hidden="false" customHeight="true" outlineLevel="0" collapsed="false">
      <c r="I46" s="8" t="n">
        <f aca="false">IFERROR(H46-G46,"")</f>
        <v>0</v>
      </c>
    </row>
    <row r="47" customFormat="false" ht="15" hidden="false" customHeight="true" outlineLevel="0" collapsed="false">
      <c r="I47" s="8" t="n">
        <f aca="false">IFERROR(H47-G47,"")</f>
        <v>0</v>
      </c>
    </row>
    <row r="48" customFormat="false" ht="15" hidden="false" customHeight="true" outlineLevel="0" collapsed="false">
      <c r="I48" s="8" t="n">
        <f aca="false">IFERROR(H48-G48,"")</f>
        <v>0</v>
      </c>
    </row>
    <row r="49" customFormat="false" ht="15" hidden="false" customHeight="true" outlineLevel="0" collapsed="false">
      <c r="I49" s="8" t="n">
        <f aca="false">IFERROR(H49-G49,"")</f>
        <v>0</v>
      </c>
    </row>
    <row r="50" customFormat="false" ht="15" hidden="false" customHeight="true" outlineLevel="0" collapsed="false">
      <c r="I50" s="8" t="n">
        <f aca="false">IFERROR(H50-G50,"")</f>
        <v>0</v>
      </c>
    </row>
    <row r="51" customFormat="false" ht="15" hidden="false" customHeight="true" outlineLevel="0" collapsed="false">
      <c r="I51" s="8" t="n">
        <f aca="false">IFERROR(H51-G51,"")</f>
        <v>0</v>
      </c>
    </row>
    <row r="52" customFormat="false" ht="15" hidden="false" customHeight="true" outlineLevel="0" collapsed="false">
      <c r="I52" s="8" t="n">
        <f aca="false">IFERROR(H52-G52,"")</f>
        <v>0</v>
      </c>
    </row>
    <row r="53" customFormat="false" ht="15" hidden="false" customHeight="true" outlineLevel="0" collapsed="false">
      <c r="I53" s="8" t="n">
        <f aca="false">IFERROR(H53-G53,"")</f>
        <v>0</v>
      </c>
    </row>
    <row r="54" customFormat="false" ht="15" hidden="false" customHeight="true" outlineLevel="0" collapsed="false">
      <c r="I54" s="8" t="n">
        <f aca="false">IFERROR(H54-G54,"")</f>
        <v>0</v>
      </c>
    </row>
    <row r="55" customFormat="false" ht="15" hidden="false" customHeight="true" outlineLevel="0" collapsed="false">
      <c r="I55" s="8" t="n">
        <f aca="false">IFERROR(H55-G55,"")</f>
        <v>0</v>
      </c>
    </row>
    <row r="56" customFormat="false" ht="15" hidden="false" customHeight="true" outlineLevel="0" collapsed="false">
      <c r="I56" s="8" t="n">
        <f aca="false">IFERROR(H56-G56,"")</f>
        <v>0</v>
      </c>
    </row>
    <row r="57" customFormat="false" ht="15" hidden="false" customHeight="true" outlineLevel="0" collapsed="false">
      <c r="I57" s="8" t="n">
        <f aca="false">IFERROR(H57-G57,"")</f>
        <v>0</v>
      </c>
    </row>
    <row r="58" customFormat="false" ht="15" hidden="false" customHeight="true" outlineLevel="0" collapsed="false">
      <c r="I58" s="8" t="n">
        <f aca="false">IFERROR(H58-G58,"")</f>
        <v>0</v>
      </c>
    </row>
    <row r="59" customFormat="false" ht="15" hidden="false" customHeight="true" outlineLevel="0" collapsed="false">
      <c r="I59" s="8" t="n">
        <f aca="false">IFERROR(H59-G59,"")</f>
        <v>0</v>
      </c>
    </row>
    <row r="60" customFormat="false" ht="15" hidden="false" customHeight="true" outlineLevel="0" collapsed="false">
      <c r="I60" s="8" t="n">
        <f aca="false">IFERROR(H60-G60,"")</f>
        <v>0</v>
      </c>
    </row>
    <row r="61" customFormat="false" ht="15" hidden="false" customHeight="true" outlineLevel="0" collapsed="false">
      <c r="I61" s="8" t="n">
        <f aca="false">IFERROR(H61-G61,"")</f>
        <v>0</v>
      </c>
    </row>
    <row r="62" customFormat="false" ht="15" hidden="false" customHeight="true" outlineLevel="0" collapsed="false">
      <c r="I62" s="8" t="n">
        <f aca="false">IFERROR(H62-G62,"")</f>
        <v>0</v>
      </c>
    </row>
    <row r="63" customFormat="false" ht="15" hidden="false" customHeight="true" outlineLevel="0" collapsed="false">
      <c r="I63" s="8" t="n">
        <f aca="false">IFERROR(H63-G63,"")</f>
        <v>0</v>
      </c>
    </row>
    <row r="64" customFormat="false" ht="15" hidden="false" customHeight="true" outlineLevel="0" collapsed="false">
      <c r="I64" s="8" t="n">
        <f aca="false">IFERROR(H64-G64,"")</f>
        <v>0</v>
      </c>
    </row>
    <row r="65" customFormat="false" ht="15" hidden="false" customHeight="true" outlineLevel="0" collapsed="false">
      <c r="I65" s="8" t="n">
        <f aca="false">IFERROR(H65-G65,"")</f>
        <v>0</v>
      </c>
    </row>
    <row r="66" customFormat="false" ht="15" hidden="false" customHeight="true" outlineLevel="0" collapsed="false">
      <c r="I66" s="8" t="n">
        <f aca="false">IFERROR(H66-G66,"")</f>
        <v>0</v>
      </c>
    </row>
    <row r="67" customFormat="false" ht="15" hidden="false" customHeight="true" outlineLevel="0" collapsed="false">
      <c r="I67" s="8" t="n">
        <f aca="false">IFERROR(H67-G67,"")</f>
        <v>0</v>
      </c>
    </row>
    <row r="68" customFormat="false" ht="15" hidden="false" customHeight="true" outlineLevel="0" collapsed="false">
      <c r="I68" s="8" t="n">
        <f aca="false">IFERROR(H68-G68,"")</f>
        <v>0</v>
      </c>
    </row>
    <row r="69" customFormat="false" ht="15" hidden="false" customHeight="true" outlineLevel="0" collapsed="false">
      <c r="I69" s="8" t="n">
        <f aca="false">IFERROR(H69-G69,"")</f>
        <v>0</v>
      </c>
    </row>
    <row r="70" customFormat="false" ht="15" hidden="false" customHeight="true" outlineLevel="0" collapsed="false">
      <c r="I70" s="8" t="n">
        <f aca="false">IFERROR(H70-G70,"")</f>
        <v>0</v>
      </c>
    </row>
    <row r="71" customFormat="false" ht="15" hidden="false" customHeight="true" outlineLevel="0" collapsed="false">
      <c r="I71" s="8" t="n">
        <f aca="false">IFERROR(H71-G71,"")</f>
        <v>0</v>
      </c>
    </row>
    <row r="72" customFormat="false" ht="15" hidden="false" customHeight="true" outlineLevel="0" collapsed="false">
      <c r="I72" s="8" t="n">
        <f aca="false">IFERROR(H72-G72,"")</f>
        <v>0</v>
      </c>
    </row>
    <row r="73" customFormat="false" ht="15" hidden="false" customHeight="true" outlineLevel="0" collapsed="false">
      <c r="I73" s="8" t="n">
        <f aca="false">IFERROR(H73-G73,"")</f>
        <v>0</v>
      </c>
    </row>
    <row r="74" customFormat="false" ht="15" hidden="false" customHeight="true" outlineLevel="0" collapsed="false">
      <c r="I74" s="8" t="n">
        <f aca="false">IFERROR(H74-G74,"")</f>
        <v>0</v>
      </c>
    </row>
    <row r="75" customFormat="false" ht="15" hidden="false" customHeight="true" outlineLevel="0" collapsed="false">
      <c r="I75" s="8" t="n">
        <f aca="false">IFERROR(H75-G75,"")</f>
        <v>0</v>
      </c>
    </row>
    <row r="76" customFormat="false" ht="15" hidden="false" customHeight="true" outlineLevel="0" collapsed="false">
      <c r="I76" s="8" t="n">
        <f aca="false">IFERROR(H76-G76,"")</f>
        <v>0</v>
      </c>
    </row>
    <row r="77" customFormat="false" ht="15" hidden="false" customHeight="true" outlineLevel="0" collapsed="false">
      <c r="I77" s="8" t="n">
        <f aca="false">IFERROR(H77-G77,"")</f>
        <v>0</v>
      </c>
    </row>
    <row r="78" customFormat="false" ht="15" hidden="false" customHeight="true" outlineLevel="0" collapsed="false">
      <c r="I78" s="8" t="n">
        <f aca="false">IFERROR(H78-G78,"")</f>
        <v>0</v>
      </c>
    </row>
    <row r="79" customFormat="false" ht="15" hidden="false" customHeight="true" outlineLevel="0" collapsed="false">
      <c r="I79" s="8" t="n">
        <f aca="false">IFERROR(H79-G79,"")</f>
        <v>0</v>
      </c>
    </row>
    <row r="80" customFormat="false" ht="15" hidden="false" customHeight="true" outlineLevel="0" collapsed="false">
      <c r="I80" s="8" t="n">
        <f aca="false">IFERROR(H80-G80,"")</f>
        <v>0</v>
      </c>
    </row>
    <row r="81" customFormat="false" ht="15" hidden="false" customHeight="true" outlineLevel="0" collapsed="false">
      <c r="I81" s="8" t="n">
        <f aca="false">IFERROR(H81-G81,"")</f>
        <v>0</v>
      </c>
    </row>
    <row r="82" customFormat="false" ht="15" hidden="false" customHeight="true" outlineLevel="0" collapsed="false">
      <c r="I82" s="8" t="n">
        <f aca="false">IFERROR(H82-G82,"")</f>
        <v>0</v>
      </c>
    </row>
    <row r="83" customFormat="false" ht="15" hidden="false" customHeight="true" outlineLevel="0" collapsed="false">
      <c r="I83" s="8" t="n">
        <f aca="false">IFERROR(H83-G83,"")</f>
        <v>0</v>
      </c>
    </row>
    <row r="84" customFormat="false" ht="15" hidden="false" customHeight="true" outlineLevel="0" collapsed="false">
      <c r="I84" s="8" t="n">
        <f aca="false">IFERROR(H84-G84,"")</f>
        <v>0</v>
      </c>
    </row>
    <row r="85" customFormat="false" ht="15" hidden="false" customHeight="true" outlineLevel="0" collapsed="false">
      <c r="I85" s="8" t="n">
        <f aca="false">IFERROR(H85-G85,"")</f>
        <v>0</v>
      </c>
    </row>
    <row r="86" customFormat="false" ht="15" hidden="false" customHeight="true" outlineLevel="0" collapsed="false">
      <c r="I86" s="8" t="n">
        <f aca="false">IFERROR(H86-G86,"")</f>
        <v>0</v>
      </c>
    </row>
    <row r="87" customFormat="false" ht="15" hidden="false" customHeight="true" outlineLevel="0" collapsed="false">
      <c r="I87" s="8" t="n">
        <f aca="false">IFERROR(H87-G87,"")</f>
        <v>0</v>
      </c>
    </row>
    <row r="88" customFormat="false" ht="15" hidden="false" customHeight="true" outlineLevel="0" collapsed="false">
      <c r="I88" s="8" t="n">
        <f aca="false">IFERROR(H88-G88,"")</f>
        <v>0</v>
      </c>
    </row>
    <row r="89" customFormat="false" ht="15" hidden="false" customHeight="true" outlineLevel="0" collapsed="false">
      <c r="I89" s="8" t="n">
        <f aca="false">IFERROR(H89-G89,"")</f>
        <v>0</v>
      </c>
    </row>
    <row r="90" customFormat="false" ht="15" hidden="false" customHeight="true" outlineLevel="0" collapsed="false">
      <c r="I90" s="8" t="n">
        <f aca="false">IFERROR(H90-G90,"")</f>
        <v>0</v>
      </c>
    </row>
    <row r="91" customFormat="false" ht="15" hidden="false" customHeight="true" outlineLevel="0" collapsed="false">
      <c r="I91" s="8" t="n">
        <f aca="false">IFERROR(H91-G91,"")</f>
        <v>0</v>
      </c>
    </row>
    <row r="92" customFormat="false" ht="15" hidden="false" customHeight="true" outlineLevel="0" collapsed="false">
      <c r="I92" s="8" t="n">
        <f aca="false">IFERROR(H92-G92,"")</f>
        <v>0</v>
      </c>
    </row>
    <row r="93" customFormat="false" ht="15" hidden="false" customHeight="true" outlineLevel="0" collapsed="false">
      <c r="I93" s="8" t="n">
        <f aca="false">IFERROR(H93-G93,"")</f>
        <v>0</v>
      </c>
    </row>
    <row r="94" customFormat="false" ht="15" hidden="false" customHeight="true" outlineLevel="0" collapsed="false">
      <c r="I94" s="8" t="n">
        <f aca="false">IFERROR(H94-G94,"")</f>
        <v>0</v>
      </c>
    </row>
    <row r="95" customFormat="false" ht="15" hidden="false" customHeight="true" outlineLevel="0" collapsed="false">
      <c r="I95" s="8" t="n">
        <f aca="false">IFERROR(H95-G95,"")</f>
        <v>0</v>
      </c>
    </row>
    <row r="96" customFormat="false" ht="15" hidden="false" customHeight="true" outlineLevel="0" collapsed="false">
      <c r="I96" s="8" t="n">
        <f aca="false">IFERROR(H96-G96,"")</f>
        <v>0</v>
      </c>
    </row>
    <row r="97" customFormat="false" ht="15" hidden="false" customHeight="true" outlineLevel="0" collapsed="false">
      <c r="I97" s="8" t="n">
        <f aca="false">IFERROR(H97-G97,"")</f>
        <v>0</v>
      </c>
    </row>
    <row r="98" customFormat="false" ht="15" hidden="false" customHeight="true" outlineLevel="0" collapsed="false">
      <c r="I98" s="8" t="n">
        <f aca="false">IFERROR(H98-G98,"")</f>
        <v>0</v>
      </c>
    </row>
    <row r="99" customFormat="false" ht="15" hidden="false" customHeight="true" outlineLevel="0" collapsed="false">
      <c r="I99" s="8" t="n">
        <f aca="false">IFERROR(H99-G99,"")</f>
        <v>0</v>
      </c>
    </row>
    <row r="100" customFormat="false" ht="15" hidden="false" customHeight="true" outlineLevel="0" collapsed="false">
      <c r="I100" s="8" t="n">
        <f aca="false">IFERROR(H100-G100,"")</f>
        <v>0</v>
      </c>
    </row>
    <row r="101" customFormat="false" ht="15" hidden="false" customHeight="true" outlineLevel="0" collapsed="false">
      <c r="I101" s="8" t="n">
        <f aca="false">IFERROR(H101-G101,"")</f>
        <v>0</v>
      </c>
    </row>
    <row r="102" customFormat="false" ht="15" hidden="false" customHeight="true" outlineLevel="0" collapsed="false">
      <c r="I102" s="8" t="n">
        <f aca="false">IFERROR(H102-G102,"")</f>
        <v>0</v>
      </c>
    </row>
    <row r="103" customFormat="false" ht="15" hidden="false" customHeight="true" outlineLevel="0" collapsed="false">
      <c r="I103" s="8" t="n">
        <f aca="false">IFERROR(H103-G103,"")</f>
        <v>0</v>
      </c>
    </row>
    <row r="104" customFormat="false" ht="15" hidden="false" customHeight="true" outlineLevel="0" collapsed="false">
      <c r="I104" s="8" t="n">
        <f aca="false">IFERROR(H104-G104,"")</f>
        <v>0</v>
      </c>
    </row>
    <row r="105" customFormat="false" ht="15" hidden="false" customHeight="true" outlineLevel="0" collapsed="false">
      <c r="I105" s="8" t="n">
        <f aca="false">IFERROR(H105-G105,"")</f>
        <v>0</v>
      </c>
    </row>
    <row r="106" customFormat="false" ht="15" hidden="false" customHeight="true" outlineLevel="0" collapsed="false">
      <c r="I106" s="8" t="n">
        <f aca="false">IFERROR(H106-G106,"")</f>
        <v>0</v>
      </c>
    </row>
    <row r="107" customFormat="false" ht="15" hidden="false" customHeight="true" outlineLevel="0" collapsed="false">
      <c r="I107" s="8" t="n">
        <f aca="false">IFERROR(H107-G107,"")</f>
        <v>0</v>
      </c>
    </row>
    <row r="108" customFormat="false" ht="15" hidden="false" customHeight="true" outlineLevel="0" collapsed="false">
      <c r="I108" s="8" t="n">
        <f aca="false">IFERROR(H108-G108,"")</f>
        <v>0</v>
      </c>
    </row>
    <row r="109" customFormat="false" ht="15" hidden="false" customHeight="true" outlineLevel="0" collapsed="false">
      <c r="I109" s="8" t="n">
        <f aca="false">IFERROR(H109-G109,"")</f>
        <v>0</v>
      </c>
    </row>
    <row r="110" customFormat="false" ht="15" hidden="false" customHeight="true" outlineLevel="0" collapsed="false">
      <c r="I110" s="8" t="n">
        <f aca="false">IFERROR(H110-G110,"")</f>
        <v>0</v>
      </c>
    </row>
    <row r="111" customFormat="false" ht="15" hidden="false" customHeight="true" outlineLevel="0" collapsed="false">
      <c r="I111" s="8" t="n">
        <f aca="false">IFERROR(H111-G111,"")</f>
        <v>0</v>
      </c>
    </row>
    <row r="112" customFormat="false" ht="15" hidden="false" customHeight="true" outlineLevel="0" collapsed="false">
      <c r="I112" s="8" t="n">
        <f aca="false">IFERROR(H112-G112,"")</f>
        <v>0</v>
      </c>
    </row>
    <row r="113" customFormat="false" ht="15" hidden="false" customHeight="true" outlineLevel="0" collapsed="false">
      <c r="I113" s="8" t="n">
        <f aca="false">IFERROR(H113-G113,"")</f>
        <v>0</v>
      </c>
    </row>
    <row r="114" customFormat="false" ht="15" hidden="false" customHeight="true" outlineLevel="0" collapsed="false">
      <c r="I114" s="8" t="n">
        <f aca="false">IFERROR(H114-G114,"")</f>
        <v>0</v>
      </c>
    </row>
    <row r="115" customFormat="false" ht="15" hidden="false" customHeight="true" outlineLevel="0" collapsed="false">
      <c r="I115" s="8" t="n">
        <f aca="false">IFERROR(H115-G115,"")</f>
        <v>0</v>
      </c>
    </row>
    <row r="116" customFormat="false" ht="15" hidden="false" customHeight="true" outlineLevel="0" collapsed="false">
      <c r="I116" s="8" t="n">
        <f aca="false">IFERROR(H116-G116,"")</f>
        <v>0</v>
      </c>
    </row>
    <row r="117" customFormat="false" ht="15" hidden="false" customHeight="true" outlineLevel="0" collapsed="false">
      <c r="I117" s="8" t="n">
        <f aca="false">IFERROR(H117-G117,"")</f>
        <v>0</v>
      </c>
    </row>
    <row r="118" customFormat="false" ht="15" hidden="false" customHeight="true" outlineLevel="0" collapsed="false">
      <c r="I118" s="8" t="n">
        <f aca="false">IFERROR(H118-G118,"")</f>
        <v>0</v>
      </c>
    </row>
    <row r="119" customFormat="false" ht="15" hidden="false" customHeight="true" outlineLevel="0" collapsed="false">
      <c r="I119" s="8" t="n">
        <f aca="false">IFERROR(H119-G119,"")</f>
        <v>0</v>
      </c>
    </row>
    <row r="120" customFormat="false" ht="15" hidden="false" customHeight="true" outlineLevel="0" collapsed="false">
      <c r="I120" s="8" t="n">
        <f aca="false">IFERROR(H120-G120,"")</f>
        <v>0</v>
      </c>
    </row>
    <row r="121" customFormat="false" ht="15" hidden="false" customHeight="true" outlineLevel="0" collapsed="false">
      <c r="I121" s="8" t="n">
        <f aca="false">IFERROR(H121-G121,"")</f>
        <v>0</v>
      </c>
    </row>
    <row r="122" customFormat="false" ht="15" hidden="false" customHeight="true" outlineLevel="0" collapsed="false">
      <c r="I122" s="8" t="n">
        <f aca="false">IFERROR(H122-G122,"")</f>
        <v>0</v>
      </c>
    </row>
    <row r="123" customFormat="false" ht="15" hidden="false" customHeight="true" outlineLevel="0" collapsed="false">
      <c r="I123" s="8" t="n">
        <f aca="false">IFERROR(H123-G123,"")</f>
        <v>0</v>
      </c>
    </row>
    <row r="124" customFormat="false" ht="15" hidden="false" customHeight="true" outlineLevel="0" collapsed="false">
      <c r="I124" s="8" t="n">
        <f aca="false">IFERROR(H124-G124,"")</f>
        <v>0</v>
      </c>
    </row>
    <row r="125" customFormat="false" ht="15" hidden="false" customHeight="true" outlineLevel="0" collapsed="false">
      <c r="I125" s="8" t="n">
        <f aca="false">IFERROR(H125-G125,"")</f>
        <v>0</v>
      </c>
    </row>
    <row r="126" customFormat="false" ht="15" hidden="false" customHeight="true" outlineLevel="0" collapsed="false">
      <c r="I126" s="8" t="n">
        <f aca="false">IFERROR(H126-G126,"")</f>
        <v>0</v>
      </c>
    </row>
    <row r="127" customFormat="false" ht="15" hidden="false" customHeight="true" outlineLevel="0" collapsed="false">
      <c r="I127" s="8" t="n">
        <f aca="false">IFERROR(H127-G127,"")</f>
        <v>0</v>
      </c>
    </row>
    <row r="128" customFormat="false" ht="15" hidden="false" customHeight="true" outlineLevel="0" collapsed="false">
      <c r="I128" s="8" t="n">
        <f aca="false">IFERROR(H128-G128,"")</f>
        <v>0</v>
      </c>
    </row>
    <row r="129" customFormat="false" ht="15" hidden="false" customHeight="true" outlineLevel="0" collapsed="false">
      <c r="I129" s="8" t="n">
        <f aca="false">IFERROR(H129-G129,"")</f>
        <v>0</v>
      </c>
    </row>
    <row r="130" customFormat="false" ht="15" hidden="false" customHeight="true" outlineLevel="0" collapsed="false">
      <c r="I130" s="8" t="n">
        <f aca="false">IFERROR(H130-G130,"")</f>
        <v>0</v>
      </c>
    </row>
    <row r="131" customFormat="false" ht="15" hidden="false" customHeight="true" outlineLevel="0" collapsed="false">
      <c r="I131" s="8" t="n">
        <f aca="false">IFERROR(H131-G131,"")</f>
        <v>0</v>
      </c>
    </row>
    <row r="132" customFormat="false" ht="15" hidden="false" customHeight="true" outlineLevel="0" collapsed="false">
      <c r="I132" s="8" t="n">
        <f aca="false">IFERROR(H132-G132,"")</f>
        <v>0</v>
      </c>
    </row>
    <row r="133" customFormat="false" ht="15" hidden="false" customHeight="true" outlineLevel="0" collapsed="false">
      <c r="I133" s="8" t="n">
        <f aca="false">IFERROR(H133-G133,"")</f>
        <v>0</v>
      </c>
    </row>
    <row r="134" customFormat="false" ht="15" hidden="false" customHeight="true" outlineLevel="0" collapsed="false">
      <c r="I134" s="8" t="n">
        <f aca="false">IFERROR(H134-G134,"")</f>
        <v>0</v>
      </c>
    </row>
    <row r="135" customFormat="false" ht="15" hidden="false" customHeight="true" outlineLevel="0" collapsed="false">
      <c r="I135" s="8" t="n">
        <f aca="false">IFERROR(H135-G135,"")</f>
        <v>0</v>
      </c>
    </row>
    <row r="136" customFormat="false" ht="15" hidden="false" customHeight="true" outlineLevel="0" collapsed="false">
      <c r="I136" s="8" t="n">
        <f aca="false">IFERROR(H136-G136,"")</f>
        <v>0</v>
      </c>
    </row>
    <row r="137" customFormat="false" ht="15" hidden="false" customHeight="true" outlineLevel="0" collapsed="false">
      <c r="I137" s="8" t="n">
        <f aca="false">IFERROR(H137-G137,"")</f>
        <v>0</v>
      </c>
    </row>
    <row r="138" customFormat="false" ht="15" hidden="false" customHeight="true" outlineLevel="0" collapsed="false">
      <c r="I138" s="8" t="n">
        <f aca="false">IFERROR(H138-G138,"")</f>
        <v>0</v>
      </c>
    </row>
    <row r="139" customFormat="false" ht="15" hidden="false" customHeight="true" outlineLevel="0" collapsed="false">
      <c r="I139" s="8" t="n">
        <f aca="false">IFERROR(H139-G139,"")</f>
        <v>0</v>
      </c>
    </row>
    <row r="140" customFormat="false" ht="15" hidden="false" customHeight="true" outlineLevel="0" collapsed="false">
      <c r="I140" s="8" t="n">
        <f aca="false">IFERROR(H140-G140,"")</f>
        <v>0</v>
      </c>
    </row>
    <row r="141" customFormat="false" ht="15" hidden="false" customHeight="true" outlineLevel="0" collapsed="false">
      <c r="I141" s="8" t="n">
        <f aca="false">IFERROR(H141-G141,"")</f>
        <v>0</v>
      </c>
    </row>
    <row r="142" customFormat="false" ht="15" hidden="false" customHeight="true" outlineLevel="0" collapsed="false">
      <c r="I142" s="8" t="n">
        <f aca="false">IFERROR(H142-G142,"")</f>
        <v>0</v>
      </c>
    </row>
    <row r="143" customFormat="false" ht="15" hidden="false" customHeight="true" outlineLevel="0" collapsed="false">
      <c r="I143" s="8" t="n">
        <f aca="false">IFERROR(H143-G143,"")</f>
        <v>0</v>
      </c>
    </row>
    <row r="144" customFormat="false" ht="15" hidden="false" customHeight="true" outlineLevel="0" collapsed="false">
      <c r="I144" s="8" t="n">
        <f aca="false">IFERROR(H144-G144,"")</f>
        <v>0</v>
      </c>
    </row>
    <row r="145" customFormat="false" ht="15" hidden="false" customHeight="true" outlineLevel="0" collapsed="false">
      <c r="I145" s="8" t="n">
        <f aca="false">IFERROR(H145-G145,"")</f>
        <v>0</v>
      </c>
    </row>
    <row r="146" customFormat="false" ht="15" hidden="false" customHeight="true" outlineLevel="0" collapsed="false">
      <c r="I146" s="8" t="n">
        <f aca="false">IFERROR(H146-G146,"")</f>
        <v>0</v>
      </c>
    </row>
    <row r="147" customFormat="false" ht="15" hidden="false" customHeight="true" outlineLevel="0" collapsed="false">
      <c r="I147" s="8" t="n">
        <f aca="false">IFERROR(H147-G147,"")</f>
        <v>0</v>
      </c>
    </row>
    <row r="148" customFormat="false" ht="15" hidden="false" customHeight="true" outlineLevel="0" collapsed="false">
      <c r="I148" s="8" t="n">
        <f aca="false">IFERROR(H148-G148,"")</f>
        <v>0</v>
      </c>
    </row>
    <row r="149" customFormat="false" ht="15" hidden="false" customHeight="true" outlineLevel="0" collapsed="false">
      <c r="I149" s="8" t="n">
        <f aca="false">IFERROR(H149-G149,"")</f>
        <v>0</v>
      </c>
    </row>
    <row r="150" customFormat="false" ht="15" hidden="false" customHeight="true" outlineLevel="0" collapsed="false">
      <c r="I150" s="8" t="n">
        <f aca="false">IFERROR(H150-G150,"")</f>
        <v>0</v>
      </c>
    </row>
    <row r="151" customFormat="false" ht="15" hidden="false" customHeight="true" outlineLevel="0" collapsed="false">
      <c r="I151" s="8" t="n">
        <f aca="false">IFERROR(H151-G151,"")</f>
        <v>0</v>
      </c>
    </row>
    <row r="152" customFormat="false" ht="15" hidden="false" customHeight="true" outlineLevel="0" collapsed="false">
      <c r="I152" s="8" t="n">
        <f aca="false">IFERROR(H152-G152,"")</f>
        <v>0</v>
      </c>
    </row>
    <row r="153" customFormat="false" ht="15" hidden="false" customHeight="true" outlineLevel="0" collapsed="false">
      <c r="I153" s="8" t="n">
        <f aca="false">IFERROR(H153-G153,"")</f>
        <v>0</v>
      </c>
    </row>
    <row r="154" customFormat="false" ht="15" hidden="false" customHeight="true" outlineLevel="0" collapsed="false">
      <c r="I154" s="8" t="n">
        <f aca="false">IFERROR(H154-G154,"")</f>
        <v>0</v>
      </c>
    </row>
    <row r="155" customFormat="false" ht="15" hidden="false" customHeight="true" outlineLevel="0" collapsed="false">
      <c r="I155" s="8" t="n">
        <f aca="false">IFERROR(H155-G155,"")</f>
        <v>0</v>
      </c>
    </row>
    <row r="156" customFormat="false" ht="15" hidden="false" customHeight="true" outlineLevel="0" collapsed="false">
      <c r="I156" s="8" t="n">
        <f aca="false">IFERROR(H156-G156,"")</f>
        <v>0</v>
      </c>
    </row>
    <row r="157" customFormat="false" ht="15" hidden="false" customHeight="true" outlineLevel="0" collapsed="false">
      <c r="I157" s="8" t="n">
        <f aca="false">IFERROR(H157-G157,"")</f>
        <v>0</v>
      </c>
    </row>
    <row r="158" customFormat="false" ht="15" hidden="false" customHeight="true" outlineLevel="0" collapsed="false">
      <c r="I158" s="8" t="n">
        <f aca="false">IFERROR(H158-G158,"")</f>
        <v>0</v>
      </c>
    </row>
    <row r="159" customFormat="false" ht="15" hidden="false" customHeight="true" outlineLevel="0" collapsed="false">
      <c r="I159" s="8" t="n">
        <f aca="false">IFERROR(H159-G159,"")</f>
        <v>0</v>
      </c>
    </row>
    <row r="160" customFormat="false" ht="15" hidden="false" customHeight="true" outlineLevel="0" collapsed="false">
      <c r="I160" s="8" t="n">
        <f aca="false">IFERROR(H160-G160,"")</f>
        <v>0</v>
      </c>
    </row>
    <row r="161" customFormat="false" ht="15" hidden="false" customHeight="true" outlineLevel="0" collapsed="false">
      <c r="I161" s="8" t="n">
        <f aca="false">IFERROR(H161-G161,"")</f>
        <v>0</v>
      </c>
    </row>
    <row r="162" customFormat="false" ht="15" hidden="false" customHeight="true" outlineLevel="0" collapsed="false">
      <c r="I162" s="8" t="n">
        <f aca="false">IFERROR(H162-G162,"")</f>
        <v>0</v>
      </c>
    </row>
    <row r="163" customFormat="false" ht="15" hidden="false" customHeight="true" outlineLevel="0" collapsed="false">
      <c r="I163" s="8" t="n">
        <f aca="false">IFERROR(H163-G163,"")</f>
        <v>0</v>
      </c>
    </row>
    <row r="164" customFormat="false" ht="15" hidden="false" customHeight="true" outlineLevel="0" collapsed="false">
      <c r="I164" s="8" t="n">
        <f aca="false">IFERROR(H164-G164,"")</f>
        <v>0</v>
      </c>
    </row>
    <row r="165" customFormat="false" ht="15" hidden="false" customHeight="true" outlineLevel="0" collapsed="false">
      <c r="I165" s="8" t="n">
        <f aca="false">IFERROR(H165-G165,"")</f>
        <v>0</v>
      </c>
    </row>
    <row r="166" customFormat="false" ht="15" hidden="false" customHeight="true" outlineLevel="0" collapsed="false">
      <c r="I166" s="8" t="n">
        <f aca="false">IFERROR(H166-G166,"")</f>
        <v>0</v>
      </c>
    </row>
    <row r="167" customFormat="false" ht="15" hidden="false" customHeight="true" outlineLevel="0" collapsed="false">
      <c r="I167" s="8" t="n">
        <f aca="false">IFERROR(H167-G167,"")</f>
        <v>0</v>
      </c>
    </row>
    <row r="168" customFormat="false" ht="15" hidden="false" customHeight="true" outlineLevel="0" collapsed="false">
      <c r="I168" s="8" t="n">
        <f aca="false">IFERROR(H168-G168,"")</f>
        <v>0</v>
      </c>
    </row>
    <row r="169" customFormat="false" ht="15" hidden="false" customHeight="true" outlineLevel="0" collapsed="false">
      <c r="I169" s="8" t="n">
        <f aca="false">IFERROR(H169-G169,"")</f>
        <v>0</v>
      </c>
    </row>
    <row r="170" customFormat="false" ht="15" hidden="false" customHeight="true" outlineLevel="0" collapsed="false">
      <c r="I170" s="8" t="n">
        <f aca="false">IFERROR(H170-G170,"")</f>
        <v>0</v>
      </c>
    </row>
    <row r="171" customFormat="false" ht="15" hidden="false" customHeight="true" outlineLevel="0" collapsed="false">
      <c r="I171" s="8" t="n">
        <f aca="false">IFERROR(H171-G171,"")</f>
        <v>0</v>
      </c>
    </row>
    <row r="172" customFormat="false" ht="15" hidden="false" customHeight="true" outlineLevel="0" collapsed="false">
      <c r="I172" s="8" t="n">
        <f aca="false">IFERROR(H172-G172,"")</f>
        <v>0</v>
      </c>
    </row>
    <row r="173" customFormat="false" ht="15" hidden="false" customHeight="true" outlineLevel="0" collapsed="false">
      <c r="I173" s="8" t="n">
        <f aca="false">IFERROR(H173-G173,"")</f>
        <v>0</v>
      </c>
    </row>
    <row r="174" customFormat="false" ht="15" hidden="false" customHeight="true" outlineLevel="0" collapsed="false">
      <c r="I174" s="8" t="n">
        <f aca="false">IFERROR(H174-G174,"")</f>
        <v>0</v>
      </c>
    </row>
    <row r="175" customFormat="false" ht="15" hidden="false" customHeight="true" outlineLevel="0" collapsed="false">
      <c r="I175" s="8" t="n">
        <f aca="false">IFERROR(H175-G175,"")</f>
        <v>0</v>
      </c>
    </row>
    <row r="176" customFormat="false" ht="15" hidden="false" customHeight="true" outlineLevel="0" collapsed="false">
      <c r="I176" s="8" t="n">
        <f aca="false">IFERROR(H176-G176,"")</f>
        <v>0</v>
      </c>
    </row>
    <row r="177" customFormat="false" ht="15" hidden="false" customHeight="true" outlineLevel="0" collapsed="false">
      <c r="I177" s="8" t="n">
        <f aca="false">IFERROR(H177-G177,"")</f>
        <v>0</v>
      </c>
    </row>
    <row r="178" customFormat="false" ht="15" hidden="false" customHeight="true" outlineLevel="0" collapsed="false">
      <c r="I178" s="8" t="n">
        <f aca="false">IFERROR(H178-G178,"")</f>
        <v>0</v>
      </c>
    </row>
    <row r="179" customFormat="false" ht="15" hidden="false" customHeight="true" outlineLevel="0" collapsed="false">
      <c r="I179" s="8" t="n">
        <f aca="false">IFERROR(H179-G179,"")</f>
        <v>0</v>
      </c>
    </row>
    <row r="180" customFormat="false" ht="15" hidden="false" customHeight="true" outlineLevel="0" collapsed="false">
      <c r="I180" s="8" t="n">
        <f aca="false">IFERROR(H180-G180,"")</f>
        <v>0</v>
      </c>
    </row>
    <row r="181" customFormat="false" ht="15" hidden="false" customHeight="true" outlineLevel="0" collapsed="false">
      <c r="I181" s="8" t="n">
        <f aca="false">IFERROR(H181-G181,"")</f>
        <v>0</v>
      </c>
    </row>
    <row r="182" customFormat="false" ht="15" hidden="false" customHeight="true" outlineLevel="0" collapsed="false">
      <c r="I182" s="8" t="n">
        <f aca="false">IFERROR(H182-G182,"")</f>
        <v>0</v>
      </c>
    </row>
    <row r="183" customFormat="false" ht="15" hidden="false" customHeight="true" outlineLevel="0" collapsed="false">
      <c r="I183" s="8" t="n">
        <f aca="false">IFERROR(H183-G183,"")</f>
        <v>0</v>
      </c>
    </row>
    <row r="184" customFormat="false" ht="15" hidden="false" customHeight="true" outlineLevel="0" collapsed="false">
      <c r="I184" s="8" t="n">
        <f aca="false">IFERROR(H184-G184,"")</f>
        <v>0</v>
      </c>
    </row>
    <row r="185" customFormat="false" ht="15" hidden="false" customHeight="true" outlineLevel="0" collapsed="false">
      <c r="I185" s="8" t="n">
        <f aca="false">IFERROR(H185-G185,"")</f>
        <v>0</v>
      </c>
    </row>
    <row r="186" customFormat="false" ht="15" hidden="false" customHeight="true" outlineLevel="0" collapsed="false">
      <c r="I186" s="8" t="n">
        <f aca="false">IFERROR(H186-G186,"")</f>
        <v>0</v>
      </c>
    </row>
    <row r="187" customFormat="false" ht="15" hidden="false" customHeight="true" outlineLevel="0" collapsed="false">
      <c r="I187" s="8" t="n">
        <f aca="false">IFERROR(H187-G187,"")</f>
        <v>0</v>
      </c>
    </row>
    <row r="188" customFormat="false" ht="15" hidden="false" customHeight="true" outlineLevel="0" collapsed="false">
      <c r="I188" s="8" t="n">
        <f aca="false">IFERROR(H188-G188,"")</f>
        <v>0</v>
      </c>
    </row>
    <row r="189" customFormat="false" ht="15" hidden="false" customHeight="true" outlineLevel="0" collapsed="false">
      <c r="I189" s="8" t="n">
        <f aca="false">IFERROR(H189-G189,"")</f>
        <v>0</v>
      </c>
    </row>
    <row r="190" customFormat="false" ht="15" hidden="false" customHeight="true" outlineLevel="0" collapsed="false">
      <c r="I190" s="8" t="n">
        <f aca="false">IFERROR(H190-G190,"")</f>
        <v>0</v>
      </c>
    </row>
    <row r="191" customFormat="false" ht="15" hidden="false" customHeight="true" outlineLevel="0" collapsed="false">
      <c r="I191" s="8" t="n">
        <f aca="false">IFERROR(H191-G191,"")</f>
        <v>0</v>
      </c>
    </row>
    <row r="192" customFormat="false" ht="15" hidden="false" customHeight="true" outlineLevel="0" collapsed="false">
      <c r="I192" s="8" t="n">
        <f aca="false">IFERROR(H192-G192,"")</f>
        <v>0</v>
      </c>
    </row>
    <row r="193" customFormat="false" ht="15" hidden="false" customHeight="true" outlineLevel="0" collapsed="false">
      <c r="I193" s="8" t="n">
        <f aca="false">IFERROR(H193-G193,"")</f>
        <v>0</v>
      </c>
    </row>
    <row r="194" customFormat="false" ht="15" hidden="false" customHeight="true" outlineLevel="0" collapsed="false">
      <c r="I194" s="8" t="n">
        <f aca="false">IFERROR(H194-G194,"")</f>
        <v>0</v>
      </c>
    </row>
    <row r="195" customFormat="false" ht="15" hidden="false" customHeight="true" outlineLevel="0" collapsed="false">
      <c r="I195" s="8" t="n">
        <f aca="false">IFERROR(H195-G195,"")</f>
        <v>0</v>
      </c>
    </row>
    <row r="196" customFormat="false" ht="15" hidden="false" customHeight="true" outlineLevel="0" collapsed="false">
      <c r="I196" s="8" t="n">
        <f aca="false">IFERROR(H196-G196,"")</f>
        <v>0</v>
      </c>
    </row>
    <row r="197" customFormat="false" ht="15" hidden="false" customHeight="true" outlineLevel="0" collapsed="false">
      <c r="I197" s="8" t="n">
        <f aca="false">IFERROR(H197-G197,"")</f>
        <v>0</v>
      </c>
    </row>
    <row r="198" customFormat="false" ht="15" hidden="false" customHeight="true" outlineLevel="0" collapsed="false">
      <c r="I198" s="8" t="n">
        <f aca="false">IFERROR(H198-G198,"")</f>
        <v>0</v>
      </c>
    </row>
    <row r="199" customFormat="false" ht="15" hidden="false" customHeight="true" outlineLevel="0" collapsed="false">
      <c r="I199" s="8" t="n">
        <f aca="false">IFERROR(H199-G199,"")</f>
        <v>0</v>
      </c>
    </row>
    <row r="200" customFormat="false" ht="15" hidden="false" customHeight="true" outlineLevel="0" collapsed="false">
      <c r="I200" s="8" t="n">
        <f aca="false">IFERROR(H200-G200,"")</f>
        <v>0</v>
      </c>
    </row>
    <row r="201" customFormat="false" ht="15" hidden="false" customHeight="true" outlineLevel="0" collapsed="false">
      <c r="I201" s="8" t="n">
        <f aca="false">IFERROR(H201-G201,"")</f>
        <v>0</v>
      </c>
    </row>
    <row r="202" customFormat="false" ht="15" hidden="false" customHeight="true" outlineLevel="0" collapsed="false">
      <c r="I202" s="8" t="n">
        <f aca="false">IFERROR(H202-G202,"")</f>
        <v>0</v>
      </c>
    </row>
    <row r="203" customFormat="false" ht="15" hidden="false" customHeight="true" outlineLevel="0" collapsed="false">
      <c r="I203" s="8" t="n">
        <f aca="false">IFERROR(H203-G203,"")</f>
        <v>0</v>
      </c>
    </row>
    <row r="204" customFormat="false" ht="15" hidden="false" customHeight="true" outlineLevel="0" collapsed="false">
      <c r="I204" s="8" t="n">
        <f aca="false">IFERROR(H204-G204,"")</f>
        <v>0</v>
      </c>
    </row>
    <row r="205" customFormat="false" ht="15" hidden="false" customHeight="true" outlineLevel="0" collapsed="false">
      <c r="I205" s="8" t="n">
        <f aca="false">IFERROR(H205-G205,"")</f>
        <v>0</v>
      </c>
    </row>
    <row r="206" customFormat="false" ht="15" hidden="false" customHeight="true" outlineLevel="0" collapsed="false">
      <c r="I206" s="8" t="n">
        <f aca="false">IFERROR(H206-G206,"")</f>
        <v>0</v>
      </c>
    </row>
    <row r="207" customFormat="false" ht="15" hidden="false" customHeight="true" outlineLevel="0" collapsed="false">
      <c r="I207" s="8" t="n">
        <f aca="false">IFERROR(H207-G207,"")</f>
        <v>0</v>
      </c>
    </row>
    <row r="208" customFormat="false" ht="15" hidden="false" customHeight="true" outlineLevel="0" collapsed="false">
      <c r="I208" s="8" t="n">
        <f aca="false">IFERROR(H208-G208,"")</f>
        <v>0</v>
      </c>
    </row>
    <row r="209" customFormat="false" ht="15" hidden="false" customHeight="true" outlineLevel="0" collapsed="false">
      <c r="I209" s="8" t="n">
        <f aca="false">IFERROR(H209-G209,"")</f>
        <v>0</v>
      </c>
    </row>
    <row r="210" customFormat="false" ht="15" hidden="false" customHeight="true" outlineLevel="0" collapsed="false">
      <c r="I210" s="8" t="n">
        <f aca="false">IFERROR(H210-G210,"")</f>
        <v>0</v>
      </c>
    </row>
    <row r="211" customFormat="false" ht="15" hidden="false" customHeight="true" outlineLevel="0" collapsed="false">
      <c r="I211" s="8" t="n">
        <f aca="false">IFERROR(H211-G211,"")</f>
        <v>0</v>
      </c>
    </row>
    <row r="212" customFormat="false" ht="15" hidden="false" customHeight="true" outlineLevel="0" collapsed="false">
      <c r="I212" s="8" t="n">
        <f aca="false">IFERROR(H212-G212,"")</f>
        <v>0</v>
      </c>
    </row>
    <row r="213" customFormat="false" ht="15" hidden="false" customHeight="true" outlineLevel="0" collapsed="false">
      <c r="I213" s="8" t="n">
        <f aca="false">IFERROR(H213-G213,"")</f>
        <v>0</v>
      </c>
    </row>
    <row r="214" customFormat="false" ht="15" hidden="false" customHeight="true" outlineLevel="0" collapsed="false">
      <c r="I214" s="8" t="n">
        <f aca="false">IFERROR(H214-G214,"")</f>
        <v>0</v>
      </c>
    </row>
    <row r="215" customFormat="false" ht="15" hidden="false" customHeight="true" outlineLevel="0" collapsed="false">
      <c r="I215" s="8" t="n">
        <f aca="false">IFERROR(H215-G215,"")</f>
        <v>0</v>
      </c>
    </row>
    <row r="216" customFormat="false" ht="15" hidden="false" customHeight="true" outlineLevel="0" collapsed="false">
      <c r="I216" s="8" t="n">
        <f aca="false">IFERROR(H216-G216,"")</f>
        <v>0</v>
      </c>
    </row>
    <row r="217" customFormat="false" ht="15" hidden="false" customHeight="true" outlineLevel="0" collapsed="false">
      <c r="I217" s="8" t="n">
        <f aca="false">IFERROR(H217-G217,"")</f>
        <v>0</v>
      </c>
    </row>
    <row r="218" customFormat="false" ht="15" hidden="false" customHeight="true" outlineLevel="0" collapsed="false">
      <c r="I218" s="8" t="n">
        <f aca="false">IFERROR(H218-G218,"")</f>
        <v>0</v>
      </c>
    </row>
    <row r="219" customFormat="false" ht="15" hidden="false" customHeight="true" outlineLevel="0" collapsed="false">
      <c r="I219" s="8" t="n">
        <f aca="false">IFERROR(H219-G219,"")</f>
        <v>0</v>
      </c>
    </row>
    <row r="220" customFormat="false" ht="15" hidden="false" customHeight="true" outlineLevel="0" collapsed="false">
      <c r="I220" s="8" t="n">
        <f aca="false">IFERROR(H220-G220,"")</f>
        <v>0</v>
      </c>
    </row>
    <row r="221" customFormat="false" ht="15" hidden="false" customHeight="true" outlineLevel="0" collapsed="false">
      <c r="I221" s="8" t="n">
        <f aca="false">IFERROR(H221-G221,"")</f>
        <v>0</v>
      </c>
    </row>
    <row r="222" customFormat="false" ht="15" hidden="false" customHeight="true" outlineLevel="0" collapsed="false">
      <c r="I222" s="8" t="n">
        <f aca="false">IFERROR(H222-G222,"")</f>
        <v>0</v>
      </c>
    </row>
    <row r="223" customFormat="false" ht="15" hidden="false" customHeight="true" outlineLevel="0" collapsed="false">
      <c r="I223" s="8" t="n">
        <f aca="false">IFERROR(H223-G223,"")</f>
        <v>0</v>
      </c>
    </row>
    <row r="224" customFormat="false" ht="15" hidden="false" customHeight="true" outlineLevel="0" collapsed="false">
      <c r="I224" s="8" t="n">
        <f aca="false">IFERROR(H224-G224,"")</f>
        <v>0</v>
      </c>
    </row>
    <row r="225" customFormat="false" ht="15" hidden="false" customHeight="true" outlineLevel="0" collapsed="false">
      <c r="I225" s="8" t="n">
        <f aca="false">IFERROR(H225-G225,"")</f>
        <v>0</v>
      </c>
    </row>
    <row r="226" customFormat="false" ht="15" hidden="false" customHeight="true" outlineLevel="0" collapsed="false">
      <c r="I226" s="8" t="n">
        <f aca="false">IFERROR(H226-G226,"")</f>
        <v>0</v>
      </c>
    </row>
    <row r="227" customFormat="false" ht="15" hidden="false" customHeight="true" outlineLevel="0" collapsed="false">
      <c r="I227" s="8" t="n">
        <f aca="false">IFERROR(H227-G227,"")</f>
        <v>0</v>
      </c>
    </row>
    <row r="228" customFormat="false" ht="15" hidden="false" customHeight="true" outlineLevel="0" collapsed="false">
      <c r="I228" s="8" t="n">
        <f aca="false">IFERROR(H228-G228,"")</f>
        <v>0</v>
      </c>
    </row>
    <row r="229" customFormat="false" ht="15" hidden="false" customHeight="true" outlineLevel="0" collapsed="false">
      <c r="I229" s="8" t="n">
        <f aca="false">IFERROR(H229-G229,"")</f>
        <v>0</v>
      </c>
    </row>
    <row r="230" customFormat="false" ht="15" hidden="false" customHeight="true" outlineLevel="0" collapsed="false">
      <c r="I230" s="8" t="n">
        <f aca="false">IFERROR(H230-G230,"")</f>
        <v>0</v>
      </c>
    </row>
    <row r="231" customFormat="false" ht="15" hidden="false" customHeight="true" outlineLevel="0" collapsed="false">
      <c r="I231" s="8" t="n">
        <f aca="false">IFERROR(H231-G231,"")</f>
        <v>0</v>
      </c>
    </row>
    <row r="232" customFormat="false" ht="15" hidden="false" customHeight="true" outlineLevel="0" collapsed="false">
      <c r="I232" s="8" t="n">
        <f aca="false">IFERROR(H232-G232,"")</f>
        <v>0</v>
      </c>
    </row>
    <row r="233" customFormat="false" ht="15" hidden="false" customHeight="true" outlineLevel="0" collapsed="false">
      <c r="I233" s="8" t="n">
        <f aca="false">IFERROR(H233-G233,"")</f>
        <v>0</v>
      </c>
    </row>
    <row r="234" customFormat="false" ht="15" hidden="false" customHeight="true" outlineLevel="0" collapsed="false">
      <c r="I234" s="8" t="n">
        <f aca="false">IFERROR(H234-G234,"")</f>
        <v>0</v>
      </c>
    </row>
    <row r="235" customFormat="false" ht="15" hidden="false" customHeight="true" outlineLevel="0" collapsed="false">
      <c r="I235" s="8" t="n">
        <f aca="false">IFERROR(H235-G235,"")</f>
        <v>0</v>
      </c>
    </row>
    <row r="236" customFormat="false" ht="15" hidden="false" customHeight="true" outlineLevel="0" collapsed="false">
      <c r="I236" s="8" t="n">
        <f aca="false">IFERROR(H236-G236,"")</f>
        <v>0</v>
      </c>
    </row>
    <row r="237" customFormat="false" ht="15" hidden="false" customHeight="true" outlineLevel="0" collapsed="false">
      <c r="I237" s="8" t="n">
        <f aca="false">IFERROR(H237-G237,"")</f>
        <v>0</v>
      </c>
    </row>
    <row r="238" customFormat="false" ht="15" hidden="false" customHeight="true" outlineLevel="0" collapsed="false">
      <c r="I238" s="8" t="n">
        <f aca="false">IFERROR(H238-G238,"")</f>
        <v>0</v>
      </c>
    </row>
    <row r="239" customFormat="false" ht="15" hidden="false" customHeight="true" outlineLevel="0" collapsed="false">
      <c r="I239" s="8" t="n">
        <f aca="false">IFERROR(H239-G239,"")</f>
        <v>0</v>
      </c>
    </row>
    <row r="240" customFormat="false" ht="15" hidden="false" customHeight="true" outlineLevel="0" collapsed="false">
      <c r="I240" s="8" t="n">
        <f aca="false">IFERROR(H240-G240,"")</f>
        <v>0</v>
      </c>
    </row>
    <row r="241" customFormat="false" ht="15" hidden="false" customHeight="true" outlineLevel="0" collapsed="false">
      <c r="I241" s="8" t="n">
        <f aca="false">IFERROR(H241-G241,"")</f>
        <v>0</v>
      </c>
    </row>
    <row r="242" customFormat="false" ht="15" hidden="false" customHeight="true" outlineLevel="0" collapsed="false">
      <c r="I242" s="8" t="n">
        <f aca="false">IFERROR(H242-G242,"")</f>
        <v>0</v>
      </c>
    </row>
    <row r="243" customFormat="false" ht="15" hidden="false" customHeight="true" outlineLevel="0" collapsed="false">
      <c r="I243" s="8" t="n">
        <f aca="false">IFERROR(H243-G243,"")</f>
        <v>0</v>
      </c>
    </row>
    <row r="244" customFormat="false" ht="15" hidden="false" customHeight="true" outlineLevel="0" collapsed="false">
      <c r="I244" s="8" t="n">
        <f aca="false">IFERROR(H244-G244,"")</f>
        <v>0</v>
      </c>
    </row>
    <row r="245" customFormat="false" ht="15" hidden="false" customHeight="true" outlineLevel="0" collapsed="false">
      <c r="I245" s="8" t="n">
        <f aca="false">IFERROR(H245-G245,"")</f>
        <v>0</v>
      </c>
    </row>
    <row r="246" customFormat="false" ht="15" hidden="false" customHeight="true" outlineLevel="0" collapsed="false">
      <c r="I246" s="8" t="n">
        <f aca="false">IFERROR(H246-G246,"")</f>
        <v>0</v>
      </c>
    </row>
    <row r="247" customFormat="false" ht="15" hidden="false" customHeight="true" outlineLevel="0" collapsed="false">
      <c r="I247" s="8" t="n">
        <f aca="false">IFERROR(H247-G247,"")</f>
        <v>0</v>
      </c>
    </row>
    <row r="248" customFormat="false" ht="15" hidden="false" customHeight="true" outlineLevel="0" collapsed="false">
      <c r="I248" s="8" t="n">
        <f aca="false">IFERROR(H248-G248,"")</f>
        <v>0</v>
      </c>
    </row>
    <row r="249" customFormat="false" ht="15" hidden="false" customHeight="true" outlineLevel="0" collapsed="false">
      <c r="I249" s="8" t="n">
        <f aca="false">IFERROR(H249-G249,"")</f>
        <v>0</v>
      </c>
    </row>
    <row r="250" customFormat="false" ht="15" hidden="false" customHeight="true" outlineLevel="0" collapsed="false">
      <c r="I250" s="8" t="n">
        <f aca="false">IFERROR(H250-G250,"")</f>
        <v>0</v>
      </c>
    </row>
    <row r="251" customFormat="false" ht="15" hidden="false" customHeight="true" outlineLevel="0" collapsed="false">
      <c r="I251" s="8" t="n">
        <f aca="false">IFERROR(H251-G251,"")</f>
        <v>0</v>
      </c>
    </row>
    <row r="252" customFormat="false" ht="15" hidden="false" customHeight="true" outlineLevel="0" collapsed="false">
      <c r="I252" s="8" t="n">
        <f aca="false">IFERROR(H252-G252,"")</f>
        <v>0</v>
      </c>
    </row>
    <row r="253" customFormat="false" ht="15" hidden="false" customHeight="true" outlineLevel="0" collapsed="false">
      <c r="I253" s="8" t="n">
        <f aca="false">IFERROR(H253-G253,"")</f>
        <v>0</v>
      </c>
    </row>
    <row r="254" customFormat="false" ht="15" hidden="false" customHeight="true" outlineLevel="0" collapsed="false">
      <c r="I254" s="8" t="n">
        <f aca="false">IFERROR(H254-G254,"")</f>
        <v>0</v>
      </c>
    </row>
    <row r="255" customFormat="false" ht="15" hidden="false" customHeight="true" outlineLevel="0" collapsed="false">
      <c r="I255" s="8" t="n">
        <f aca="false">IFERROR(H255-G255,"")</f>
        <v>0</v>
      </c>
    </row>
    <row r="256" customFormat="false" ht="15" hidden="false" customHeight="true" outlineLevel="0" collapsed="false">
      <c r="I256" s="8" t="n">
        <f aca="false">IFERROR(H256-G256,"")</f>
        <v>0</v>
      </c>
    </row>
    <row r="257" customFormat="false" ht="15" hidden="false" customHeight="true" outlineLevel="0" collapsed="false">
      <c r="I257" s="8" t="n">
        <f aca="false">IFERROR(H257-G257,"")</f>
        <v>0</v>
      </c>
    </row>
    <row r="258" customFormat="false" ht="15" hidden="false" customHeight="true" outlineLevel="0" collapsed="false">
      <c r="I258" s="8" t="n">
        <f aca="false">IFERROR(H258-G258,"")</f>
        <v>0</v>
      </c>
    </row>
    <row r="259" customFormat="false" ht="15" hidden="false" customHeight="true" outlineLevel="0" collapsed="false">
      <c r="I259" s="8" t="n">
        <f aca="false">IFERROR(H259-G259,"")</f>
        <v>0</v>
      </c>
    </row>
    <row r="260" customFormat="false" ht="15" hidden="false" customHeight="true" outlineLevel="0" collapsed="false">
      <c r="I260" s="8" t="n">
        <f aca="false">IFERROR(H260-G260,"")</f>
        <v>0</v>
      </c>
    </row>
    <row r="261" customFormat="false" ht="15" hidden="false" customHeight="true" outlineLevel="0" collapsed="false">
      <c r="I261" s="8" t="n">
        <f aca="false">IFERROR(H261-G261,"")</f>
        <v>0</v>
      </c>
    </row>
    <row r="262" customFormat="false" ht="15" hidden="false" customHeight="true" outlineLevel="0" collapsed="false">
      <c r="I262" s="8" t="n">
        <f aca="false">IFERROR(H262-G262,"")</f>
        <v>0</v>
      </c>
    </row>
    <row r="263" customFormat="false" ht="15" hidden="false" customHeight="true" outlineLevel="0" collapsed="false">
      <c r="I263" s="8" t="n">
        <f aca="false">IFERROR(H263-G263,"")</f>
        <v>0</v>
      </c>
    </row>
    <row r="264" customFormat="false" ht="15" hidden="false" customHeight="true" outlineLevel="0" collapsed="false">
      <c r="I264" s="8" t="n">
        <f aca="false">IFERROR(H264-G264,"")</f>
        <v>0</v>
      </c>
    </row>
    <row r="265" customFormat="false" ht="15" hidden="false" customHeight="true" outlineLevel="0" collapsed="false">
      <c r="I265" s="8" t="n">
        <f aca="false">IFERROR(H265-G265,"")</f>
        <v>0</v>
      </c>
    </row>
    <row r="266" customFormat="false" ht="15" hidden="false" customHeight="true" outlineLevel="0" collapsed="false">
      <c r="I266" s="8" t="n">
        <f aca="false">IFERROR(H266-G266,"")</f>
        <v>0</v>
      </c>
    </row>
    <row r="267" customFormat="false" ht="15" hidden="false" customHeight="true" outlineLevel="0" collapsed="false">
      <c r="I267" s="8" t="n">
        <f aca="false">IFERROR(H267-G267,"")</f>
        <v>0</v>
      </c>
    </row>
    <row r="268" customFormat="false" ht="15" hidden="false" customHeight="true" outlineLevel="0" collapsed="false">
      <c r="I268" s="8" t="n">
        <f aca="false">IFERROR(H268-G268,"")</f>
        <v>0</v>
      </c>
    </row>
    <row r="269" customFormat="false" ht="15" hidden="false" customHeight="true" outlineLevel="0" collapsed="false">
      <c r="I269" s="8" t="n">
        <f aca="false">IFERROR(H269-G269,"")</f>
        <v>0</v>
      </c>
    </row>
    <row r="270" customFormat="false" ht="15" hidden="false" customHeight="true" outlineLevel="0" collapsed="false">
      <c r="I270" s="8" t="n">
        <f aca="false">IFERROR(H270-G270,"")</f>
        <v>0</v>
      </c>
    </row>
    <row r="271" customFormat="false" ht="15" hidden="false" customHeight="true" outlineLevel="0" collapsed="false">
      <c r="I271" s="8" t="n">
        <f aca="false">IFERROR(H271-G271,"")</f>
        <v>0</v>
      </c>
    </row>
    <row r="272" customFormat="false" ht="15" hidden="false" customHeight="true" outlineLevel="0" collapsed="false">
      <c r="I272" s="8" t="n">
        <f aca="false">IFERROR(H272-G272,"")</f>
        <v>0</v>
      </c>
    </row>
    <row r="273" customFormat="false" ht="15" hidden="false" customHeight="true" outlineLevel="0" collapsed="false">
      <c r="I273" s="8" t="n">
        <f aca="false">IFERROR(H273-G273,"")</f>
        <v>0</v>
      </c>
    </row>
    <row r="274" customFormat="false" ht="15" hidden="false" customHeight="true" outlineLevel="0" collapsed="false">
      <c r="I274" s="8" t="n">
        <f aca="false">IFERROR(H274-G274,"")</f>
        <v>0</v>
      </c>
    </row>
    <row r="275" customFormat="false" ht="15" hidden="false" customHeight="true" outlineLevel="0" collapsed="false">
      <c r="I275" s="8" t="n">
        <f aca="false">IFERROR(H275-G275,"")</f>
        <v>0</v>
      </c>
    </row>
    <row r="276" customFormat="false" ht="15" hidden="false" customHeight="true" outlineLevel="0" collapsed="false">
      <c r="I276" s="8" t="n">
        <f aca="false">IFERROR(H276-G276,"")</f>
        <v>0</v>
      </c>
    </row>
    <row r="277" customFormat="false" ht="15" hidden="false" customHeight="true" outlineLevel="0" collapsed="false">
      <c r="I277" s="8" t="n">
        <f aca="false">IFERROR(H277-G277,"")</f>
        <v>0</v>
      </c>
    </row>
    <row r="278" customFormat="false" ht="15" hidden="false" customHeight="true" outlineLevel="0" collapsed="false">
      <c r="I278" s="8" t="n">
        <f aca="false">IFERROR(H278-G278,"")</f>
        <v>0</v>
      </c>
    </row>
    <row r="279" customFormat="false" ht="15" hidden="false" customHeight="true" outlineLevel="0" collapsed="false">
      <c r="I279" s="8" t="n">
        <f aca="false">IFERROR(H279-G279,"")</f>
        <v>0</v>
      </c>
    </row>
    <row r="280" customFormat="false" ht="15" hidden="false" customHeight="true" outlineLevel="0" collapsed="false">
      <c r="I280" s="8" t="n">
        <f aca="false">IFERROR(H280-G280,"")</f>
        <v>0</v>
      </c>
    </row>
    <row r="281" customFormat="false" ht="15" hidden="false" customHeight="true" outlineLevel="0" collapsed="false">
      <c r="I281" s="8" t="n">
        <f aca="false">IFERROR(H281-G281,"")</f>
        <v>0</v>
      </c>
    </row>
    <row r="282" customFormat="false" ht="15" hidden="false" customHeight="true" outlineLevel="0" collapsed="false">
      <c r="I282" s="8" t="n">
        <f aca="false">IFERROR(H282-G282,"")</f>
        <v>0</v>
      </c>
    </row>
    <row r="283" customFormat="false" ht="15" hidden="false" customHeight="true" outlineLevel="0" collapsed="false">
      <c r="I283" s="8" t="n">
        <f aca="false">IFERROR(H283-G283,"")</f>
        <v>0</v>
      </c>
    </row>
    <row r="284" customFormat="false" ht="15" hidden="false" customHeight="true" outlineLevel="0" collapsed="false">
      <c r="I284" s="8" t="n">
        <f aca="false">IFERROR(H284-G284,"")</f>
        <v>0</v>
      </c>
    </row>
    <row r="285" customFormat="false" ht="15" hidden="false" customHeight="true" outlineLevel="0" collapsed="false">
      <c r="I285" s="8" t="n">
        <f aca="false">IFERROR(H285-G285,"")</f>
        <v>0</v>
      </c>
    </row>
    <row r="286" customFormat="false" ht="15" hidden="false" customHeight="true" outlineLevel="0" collapsed="false">
      <c r="I286" s="8" t="n">
        <f aca="false">IFERROR(H286-G286,"")</f>
        <v>0</v>
      </c>
    </row>
    <row r="287" customFormat="false" ht="15" hidden="false" customHeight="true" outlineLevel="0" collapsed="false">
      <c r="I287" s="8" t="n">
        <f aca="false">IFERROR(H287-G287,"")</f>
        <v>0</v>
      </c>
    </row>
    <row r="288" customFormat="false" ht="15" hidden="false" customHeight="true" outlineLevel="0" collapsed="false">
      <c r="I288" s="8" t="n">
        <f aca="false">IFERROR(H288-G288,"")</f>
        <v>0</v>
      </c>
    </row>
    <row r="289" customFormat="false" ht="15" hidden="false" customHeight="true" outlineLevel="0" collapsed="false">
      <c r="I289" s="8" t="n">
        <f aca="false">IFERROR(H289-G289,"")</f>
        <v>0</v>
      </c>
    </row>
    <row r="290" customFormat="false" ht="15" hidden="false" customHeight="true" outlineLevel="0" collapsed="false">
      <c r="I290" s="8" t="n">
        <f aca="false">IFERROR(H290-G290,"")</f>
        <v>0</v>
      </c>
    </row>
    <row r="291" customFormat="false" ht="15" hidden="false" customHeight="true" outlineLevel="0" collapsed="false">
      <c r="I291" s="8" t="n">
        <f aca="false">IFERROR(H291-G291,"")</f>
        <v>0</v>
      </c>
    </row>
    <row r="292" customFormat="false" ht="15" hidden="false" customHeight="true" outlineLevel="0" collapsed="false">
      <c r="I292" s="8" t="n">
        <f aca="false">IFERROR(H292-G292,"")</f>
        <v>0</v>
      </c>
    </row>
    <row r="293" customFormat="false" ht="15" hidden="false" customHeight="true" outlineLevel="0" collapsed="false">
      <c r="I293" s="8" t="n">
        <f aca="false">IFERROR(H293-G293,"")</f>
        <v>0</v>
      </c>
    </row>
    <row r="294" customFormat="false" ht="15" hidden="false" customHeight="true" outlineLevel="0" collapsed="false">
      <c r="I294" s="8" t="n">
        <f aca="false">IFERROR(H294-G294,"")</f>
        <v>0</v>
      </c>
    </row>
    <row r="295" customFormat="false" ht="15" hidden="false" customHeight="true" outlineLevel="0" collapsed="false">
      <c r="I295" s="8" t="n">
        <f aca="false">IFERROR(H295-G295,"")</f>
        <v>0</v>
      </c>
    </row>
    <row r="296" customFormat="false" ht="15" hidden="false" customHeight="true" outlineLevel="0" collapsed="false">
      <c r="I296" s="8" t="n">
        <f aca="false">IFERROR(H296-G296,"")</f>
        <v>0</v>
      </c>
    </row>
    <row r="297" customFormat="false" ht="15" hidden="false" customHeight="true" outlineLevel="0" collapsed="false">
      <c r="I297" s="8" t="n">
        <f aca="false">IFERROR(H297-G297,"")</f>
        <v>0</v>
      </c>
    </row>
    <row r="298" customFormat="false" ht="15" hidden="false" customHeight="true" outlineLevel="0" collapsed="false">
      <c r="I298" s="8" t="n">
        <f aca="false">IFERROR(H298-G298,"")</f>
        <v>0</v>
      </c>
    </row>
    <row r="299" customFormat="false" ht="15" hidden="false" customHeight="true" outlineLevel="0" collapsed="false">
      <c r="I299" s="8" t="n">
        <f aca="false">IFERROR(H299-G299,"")</f>
        <v>0</v>
      </c>
    </row>
    <row r="300" customFormat="false" ht="15" hidden="false" customHeight="true" outlineLevel="0" collapsed="false">
      <c r="I300" s="8" t="n">
        <f aca="false">IFERROR(H300-G300,"")</f>
        <v>0</v>
      </c>
    </row>
    <row r="301" customFormat="false" ht="15" hidden="false" customHeight="true" outlineLevel="0" collapsed="false">
      <c r="I301" s="8" t="n">
        <f aca="false">IFERROR(H301-G301,"")</f>
        <v>0</v>
      </c>
    </row>
    <row r="302" customFormat="false" ht="15" hidden="false" customHeight="true" outlineLevel="0" collapsed="false">
      <c r="I302" s="8" t="n">
        <f aca="false">IFERROR(H302-G302,"")</f>
        <v>0</v>
      </c>
    </row>
    <row r="303" customFormat="false" ht="15" hidden="false" customHeight="true" outlineLevel="0" collapsed="false">
      <c r="I303" s="8" t="n">
        <f aca="false">IFERROR(H303-G303,"")</f>
        <v>0</v>
      </c>
    </row>
    <row r="304" customFormat="false" ht="15" hidden="false" customHeight="true" outlineLevel="0" collapsed="false">
      <c r="I304" s="8" t="n">
        <f aca="false">IFERROR(H304-G304,"")</f>
        <v>0</v>
      </c>
    </row>
    <row r="305" customFormat="false" ht="15" hidden="false" customHeight="true" outlineLevel="0" collapsed="false">
      <c r="I305" s="8" t="n">
        <f aca="false">IFERROR(H305-G305,"")</f>
        <v>0</v>
      </c>
    </row>
    <row r="306" customFormat="false" ht="15" hidden="false" customHeight="true" outlineLevel="0" collapsed="false">
      <c r="I306" s="8" t="n">
        <f aca="false">IFERROR(H306-G306,"")</f>
        <v>0</v>
      </c>
    </row>
    <row r="307" customFormat="false" ht="15" hidden="false" customHeight="true" outlineLevel="0" collapsed="false">
      <c r="I307" s="8" t="n">
        <f aca="false">IFERROR(H307-G307,"")</f>
        <v>0</v>
      </c>
    </row>
    <row r="308" customFormat="false" ht="15" hidden="false" customHeight="true" outlineLevel="0" collapsed="false">
      <c r="I308" s="8" t="n">
        <f aca="false">IFERROR(H308-G308,"")</f>
        <v>0</v>
      </c>
    </row>
    <row r="309" customFormat="false" ht="15" hidden="false" customHeight="true" outlineLevel="0" collapsed="false">
      <c r="I309" s="8" t="n">
        <f aca="false">IFERROR(H309-G309,"")</f>
        <v>0</v>
      </c>
    </row>
    <row r="310" customFormat="false" ht="15" hidden="false" customHeight="true" outlineLevel="0" collapsed="false">
      <c r="I310" s="8" t="n">
        <f aca="false">IFERROR(H310-G310,"")</f>
        <v>0</v>
      </c>
    </row>
    <row r="311" customFormat="false" ht="15" hidden="false" customHeight="true" outlineLevel="0" collapsed="false">
      <c r="I311" s="8" t="n">
        <f aca="false">IFERROR(H311-G311,"")</f>
        <v>0</v>
      </c>
    </row>
    <row r="312" customFormat="false" ht="15" hidden="false" customHeight="true" outlineLevel="0" collapsed="false">
      <c r="I312" s="8" t="n">
        <f aca="false">IFERROR(H312-G312,"")</f>
        <v>0</v>
      </c>
    </row>
    <row r="313" customFormat="false" ht="15" hidden="false" customHeight="true" outlineLevel="0" collapsed="false">
      <c r="I313" s="8" t="n">
        <f aca="false">IFERROR(H313-G313,"")</f>
        <v>0</v>
      </c>
    </row>
    <row r="314" customFormat="false" ht="15" hidden="false" customHeight="true" outlineLevel="0" collapsed="false">
      <c r="I314" s="8" t="n">
        <f aca="false">IFERROR(H314-G314,"")</f>
        <v>0</v>
      </c>
    </row>
    <row r="315" customFormat="false" ht="15" hidden="false" customHeight="true" outlineLevel="0" collapsed="false">
      <c r="I315" s="8" t="n">
        <f aca="false">IFERROR(H315-G315,"")</f>
        <v>0</v>
      </c>
    </row>
    <row r="316" customFormat="false" ht="15" hidden="false" customHeight="true" outlineLevel="0" collapsed="false">
      <c r="I316" s="8" t="n">
        <f aca="false">IFERROR(H316-G316,"")</f>
        <v>0</v>
      </c>
    </row>
    <row r="317" customFormat="false" ht="15" hidden="false" customHeight="true" outlineLevel="0" collapsed="false">
      <c r="I317" s="8" t="n">
        <f aca="false">IFERROR(H317-G317,"")</f>
        <v>0</v>
      </c>
    </row>
    <row r="318" customFormat="false" ht="15" hidden="false" customHeight="true" outlineLevel="0" collapsed="false">
      <c r="I318" s="8" t="n">
        <f aca="false">IFERROR(H318-G318,"")</f>
        <v>0</v>
      </c>
    </row>
    <row r="319" customFormat="false" ht="15" hidden="false" customHeight="true" outlineLevel="0" collapsed="false">
      <c r="I319" s="8" t="n">
        <f aca="false">IFERROR(H319-G319,"")</f>
        <v>0</v>
      </c>
    </row>
    <row r="320" customFormat="false" ht="15" hidden="false" customHeight="true" outlineLevel="0" collapsed="false">
      <c r="I320" s="8" t="n">
        <f aca="false">IFERROR(H320-G320,"")</f>
        <v>0</v>
      </c>
    </row>
    <row r="321" customFormat="false" ht="15" hidden="false" customHeight="true" outlineLevel="0" collapsed="false">
      <c r="I321" s="8" t="n">
        <f aca="false">IFERROR(H321-G321,"")</f>
        <v>0</v>
      </c>
    </row>
    <row r="322" customFormat="false" ht="15" hidden="false" customHeight="true" outlineLevel="0" collapsed="false">
      <c r="I322" s="8" t="n">
        <f aca="false">IFERROR(H322-G322,"")</f>
        <v>0</v>
      </c>
    </row>
    <row r="323" customFormat="false" ht="15" hidden="false" customHeight="true" outlineLevel="0" collapsed="false">
      <c r="I323" s="8" t="n">
        <f aca="false">IFERROR(H323-G323,"")</f>
        <v>0</v>
      </c>
    </row>
    <row r="324" customFormat="false" ht="15" hidden="false" customHeight="true" outlineLevel="0" collapsed="false">
      <c r="I324" s="8" t="n">
        <f aca="false">IFERROR(H324-G324,"")</f>
        <v>0</v>
      </c>
    </row>
    <row r="325" customFormat="false" ht="15" hidden="false" customHeight="true" outlineLevel="0" collapsed="false">
      <c r="I325" s="8" t="n">
        <f aca="false">IFERROR(H325-G325,"")</f>
        <v>0</v>
      </c>
    </row>
    <row r="326" customFormat="false" ht="15" hidden="false" customHeight="true" outlineLevel="0" collapsed="false">
      <c r="I326" s="8" t="n">
        <f aca="false">IFERROR(H326-G326,"")</f>
        <v>0</v>
      </c>
    </row>
    <row r="327" customFormat="false" ht="15" hidden="false" customHeight="true" outlineLevel="0" collapsed="false">
      <c r="I327" s="8" t="n">
        <f aca="false">IFERROR(H327-G327,"")</f>
        <v>0</v>
      </c>
    </row>
    <row r="328" customFormat="false" ht="15" hidden="false" customHeight="true" outlineLevel="0" collapsed="false">
      <c r="I328" s="8" t="n">
        <f aca="false">IFERROR(H328-G328,"")</f>
        <v>0</v>
      </c>
    </row>
    <row r="329" customFormat="false" ht="15" hidden="false" customHeight="true" outlineLevel="0" collapsed="false">
      <c r="I329" s="8" t="n">
        <f aca="false">IFERROR(H329-G329,"")</f>
        <v>0</v>
      </c>
    </row>
    <row r="330" customFormat="false" ht="15" hidden="false" customHeight="true" outlineLevel="0" collapsed="false">
      <c r="I330" s="8" t="n">
        <f aca="false">IFERROR(H330-G330,"")</f>
        <v>0</v>
      </c>
    </row>
    <row r="331" customFormat="false" ht="15" hidden="false" customHeight="true" outlineLevel="0" collapsed="false">
      <c r="I331" s="8" t="n">
        <f aca="false">IFERROR(H331-G331,"")</f>
        <v>0</v>
      </c>
    </row>
    <row r="332" customFormat="false" ht="15" hidden="false" customHeight="true" outlineLevel="0" collapsed="false">
      <c r="I332" s="8" t="n">
        <f aca="false">IFERROR(H332-G332,"")</f>
        <v>0</v>
      </c>
    </row>
    <row r="333" customFormat="false" ht="15" hidden="false" customHeight="true" outlineLevel="0" collapsed="false">
      <c r="I333" s="8" t="n">
        <f aca="false">IFERROR(H333-G333,"")</f>
        <v>0</v>
      </c>
    </row>
    <row r="334" customFormat="false" ht="15" hidden="false" customHeight="true" outlineLevel="0" collapsed="false">
      <c r="I334" s="8" t="n">
        <f aca="false">IFERROR(H334-G334,"")</f>
        <v>0</v>
      </c>
    </row>
    <row r="335" customFormat="false" ht="15" hidden="false" customHeight="true" outlineLevel="0" collapsed="false">
      <c r="I335" s="8" t="n">
        <f aca="false">IFERROR(H335-G335,"")</f>
        <v>0</v>
      </c>
    </row>
    <row r="336" customFormat="false" ht="15" hidden="false" customHeight="true" outlineLevel="0" collapsed="false">
      <c r="I336" s="8" t="n">
        <f aca="false">IFERROR(H336-G336,"")</f>
        <v>0</v>
      </c>
    </row>
    <row r="337" customFormat="false" ht="15" hidden="false" customHeight="true" outlineLevel="0" collapsed="false">
      <c r="I337" s="8" t="n">
        <f aca="false">IFERROR(H337-G337,"")</f>
        <v>0</v>
      </c>
    </row>
    <row r="338" customFormat="false" ht="15" hidden="false" customHeight="true" outlineLevel="0" collapsed="false">
      <c r="I338" s="8" t="n">
        <f aca="false">IFERROR(H338-G338,"")</f>
        <v>0</v>
      </c>
    </row>
    <row r="339" customFormat="false" ht="15" hidden="false" customHeight="true" outlineLevel="0" collapsed="false">
      <c r="I339" s="8" t="n">
        <f aca="false">IFERROR(H339-G339,"")</f>
        <v>0</v>
      </c>
    </row>
    <row r="340" customFormat="false" ht="15" hidden="false" customHeight="true" outlineLevel="0" collapsed="false">
      <c r="I340" s="8" t="n">
        <f aca="false">IFERROR(H340-G340,"")</f>
        <v>0</v>
      </c>
    </row>
    <row r="341" customFormat="false" ht="15" hidden="false" customHeight="true" outlineLevel="0" collapsed="false">
      <c r="I341" s="8" t="n">
        <f aca="false">IFERROR(H341-G341,"")</f>
        <v>0</v>
      </c>
    </row>
    <row r="342" customFormat="false" ht="15" hidden="false" customHeight="true" outlineLevel="0" collapsed="false">
      <c r="I342" s="8" t="n">
        <f aca="false">IFERROR(H342-G342,"")</f>
        <v>0</v>
      </c>
    </row>
    <row r="343" customFormat="false" ht="15" hidden="false" customHeight="true" outlineLevel="0" collapsed="false">
      <c r="I343" s="8" t="n">
        <f aca="false">IFERROR(H343-G343,"")</f>
        <v>0</v>
      </c>
    </row>
    <row r="344" customFormat="false" ht="15" hidden="false" customHeight="true" outlineLevel="0" collapsed="false">
      <c r="I344" s="8" t="n">
        <f aca="false">IFERROR(H344-G344,"")</f>
        <v>0</v>
      </c>
    </row>
    <row r="345" customFormat="false" ht="15" hidden="false" customHeight="true" outlineLevel="0" collapsed="false">
      <c r="I345" s="8" t="n">
        <f aca="false">IFERROR(H345-G345,"")</f>
        <v>0</v>
      </c>
    </row>
    <row r="346" customFormat="false" ht="15" hidden="false" customHeight="true" outlineLevel="0" collapsed="false">
      <c r="I346" s="8" t="n">
        <f aca="false">IFERROR(H346-G346,"")</f>
        <v>0</v>
      </c>
    </row>
    <row r="347" customFormat="false" ht="15" hidden="false" customHeight="true" outlineLevel="0" collapsed="false">
      <c r="I347" s="8" t="n">
        <f aca="false">IFERROR(H347-G347,"")</f>
        <v>0</v>
      </c>
    </row>
    <row r="348" customFormat="false" ht="15" hidden="false" customHeight="true" outlineLevel="0" collapsed="false">
      <c r="I348" s="8" t="n">
        <f aca="false">IFERROR(H348-G348,"")</f>
        <v>0</v>
      </c>
    </row>
    <row r="349" customFormat="false" ht="15" hidden="false" customHeight="true" outlineLevel="0" collapsed="false">
      <c r="I349" s="8" t="n">
        <f aca="false">IFERROR(H349-G349,"")</f>
        <v>0</v>
      </c>
    </row>
    <row r="350" customFormat="false" ht="15" hidden="false" customHeight="true" outlineLevel="0" collapsed="false">
      <c r="I350" s="8" t="n">
        <f aca="false">IFERROR(H350-G350,"")</f>
        <v>0</v>
      </c>
    </row>
    <row r="351" customFormat="false" ht="15" hidden="false" customHeight="true" outlineLevel="0" collapsed="false">
      <c r="I351" s="8" t="n">
        <f aca="false">IFERROR(H351-G351,"")</f>
        <v>0</v>
      </c>
    </row>
    <row r="352" customFormat="false" ht="15" hidden="false" customHeight="true" outlineLevel="0" collapsed="false">
      <c r="I352" s="8" t="n">
        <f aca="false">IFERROR(H352-G352,"")</f>
        <v>0</v>
      </c>
    </row>
    <row r="353" customFormat="false" ht="15" hidden="false" customHeight="true" outlineLevel="0" collapsed="false">
      <c r="I353" s="8" t="n">
        <f aca="false">IFERROR(H353-G353,"")</f>
        <v>0</v>
      </c>
    </row>
    <row r="354" customFormat="false" ht="15" hidden="false" customHeight="true" outlineLevel="0" collapsed="false">
      <c r="I354" s="8" t="n">
        <f aca="false">IFERROR(H354-G354,"")</f>
        <v>0</v>
      </c>
    </row>
    <row r="355" customFormat="false" ht="15" hidden="false" customHeight="true" outlineLevel="0" collapsed="false">
      <c r="I355" s="8" t="n">
        <f aca="false">IFERROR(H355-G355,"")</f>
        <v>0</v>
      </c>
    </row>
    <row r="356" customFormat="false" ht="15" hidden="false" customHeight="true" outlineLevel="0" collapsed="false">
      <c r="I356" s="8" t="n">
        <f aca="false">IFERROR(H356-G356,"")</f>
        <v>0</v>
      </c>
    </row>
    <row r="357" customFormat="false" ht="15" hidden="false" customHeight="true" outlineLevel="0" collapsed="false">
      <c r="I357" s="8" t="n">
        <f aca="false">IFERROR(H357-G357,"")</f>
        <v>0</v>
      </c>
    </row>
    <row r="358" customFormat="false" ht="15" hidden="false" customHeight="true" outlineLevel="0" collapsed="false">
      <c r="I358" s="8" t="n">
        <f aca="false">IFERROR(H358-G358,"")</f>
        <v>0</v>
      </c>
    </row>
    <row r="359" customFormat="false" ht="15" hidden="false" customHeight="true" outlineLevel="0" collapsed="false">
      <c r="I359" s="8" t="n">
        <f aca="false">IFERROR(H359-G359,"")</f>
        <v>0</v>
      </c>
    </row>
    <row r="360" customFormat="false" ht="15" hidden="false" customHeight="true" outlineLevel="0" collapsed="false">
      <c r="I360" s="8" t="n">
        <f aca="false">IFERROR(H360-G360,"")</f>
        <v>0</v>
      </c>
    </row>
    <row r="361" customFormat="false" ht="15" hidden="false" customHeight="true" outlineLevel="0" collapsed="false">
      <c r="I361" s="8" t="n">
        <f aca="false">IFERROR(H361-G361,"")</f>
        <v>0</v>
      </c>
    </row>
    <row r="362" customFormat="false" ht="15" hidden="false" customHeight="true" outlineLevel="0" collapsed="false">
      <c r="I362" s="8" t="n">
        <f aca="false">IFERROR(H362-G362,"")</f>
        <v>0</v>
      </c>
    </row>
    <row r="363" customFormat="false" ht="15" hidden="false" customHeight="true" outlineLevel="0" collapsed="false">
      <c r="I363" s="8" t="n">
        <f aca="false">IFERROR(H363-G363,"")</f>
        <v>0</v>
      </c>
    </row>
    <row r="364" customFormat="false" ht="15" hidden="false" customHeight="true" outlineLevel="0" collapsed="false">
      <c r="I364" s="8" t="n">
        <f aca="false">IFERROR(H364-G364,"")</f>
        <v>0</v>
      </c>
    </row>
    <row r="365" customFormat="false" ht="15" hidden="false" customHeight="true" outlineLevel="0" collapsed="false">
      <c r="I365" s="8" t="n">
        <f aca="false">IFERROR(H365-G365,"")</f>
        <v>0</v>
      </c>
    </row>
    <row r="366" customFormat="false" ht="15" hidden="false" customHeight="true" outlineLevel="0" collapsed="false">
      <c r="I366" s="8" t="n">
        <f aca="false">IFERROR(H366-G366,"")</f>
        <v>0</v>
      </c>
    </row>
    <row r="367" customFormat="false" ht="15" hidden="false" customHeight="true" outlineLevel="0" collapsed="false">
      <c r="I367" s="8" t="n">
        <f aca="false">IFERROR(H367-G367,"")</f>
        <v>0</v>
      </c>
    </row>
    <row r="368" customFormat="false" ht="15" hidden="false" customHeight="true" outlineLevel="0" collapsed="false">
      <c r="I368" s="8" t="n">
        <f aca="false">IFERROR(H368-G368,"")</f>
        <v>0</v>
      </c>
    </row>
    <row r="369" customFormat="false" ht="15" hidden="false" customHeight="true" outlineLevel="0" collapsed="false">
      <c r="I369" s="8" t="n">
        <f aca="false">IFERROR(H369-G369,"")</f>
        <v>0</v>
      </c>
    </row>
    <row r="370" customFormat="false" ht="15" hidden="false" customHeight="true" outlineLevel="0" collapsed="false">
      <c r="I370" s="8" t="n">
        <f aca="false">IFERROR(H370-G370,"")</f>
        <v>0</v>
      </c>
    </row>
    <row r="371" customFormat="false" ht="15" hidden="false" customHeight="true" outlineLevel="0" collapsed="false">
      <c r="I371" s="8" t="n">
        <f aca="false">IFERROR(H371-G371,"")</f>
        <v>0</v>
      </c>
    </row>
    <row r="372" customFormat="false" ht="15" hidden="false" customHeight="true" outlineLevel="0" collapsed="false">
      <c r="I372" s="8" t="n">
        <f aca="false">IFERROR(H372-G372,"")</f>
        <v>0</v>
      </c>
    </row>
    <row r="373" customFormat="false" ht="15" hidden="false" customHeight="true" outlineLevel="0" collapsed="false">
      <c r="I373" s="8" t="n">
        <f aca="false">IFERROR(H373-G373,"")</f>
        <v>0</v>
      </c>
    </row>
    <row r="374" customFormat="false" ht="15" hidden="false" customHeight="true" outlineLevel="0" collapsed="false">
      <c r="I374" s="8" t="n">
        <f aca="false">IFERROR(H374-G374,"")</f>
        <v>0</v>
      </c>
    </row>
    <row r="375" customFormat="false" ht="15" hidden="false" customHeight="true" outlineLevel="0" collapsed="false">
      <c r="I375" s="8" t="n">
        <f aca="false">IFERROR(H375-G375,"")</f>
        <v>0</v>
      </c>
    </row>
    <row r="376" customFormat="false" ht="15" hidden="false" customHeight="true" outlineLevel="0" collapsed="false">
      <c r="I376" s="8" t="n">
        <f aca="false">IFERROR(H376-G376,"")</f>
        <v>0</v>
      </c>
    </row>
    <row r="377" customFormat="false" ht="15" hidden="false" customHeight="true" outlineLevel="0" collapsed="false">
      <c r="I377" s="8" t="n">
        <f aca="false">IFERROR(H377-G377,"")</f>
        <v>0</v>
      </c>
    </row>
    <row r="378" customFormat="false" ht="15" hidden="false" customHeight="true" outlineLevel="0" collapsed="false">
      <c r="I378" s="8" t="n">
        <f aca="false">IFERROR(H378-G378,"")</f>
        <v>0</v>
      </c>
    </row>
    <row r="379" customFormat="false" ht="15" hidden="false" customHeight="true" outlineLevel="0" collapsed="false">
      <c r="I379" s="8" t="n">
        <f aca="false">IFERROR(H379-G379,"")</f>
        <v>0</v>
      </c>
    </row>
    <row r="380" customFormat="false" ht="15" hidden="false" customHeight="true" outlineLevel="0" collapsed="false">
      <c r="I380" s="8" t="n">
        <f aca="false">IFERROR(H380-G380,"")</f>
        <v>0</v>
      </c>
    </row>
    <row r="381" customFormat="false" ht="15" hidden="false" customHeight="true" outlineLevel="0" collapsed="false">
      <c r="I381" s="8" t="n">
        <f aca="false">IFERROR(H381-G381,"")</f>
        <v>0</v>
      </c>
    </row>
    <row r="382" customFormat="false" ht="15" hidden="false" customHeight="true" outlineLevel="0" collapsed="false">
      <c r="I382" s="8" t="n">
        <f aca="false">IFERROR(H382-G382,"")</f>
        <v>0</v>
      </c>
    </row>
    <row r="383" customFormat="false" ht="15" hidden="false" customHeight="true" outlineLevel="0" collapsed="false">
      <c r="I383" s="8" t="n">
        <f aca="false">IFERROR(H383-G383,"")</f>
        <v>0</v>
      </c>
    </row>
    <row r="384" customFormat="false" ht="15" hidden="false" customHeight="true" outlineLevel="0" collapsed="false">
      <c r="I384" s="8" t="n">
        <f aca="false">IFERROR(H384-G384,"")</f>
        <v>0</v>
      </c>
    </row>
    <row r="385" customFormat="false" ht="15" hidden="false" customHeight="true" outlineLevel="0" collapsed="false">
      <c r="I385" s="8" t="n">
        <f aca="false">IFERROR(H385-G385,"")</f>
        <v>0</v>
      </c>
    </row>
    <row r="386" customFormat="false" ht="15" hidden="false" customHeight="true" outlineLevel="0" collapsed="false">
      <c r="I386" s="8" t="n">
        <f aca="false">IFERROR(H386-G386,"")</f>
        <v>0</v>
      </c>
    </row>
    <row r="387" customFormat="false" ht="15" hidden="false" customHeight="true" outlineLevel="0" collapsed="false">
      <c r="I387" s="8" t="n">
        <f aca="false">IFERROR(H387-G387,"")</f>
        <v>0</v>
      </c>
    </row>
    <row r="388" customFormat="false" ht="15" hidden="false" customHeight="true" outlineLevel="0" collapsed="false">
      <c r="I388" s="8" t="n">
        <f aca="false">IFERROR(H388-G388,"")</f>
        <v>0</v>
      </c>
    </row>
    <row r="389" customFormat="false" ht="15" hidden="false" customHeight="true" outlineLevel="0" collapsed="false">
      <c r="I389" s="8" t="n">
        <f aca="false">IFERROR(H389-G389,"")</f>
        <v>0</v>
      </c>
    </row>
    <row r="390" customFormat="false" ht="15" hidden="false" customHeight="true" outlineLevel="0" collapsed="false">
      <c r="I390" s="8" t="n">
        <f aca="false">IFERROR(H390-G390,"")</f>
        <v>0</v>
      </c>
    </row>
    <row r="391" customFormat="false" ht="15" hidden="false" customHeight="true" outlineLevel="0" collapsed="false">
      <c r="I391" s="8" t="n">
        <f aca="false">IFERROR(H391-G391,"")</f>
        <v>0</v>
      </c>
    </row>
    <row r="392" customFormat="false" ht="15" hidden="false" customHeight="true" outlineLevel="0" collapsed="false">
      <c r="I392" s="8" t="n">
        <f aca="false">IFERROR(H392-G392,"")</f>
        <v>0</v>
      </c>
    </row>
    <row r="393" customFormat="false" ht="15" hidden="false" customHeight="true" outlineLevel="0" collapsed="false">
      <c r="I393" s="8" t="n">
        <f aca="false">IFERROR(H393-G393,"")</f>
        <v>0</v>
      </c>
    </row>
    <row r="394" customFormat="false" ht="15" hidden="false" customHeight="true" outlineLevel="0" collapsed="false">
      <c r="I394" s="8" t="n">
        <f aca="false">IFERROR(H394-G394,"")</f>
        <v>0</v>
      </c>
    </row>
    <row r="395" customFormat="false" ht="15" hidden="false" customHeight="true" outlineLevel="0" collapsed="false">
      <c r="I395" s="8" t="n">
        <f aca="false">IFERROR(H395-G395,"")</f>
        <v>0</v>
      </c>
    </row>
    <row r="396" customFormat="false" ht="15" hidden="false" customHeight="true" outlineLevel="0" collapsed="false">
      <c r="I396" s="8" t="n">
        <f aca="false">IFERROR(H396-G396,"")</f>
        <v>0</v>
      </c>
    </row>
    <row r="397" customFormat="false" ht="15" hidden="false" customHeight="true" outlineLevel="0" collapsed="false">
      <c r="I397" s="8" t="n">
        <f aca="false">IFERROR(H397-G397,"")</f>
        <v>0</v>
      </c>
    </row>
    <row r="398" customFormat="false" ht="15" hidden="false" customHeight="true" outlineLevel="0" collapsed="false">
      <c r="I398" s="8" t="n">
        <f aca="false">IFERROR(H398-G398,"")</f>
        <v>0</v>
      </c>
    </row>
    <row r="399" customFormat="false" ht="15" hidden="false" customHeight="true" outlineLevel="0" collapsed="false">
      <c r="I399" s="8" t="n">
        <f aca="false">IFERROR(H399-G399,"")</f>
        <v>0</v>
      </c>
    </row>
    <row r="400" customFormat="false" ht="15" hidden="false" customHeight="true" outlineLevel="0" collapsed="false">
      <c r="I400" s="8" t="n">
        <f aca="false">IFERROR(H400-G400,"")</f>
        <v>0</v>
      </c>
    </row>
    <row r="401" customFormat="false" ht="15" hidden="false" customHeight="true" outlineLevel="0" collapsed="false">
      <c r="I401" s="8" t="n">
        <f aca="false">IFERROR(H401-G401,"")</f>
        <v>0</v>
      </c>
    </row>
    <row r="402" customFormat="false" ht="15" hidden="false" customHeight="true" outlineLevel="0" collapsed="false">
      <c r="I402" s="8" t="n">
        <f aca="false">IFERROR(H402-G402,"")</f>
        <v>0</v>
      </c>
    </row>
  </sheetData>
  <autoFilter ref="A1:V1"/>
  <dataValidations count="5">
    <dataValidation allowBlank="true" error="Value must come from the list." errorStyle="stop" errorTitle="Controlled vocabulary" operator="between" showDropDown="false" showErrorMessage="false" showInputMessage="false" sqref="J2:J402" type="list">
      <formula1>"1,2,3,4,5"</formula1>
      <formula2>0</formula2>
    </dataValidation>
    <dataValidation allowBlank="true" error="Value must come from the list." errorStyle="stop" errorTitle="Controlled vocabulary" operator="between" showDropDown="false" showErrorMessage="false" showInputMessage="false" sqref="N2:N402" type="list">
      <formula1>"yes,no"</formula1>
      <formula2>0</formula2>
    </dataValidation>
    <dataValidation allowBlank="true" error="Value must come from the list." errorStyle="stop" errorTitle="Controlled vocabulary" operator="between" showDropDown="false" showErrorMessage="false" showInputMessage="false" sqref="O2:O402" type="list">
      <formula1>"A,B,C"</formula1>
      <formula2>0</formula2>
    </dataValidation>
    <dataValidation allowBlank="true" error="Value must come from the list." errorStyle="stop" errorTitle="Controlled vocabulary" operator="between" showDropDown="false" showErrorMessage="false" showInputMessage="false" sqref="P2:P402" type="list">
      <formula1>"first intervention,major new project,unclear"</formula1>
      <formula2>0</formula2>
    </dataValidation>
    <dataValidation allowBlank="true" error="Value must come from the list." errorStyle="stop" errorTitle="Controlled vocabulary" operator="between" showDropDown="false" showErrorMessage="false" showInputMessage="false" sqref="Q2:Q402" type="list">
      <formula1>"core (2020-2021),extension (2019),no,uncertain"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7"/>
    <col collapsed="false" customWidth="true" hidden="false" outlineLevel="0" max="3" min="3" style="1" width="34"/>
    <col collapsed="false" customWidth="true" hidden="false" outlineLevel="0" max="4" min="4" style="1" width="18"/>
    <col collapsed="false" customWidth="true" hidden="false" outlineLevel="0" max="5" min="5" style="1" width="12"/>
    <col collapsed="false" customWidth="true" hidden="false" outlineLevel="0" max="6" min="6" style="1" width="15"/>
    <col collapsed="false" customWidth="true" hidden="false" outlineLevel="0" max="7" min="7" style="1" width="10"/>
    <col collapsed="false" customWidth="true" hidden="false" outlineLevel="0" max="9" min="8" style="1" width="15"/>
    <col collapsed="false" customWidth="true" hidden="false" outlineLevel="0" max="10" min="10" style="1" width="36"/>
    <col collapsed="false" customWidth="true" hidden="false" outlineLevel="0" max="11" min="11" style="1" width="13"/>
    <col collapsed="false" customWidth="true" hidden="false" outlineLevel="0" max="12" min="12" style="1" width="14"/>
    <col collapsed="false" customWidth="true" hidden="false" outlineLevel="0" max="13" min="13" style="1" width="13"/>
    <col collapsed="false" customWidth="true" hidden="false" outlineLevel="0" max="14" min="14" style="1" width="15"/>
    <col collapsed="false" customWidth="true" hidden="false" outlineLevel="0" max="15" min="15" style="1" width="40"/>
    <col collapsed="false" customWidth="true" hidden="false" outlineLevel="0" max="16" min="16" style="1" width="24"/>
  </cols>
  <sheetData>
    <row r="1" customFormat="false" ht="33.75" hidden="false" customHeight="true" outlineLevel="0" collapsed="false">
      <c r="A1" s="15" t="s">
        <v>268</v>
      </c>
      <c r="B1" s="15" t="s">
        <v>269</v>
      </c>
      <c r="C1" s="15" t="s">
        <v>270</v>
      </c>
      <c r="D1" s="15" t="s">
        <v>271</v>
      </c>
      <c r="E1" s="15" t="s">
        <v>272</v>
      </c>
      <c r="F1" s="15" t="s">
        <v>273</v>
      </c>
      <c r="G1" s="15" t="s">
        <v>274</v>
      </c>
      <c r="H1" s="15" t="s">
        <v>275</v>
      </c>
      <c r="I1" s="15" t="s">
        <v>276</v>
      </c>
      <c r="J1" s="15" t="s">
        <v>277</v>
      </c>
      <c r="K1" s="15" t="s">
        <v>278</v>
      </c>
      <c r="L1" s="15" t="s">
        <v>279</v>
      </c>
      <c r="M1" s="15" t="s">
        <v>280</v>
      </c>
      <c r="N1" s="15" t="s">
        <v>281</v>
      </c>
      <c r="O1" s="15" t="s">
        <v>282</v>
      </c>
      <c r="P1" s="15" t="s">
        <v>164</v>
      </c>
      <c r="R1" s="17" t="s">
        <v>283</v>
      </c>
    </row>
    <row r="2" customFormat="false" ht="21.75" hidden="false" customHeight="true" outlineLevel="0" collapsed="false">
      <c r="A2" s="20" t="s">
        <v>245</v>
      </c>
      <c r="B2" s="20" t="s">
        <v>284</v>
      </c>
      <c r="C2" s="20" t="s">
        <v>285</v>
      </c>
      <c r="D2" s="20" t="s">
        <v>286</v>
      </c>
      <c r="E2" s="21"/>
      <c r="F2" s="21"/>
      <c r="G2" s="21"/>
      <c r="H2" s="21"/>
      <c r="I2" s="21"/>
      <c r="J2" s="21" t="s">
        <v>287</v>
      </c>
      <c r="K2" s="21"/>
      <c r="L2" s="21"/>
      <c r="M2" s="21"/>
      <c r="N2" s="21"/>
      <c r="O2" s="21" t="s">
        <v>288</v>
      </c>
      <c r="P2" s="21"/>
    </row>
    <row r="3" customFormat="false" ht="21.75" hidden="false" customHeight="true" outlineLevel="0" collapsed="false">
      <c r="A3" s="20" t="s">
        <v>249</v>
      </c>
      <c r="B3" s="20" t="s">
        <v>289</v>
      </c>
      <c r="C3" s="20" t="s">
        <v>290</v>
      </c>
      <c r="D3" s="20" t="s">
        <v>286</v>
      </c>
      <c r="E3" s="21"/>
      <c r="F3" s="21"/>
      <c r="G3" s="21"/>
      <c r="H3" s="21"/>
      <c r="I3" s="21"/>
      <c r="J3" s="21" t="s">
        <v>291</v>
      </c>
      <c r="K3" s="21"/>
      <c r="L3" s="21"/>
      <c r="M3" s="21"/>
      <c r="N3" s="21"/>
      <c r="O3" s="21"/>
      <c r="P3" s="21"/>
    </row>
    <row r="4" customFormat="false" ht="21.75" hidden="false" customHeight="true" outlineLevel="0" collapsed="false">
      <c r="A4" s="20" t="s">
        <v>254</v>
      </c>
      <c r="B4" s="20" t="s">
        <v>289</v>
      </c>
      <c r="C4" s="20" t="s">
        <v>290</v>
      </c>
      <c r="D4" s="20" t="s">
        <v>286</v>
      </c>
      <c r="E4" s="21"/>
      <c r="F4" s="21"/>
      <c r="G4" s="21"/>
      <c r="H4" s="21"/>
      <c r="I4" s="21"/>
      <c r="J4" s="21" t="s">
        <v>292</v>
      </c>
      <c r="K4" s="21"/>
      <c r="L4" s="21"/>
      <c r="M4" s="21"/>
      <c r="N4" s="21"/>
      <c r="O4" s="21"/>
      <c r="P4" s="21"/>
    </row>
    <row r="5" customFormat="false" ht="21.75" hidden="false" customHeight="true" outlineLevel="0" collapsed="false">
      <c r="A5" s="20" t="s">
        <v>256</v>
      </c>
      <c r="B5" s="20" t="s">
        <v>293</v>
      </c>
      <c r="C5" s="20" t="s">
        <v>294</v>
      </c>
      <c r="D5" s="20" t="s">
        <v>286</v>
      </c>
      <c r="E5" s="21"/>
      <c r="F5" s="21"/>
      <c r="G5" s="21"/>
      <c r="H5" s="21"/>
      <c r="I5" s="21"/>
      <c r="J5" s="21" t="s">
        <v>295</v>
      </c>
      <c r="K5" s="21"/>
      <c r="L5" s="21"/>
      <c r="M5" s="21"/>
      <c r="N5" s="21"/>
      <c r="O5" s="21"/>
      <c r="P5" s="21"/>
    </row>
    <row r="6" customFormat="false" ht="21.75" hidden="false" customHeight="true" outlineLevel="0" collapsed="false">
      <c r="A6" s="20" t="s">
        <v>140</v>
      </c>
      <c r="B6" s="20" t="s">
        <v>289</v>
      </c>
      <c r="C6" s="20" t="s">
        <v>290</v>
      </c>
      <c r="D6" s="20" t="s">
        <v>286</v>
      </c>
      <c r="E6" s="21"/>
      <c r="F6" s="21"/>
      <c r="G6" s="21"/>
      <c r="H6" s="21"/>
      <c r="I6" s="21"/>
      <c r="J6" s="21" t="s">
        <v>296</v>
      </c>
      <c r="K6" s="21"/>
      <c r="L6" s="21"/>
      <c r="M6" s="21"/>
      <c r="N6" s="21"/>
      <c r="O6" s="21"/>
      <c r="P6" s="21"/>
    </row>
    <row r="7" customFormat="false" ht="32.25" hidden="false" customHeight="true" outlineLevel="0" collapsed="false">
      <c r="A7" s="20" t="s">
        <v>124</v>
      </c>
      <c r="B7" s="20" t="s">
        <v>297</v>
      </c>
      <c r="C7" s="20" t="s">
        <v>298</v>
      </c>
      <c r="D7" s="20" t="s">
        <v>286</v>
      </c>
      <c r="E7" s="21"/>
      <c r="F7" s="21"/>
      <c r="G7" s="21"/>
      <c r="H7" s="21"/>
      <c r="I7" s="21"/>
      <c r="J7" s="21" t="s">
        <v>299</v>
      </c>
      <c r="K7" s="21"/>
      <c r="L7" s="21"/>
      <c r="M7" s="21"/>
      <c r="N7" s="21"/>
      <c r="O7" s="21"/>
      <c r="P7" s="21"/>
    </row>
    <row r="8" customFormat="false" ht="32.25" hidden="false" customHeight="true" outlineLevel="0" collapsed="false">
      <c r="A8" s="20" t="s">
        <v>123</v>
      </c>
      <c r="B8" s="20" t="s">
        <v>297</v>
      </c>
      <c r="C8" s="20" t="s">
        <v>300</v>
      </c>
      <c r="D8" s="20" t="s">
        <v>286</v>
      </c>
      <c r="E8" s="21"/>
      <c r="F8" s="21"/>
      <c r="G8" s="21"/>
      <c r="H8" s="21"/>
      <c r="I8" s="21"/>
      <c r="J8" s="21" t="s">
        <v>301</v>
      </c>
      <c r="K8" s="21"/>
      <c r="L8" s="21"/>
      <c r="M8" s="21"/>
      <c r="N8" s="21"/>
      <c r="O8" s="21"/>
      <c r="P8" s="21"/>
    </row>
    <row r="9" customFormat="false" ht="32.25" hidden="false" customHeight="true" outlineLevel="0" collapsed="false">
      <c r="A9" s="20" t="s">
        <v>302</v>
      </c>
      <c r="B9" s="20" t="s">
        <v>297</v>
      </c>
      <c r="C9" s="20" t="s">
        <v>303</v>
      </c>
      <c r="D9" s="20" t="s">
        <v>286</v>
      </c>
      <c r="E9" s="21"/>
      <c r="F9" s="21"/>
      <c r="G9" s="21"/>
      <c r="H9" s="21"/>
      <c r="I9" s="21"/>
      <c r="J9" s="21" t="s">
        <v>304</v>
      </c>
      <c r="K9" s="21"/>
      <c r="L9" s="21"/>
      <c r="M9" s="21"/>
      <c r="N9" s="21"/>
      <c r="O9" s="21"/>
      <c r="P9" s="21"/>
    </row>
    <row r="10" customFormat="false" ht="21.75" hidden="false" customHeight="true" outlineLevel="0" collapsed="false">
      <c r="A10" s="20" t="s">
        <v>305</v>
      </c>
      <c r="B10" s="20" t="s">
        <v>289</v>
      </c>
      <c r="C10" s="20" t="s">
        <v>290</v>
      </c>
      <c r="D10" s="20" t="s">
        <v>286</v>
      </c>
      <c r="E10" s="21"/>
      <c r="F10" s="21"/>
      <c r="G10" s="21"/>
      <c r="H10" s="21"/>
      <c r="I10" s="21"/>
      <c r="J10" s="21" t="s">
        <v>306</v>
      </c>
      <c r="K10" s="21"/>
      <c r="L10" s="21"/>
      <c r="M10" s="21"/>
      <c r="N10" s="21"/>
      <c r="O10" s="21"/>
      <c r="P10" s="21"/>
    </row>
    <row r="11" customFormat="false" ht="15" hidden="false" customHeight="true" outlineLevel="0" collapsed="false">
      <c r="A11" s="20" t="s">
        <v>119</v>
      </c>
      <c r="B11" s="20" t="s">
        <v>297</v>
      </c>
      <c r="C11" s="20" t="s">
        <v>298</v>
      </c>
      <c r="D11" s="20" t="s">
        <v>286</v>
      </c>
      <c r="E11" s="21"/>
      <c r="F11" s="21"/>
      <c r="G11" s="21"/>
      <c r="H11" s="21"/>
      <c r="I11" s="21"/>
      <c r="J11" s="21"/>
      <c r="K11" s="21"/>
      <c r="L11" s="21"/>
      <c r="M11" s="21"/>
      <c r="N11" s="21"/>
      <c r="O11" s="21"/>
      <c r="P11" s="21"/>
    </row>
    <row r="12" customFormat="false" ht="15" hidden="false" customHeight="true" outlineLevel="0" collapsed="false">
      <c r="A12" s="20" t="s">
        <v>142</v>
      </c>
      <c r="B12" s="20" t="s">
        <v>293</v>
      </c>
      <c r="C12" s="20" t="s">
        <v>294</v>
      </c>
      <c r="D12" s="20" t="s">
        <v>286</v>
      </c>
      <c r="E12" s="21"/>
      <c r="F12" s="21"/>
      <c r="G12" s="21"/>
      <c r="H12" s="21"/>
      <c r="I12" s="21"/>
      <c r="J12" s="21"/>
      <c r="K12" s="21"/>
      <c r="L12" s="21"/>
      <c r="M12" s="21"/>
      <c r="N12" s="21"/>
      <c r="O12" s="21"/>
      <c r="P12" s="21"/>
    </row>
    <row r="13" customFormat="false" ht="32.25" hidden="false" customHeight="true" outlineLevel="0" collapsed="false">
      <c r="A13" s="20" t="s">
        <v>307</v>
      </c>
      <c r="B13" s="20" t="s">
        <v>293</v>
      </c>
      <c r="C13" s="20" t="s">
        <v>294</v>
      </c>
      <c r="D13" s="20" t="s">
        <v>308</v>
      </c>
      <c r="E13" s="21"/>
      <c r="F13" s="21"/>
      <c r="G13" s="21"/>
      <c r="H13" s="21"/>
      <c r="I13" s="21"/>
      <c r="J13" s="21" t="s">
        <v>309</v>
      </c>
      <c r="K13" s="21"/>
      <c r="L13" s="21"/>
      <c r="M13" s="21"/>
      <c r="N13" s="21"/>
      <c r="O13" s="21"/>
      <c r="P13" s="21"/>
    </row>
  </sheetData>
  <autoFilter ref="A1:P1"/>
  <dataValidations count="1">
    <dataValidation allowBlank="true" error="Value must come from the list." errorStyle="stop" errorTitle="Controlled vocabulary" operator="between" showDropDown="false" showErrorMessage="false" showInputMessage="false" sqref="B12:B412" type="list">
      <formula1>"categorical,ordered categorical,continuous,date"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9"/>
    <col collapsed="false" customWidth="true" hidden="false" outlineLevel="0" max="3" min="3" style="1" width="26"/>
    <col collapsed="false" customWidth="true" hidden="false" outlineLevel="0" max="5" min="4" style="1" width="17"/>
    <col collapsed="false" customWidth="true" hidden="false" outlineLevel="0" max="7" min="6" style="1" width="40"/>
    <col collapsed="false" customWidth="true" hidden="false" outlineLevel="0" max="8" min="8" style="1" width="17"/>
    <col collapsed="false" customWidth="true" hidden="false" outlineLevel="0" max="9" min="9" style="1" width="11"/>
    <col collapsed="false" customWidth="true" hidden="false" outlineLevel="0" max="12" min="10" style="1" width="15"/>
    <col collapsed="false" customWidth="true" hidden="false" outlineLevel="0" max="13" min="13" style="1" width="13"/>
    <col collapsed="false" customWidth="true" hidden="false" outlineLevel="0" max="14" min="14" style="1" width="32"/>
  </cols>
  <sheetData>
    <row r="1" customFormat="false" ht="33.75" hidden="false" customHeight="true" outlineLevel="0" collapsed="false">
      <c r="A1" s="15" t="s">
        <v>310</v>
      </c>
      <c r="B1" s="15" t="s">
        <v>103</v>
      </c>
      <c r="C1" s="15" t="s">
        <v>268</v>
      </c>
      <c r="D1" s="15" t="s">
        <v>311</v>
      </c>
      <c r="E1" s="15" t="s">
        <v>312</v>
      </c>
      <c r="F1" s="15" t="s">
        <v>313</v>
      </c>
      <c r="G1" s="15" t="s">
        <v>314</v>
      </c>
      <c r="H1" s="15" t="s">
        <v>315</v>
      </c>
      <c r="I1" s="15" t="s">
        <v>316</v>
      </c>
      <c r="J1" s="15" t="s">
        <v>317</v>
      </c>
      <c r="K1" s="15" t="s">
        <v>318</v>
      </c>
      <c r="L1" s="15" t="s">
        <v>319</v>
      </c>
      <c r="M1" s="15" t="s">
        <v>320</v>
      </c>
      <c r="N1" s="15" t="s">
        <v>164</v>
      </c>
      <c r="P1" s="17" t="s">
        <v>321</v>
      </c>
    </row>
    <row r="2" customFormat="false" ht="21.75" hidden="false" customHeight="true" outlineLevel="0" collapsed="false">
      <c r="A2" s="18" t="s">
        <v>322</v>
      </c>
      <c r="B2" s="18" t="s">
        <v>170</v>
      </c>
      <c r="C2" s="18" t="s">
        <v>249</v>
      </c>
      <c r="D2" s="18" t="s">
        <v>323</v>
      </c>
      <c r="E2" s="18" t="s">
        <v>324</v>
      </c>
      <c r="F2" s="18" t="s">
        <v>325</v>
      </c>
      <c r="G2" s="18" t="s">
        <v>326</v>
      </c>
      <c r="H2" s="18" t="s">
        <v>327</v>
      </c>
      <c r="I2" s="18"/>
      <c r="J2" s="18" t="s">
        <v>323</v>
      </c>
      <c r="K2" s="18" t="s">
        <v>189</v>
      </c>
      <c r="L2" s="18" t="s">
        <v>189</v>
      </c>
      <c r="M2" s="18" t="s">
        <v>328</v>
      </c>
      <c r="N2" s="18" t="s">
        <v>329</v>
      </c>
    </row>
  </sheetData>
  <autoFilter ref="A1:N1"/>
  <dataValidations count="2">
    <dataValidation allowBlank="true" error="Value must come from the list." errorStyle="stop" errorTitle="Controlled vocabulary" operator="between" showDropDown="false" showErrorMessage="false" showInputMessage="false" sqref="H2:H402" type="list">
      <formula1>"rule applied,third coder,codebook amended,evidence re-examined,unresolved"</formula1>
      <formula2>0</formula2>
    </dataValidation>
    <dataValidation allowBlank="true" error="Value must come from the list." errorStyle="stop" errorTitle="Controlled vocabulary" operator="between" showDropDown="false" showErrorMessage="false" showInputMessage="false" sqref="K2:L40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9"/>
    <col collapsed="false" customWidth="true" hidden="false" outlineLevel="0" max="3" min="3" style="1" width="11"/>
    <col collapsed="false" customWidth="true" hidden="false" outlineLevel="0" max="4" min="4" style="1" width="20"/>
    <col collapsed="false" customWidth="true" hidden="false" outlineLevel="0" max="5" min="5" style="1" width="38"/>
    <col collapsed="false" customWidth="true" hidden="false" outlineLevel="0" max="6" min="6" style="1" width="32"/>
    <col collapsed="false" customWidth="true" hidden="false" outlineLevel="0" max="7" min="7" style="1" width="15"/>
    <col collapsed="false" customWidth="true" hidden="false" outlineLevel="0" max="8" min="8" style="1" width="13"/>
    <col collapsed="false" customWidth="true" hidden="false" outlineLevel="0" max="9" min="9" style="1" width="15"/>
    <col collapsed="false" customWidth="true" hidden="false" outlineLevel="0" max="10" min="10" style="1" width="28"/>
    <col collapsed="false" customWidth="true" hidden="false" outlineLevel="0" max="11" min="11" style="1" width="38"/>
    <col collapsed="false" customWidth="true" hidden="false" outlineLevel="0" max="12" min="12" style="1" width="12"/>
    <col collapsed="false" customWidth="true" hidden="false" outlineLevel="0" max="13" min="13" style="1" width="13"/>
    <col collapsed="false" customWidth="true" hidden="false" outlineLevel="0" max="14" min="14" style="1" width="22"/>
    <col collapsed="false" customWidth="true" hidden="false" outlineLevel="0" max="15" min="15" style="1" width="15"/>
    <col collapsed="false" customWidth="true" hidden="false" outlineLevel="0" max="16" min="16" style="1" width="30"/>
    <col collapsed="false" customWidth="true" hidden="false" outlineLevel="0" max="17" min="17" style="1" width="20"/>
  </cols>
  <sheetData>
    <row r="1" customFormat="false" ht="33.75" hidden="false" customHeight="true" outlineLevel="0" collapsed="false">
      <c r="A1" s="15" t="s">
        <v>230</v>
      </c>
      <c r="B1" s="15" t="s">
        <v>103</v>
      </c>
      <c r="C1" s="15" t="s">
        <v>231</v>
      </c>
      <c r="D1" s="15" t="s">
        <v>330</v>
      </c>
      <c r="E1" s="15" t="s">
        <v>331</v>
      </c>
      <c r="F1" s="15" t="s">
        <v>332</v>
      </c>
      <c r="G1" s="15" t="s">
        <v>333</v>
      </c>
      <c r="H1" s="15" t="s">
        <v>334</v>
      </c>
      <c r="I1" s="15" t="s">
        <v>232</v>
      </c>
      <c r="J1" s="15" t="s">
        <v>335</v>
      </c>
      <c r="K1" s="15" t="s">
        <v>336</v>
      </c>
      <c r="L1" s="15" t="s">
        <v>337</v>
      </c>
      <c r="M1" s="15" t="s">
        <v>338</v>
      </c>
      <c r="N1" s="15" t="s">
        <v>339</v>
      </c>
      <c r="O1" s="15" t="s">
        <v>340</v>
      </c>
      <c r="P1" s="15" t="s">
        <v>164</v>
      </c>
      <c r="Q1" s="16" t="s">
        <v>341</v>
      </c>
      <c r="R1" s="17"/>
      <c r="S1" s="17" t="s">
        <v>342</v>
      </c>
    </row>
    <row r="2" customFormat="false" ht="21.75" hidden="false" customHeight="true" outlineLevel="0" collapsed="false">
      <c r="A2" s="18" t="s">
        <v>238</v>
      </c>
      <c r="B2" s="18" t="s">
        <v>170</v>
      </c>
      <c r="C2" s="18" t="s">
        <v>184</v>
      </c>
      <c r="D2" s="18" t="s">
        <v>343</v>
      </c>
      <c r="E2" s="18" t="s">
        <v>344</v>
      </c>
      <c r="F2" s="18" t="s">
        <v>345</v>
      </c>
      <c r="G2" s="18" t="n">
        <v>2019</v>
      </c>
      <c r="H2" s="18" t="s">
        <v>346</v>
      </c>
      <c r="I2" s="18" t="s">
        <v>239</v>
      </c>
      <c r="J2" s="18" t="s">
        <v>347</v>
      </c>
      <c r="K2" s="18" t="s">
        <v>348</v>
      </c>
      <c r="L2" s="18" t="s">
        <v>349</v>
      </c>
      <c r="M2" s="18" t="s">
        <v>181</v>
      </c>
      <c r="N2" s="18" t="s">
        <v>350</v>
      </c>
      <c r="O2" s="18" t="s">
        <v>181</v>
      </c>
      <c r="P2" s="18" t="s">
        <v>351</v>
      </c>
      <c r="Q2" s="19" t="s">
        <v>352</v>
      </c>
    </row>
  </sheetData>
  <autoFilter ref="A1:Q1"/>
  <dataValidations count="3">
    <dataValidation allowBlank="true" error="Value must come from the list." errorStyle="stop" errorTitle="Controlled vocabulary" operator="between" showDropDown="false" showErrorMessage="false" showInputMessage="false" sqref="C2:C402" type="list">
      <formula1>"S1,S2,S3,S4,S5,S6,S7,S8"</formula1>
      <formula2>0</formula2>
    </dataValidation>
    <dataValidation allowBlank="true" error="Value must come from the list." errorStyle="stop" errorTitle="Controlled vocabulary" operator="between" showDropDown="false" showErrorMessage="false" showInputMessage="false" sqref="I2:I402" type="list">
      <formula1>"full text,abstract only,record only,unreachable"</formula1>
      <formula2>0</formula2>
    </dataValidation>
    <dataValidation allowBlank="true" error="Value must come from the list." errorStyle="stop" errorTitle="Controlled vocabulary" operator="between" showDropDown="false" showErrorMessage="false" showInputMessage="false" sqref="M2:M402 O2:O40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3" min="3" style="1" width="18"/>
    <col collapsed="false" customWidth="true" hidden="false" outlineLevel="0" max="4" min="4" style="1" width="46"/>
    <col collapsed="false" customWidth="true" hidden="false" outlineLevel="0" max="5" min="5" style="1" width="16"/>
    <col collapsed="false" customWidth="true" hidden="false" outlineLevel="0" max="6" min="6" style="1" width="12"/>
    <col collapsed="false" customWidth="true" hidden="false" outlineLevel="0" max="7" min="7" style="1" width="14"/>
    <col collapsed="false" customWidth="true" hidden="false" outlineLevel="0" max="8" min="8" style="1" width="13"/>
    <col collapsed="false" customWidth="true" hidden="false" outlineLevel="0" max="9" min="9" style="1" width="14"/>
    <col collapsed="false" customWidth="true" hidden="false" outlineLevel="0" max="10" min="10" style="1" width="13"/>
    <col collapsed="false" customWidth="true" hidden="false" outlineLevel="0" max="11" min="11" style="1" width="9"/>
    <col collapsed="false" customWidth="true" hidden="false" outlineLevel="0" max="12" min="12" style="1" width="30"/>
  </cols>
  <sheetData>
    <row r="1" customFormat="false" ht="33.75" hidden="false" customHeight="true" outlineLevel="0" collapsed="false">
      <c r="A1" s="15" t="s">
        <v>103</v>
      </c>
      <c r="B1" s="15" t="s">
        <v>353</v>
      </c>
      <c r="C1" s="15" t="s">
        <v>354</v>
      </c>
      <c r="D1" s="15" t="s">
        <v>355</v>
      </c>
      <c r="E1" s="15" t="s">
        <v>337</v>
      </c>
      <c r="F1" s="15" t="s">
        <v>356</v>
      </c>
      <c r="G1" s="15" t="s">
        <v>357</v>
      </c>
      <c r="H1" s="15" t="s">
        <v>358</v>
      </c>
      <c r="I1" s="15" t="s">
        <v>359</v>
      </c>
      <c r="J1" s="15" t="s">
        <v>360</v>
      </c>
      <c r="K1" s="15" t="s">
        <v>160</v>
      </c>
      <c r="L1" s="15" t="s">
        <v>164</v>
      </c>
      <c r="N1" s="17" t="s">
        <v>361</v>
      </c>
    </row>
    <row r="2" customFormat="false" ht="21.75" hidden="false" customHeight="true" outlineLevel="0" collapsed="false">
      <c r="A2" s="18" t="s">
        <v>170</v>
      </c>
      <c r="B2" s="18" t="s">
        <v>362</v>
      </c>
      <c r="C2" s="18" t="s">
        <v>363</v>
      </c>
      <c r="D2" s="18" t="s">
        <v>364</v>
      </c>
      <c r="E2" s="18" t="s">
        <v>202</v>
      </c>
      <c r="F2" s="18" t="n">
        <v>4</v>
      </c>
      <c r="G2" s="18" t="n">
        <v>2</v>
      </c>
      <c r="H2" s="18" t="n">
        <v>1</v>
      </c>
      <c r="I2" s="18" t="s">
        <v>365</v>
      </c>
      <c r="J2" s="18" t="s">
        <v>346</v>
      </c>
      <c r="K2" s="18" t="s">
        <v>204</v>
      </c>
      <c r="L2" s="18" t="s">
        <v>366</v>
      </c>
    </row>
  </sheetData>
  <autoFilter ref="A1:L1"/>
  <dataValidations count="2">
    <dataValidation allowBlank="true" error="Value must come from the list." errorStyle="stop" errorTitle="Controlled vocabulary" operator="between" showDropDown="false" showErrorMessage="false" showInputMessage="false" sqref="C2:C402" type="list">
      <formula1>"academic,thesis portal,grey - funding,grey - government,grey - NGO,registry,directory,news,archive"</formula1>
      <formula2>0</formula2>
    </dataValidation>
    <dataValidation allowBlank="true" error="Value must come from the list." errorStyle="stop" errorTitle="Controlled vocabulary" operator="between" showDropDown="false" showErrorMessage="false" showInputMessage="false" sqref="I2:I402" type="list">
      <formula1>"hits found,none found,unreachable,paywalled"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9"/>
    <col collapsed="false" customWidth="true" hidden="false" outlineLevel="0" max="3" min="3" style="1" width="32"/>
    <col collapsed="false" customWidth="true" hidden="false" outlineLevel="0" max="4" min="4" style="1" width="12"/>
    <col collapsed="false" customWidth="true" hidden="false" outlineLevel="0" max="5" min="5" style="1" width="11"/>
    <col collapsed="false" customWidth="true" hidden="false" outlineLevel="0" max="6" min="6" style="1" width="14"/>
    <col collapsed="false" customWidth="true" hidden="false" outlineLevel="0" max="8" min="7" style="1" width="13"/>
    <col collapsed="false" customWidth="true" hidden="false" outlineLevel="0" max="9" min="9" style="1" width="17"/>
    <col collapsed="false" customWidth="true" hidden="false" outlineLevel="0" max="10" min="10" style="1" width="20"/>
    <col collapsed="false" customWidth="true" hidden="false" outlineLevel="0" max="11" min="11" style="1" width="15"/>
    <col collapsed="false" customWidth="true" hidden="false" outlineLevel="0" max="13" min="12" style="1" width="26"/>
    <col collapsed="false" customWidth="true" hidden="false" outlineLevel="0" max="14" min="14" style="1" width="28"/>
    <col collapsed="false" customWidth="true" hidden="false" outlineLevel="0" max="15" min="15" style="1" width="11"/>
    <col collapsed="false" customWidth="true" hidden="false" outlineLevel="0" max="16" min="16" style="1" width="17"/>
    <col collapsed="false" customWidth="true" hidden="false" outlineLevel="0" max="17" min="17" style="1" width="15"/>
    <col collapsed="false" customWidth="true" hidden="false" outlineLevel="0" max="18" min="18" style="1" width="9"/>
    <col collapsed="false" customWidth="true" hidden="false" outlineLevel="0" max="19" min="19" style="1" width="30"/>
  </cols>
  <sheetData>
    <row r="1" customFormat="false" ht="33.75" hidden="false" customHeight="true" outlineLevel="0" collapsed="false">
      <c r="A1" s="15" t="s">
        <v>367</v>
      </c>
      <c r="B1" s="15" t="s">
        <v>103</v>
      </c>
      <c r="C1" s="15" t="s">
        <v>368</v>
      </c>
      <c r="D1" s="15" t="s">
        <v>369</v>
      </c>
      <c r="E1" s="15" t="s">
        <v>370</v>
      </c>
      <c r="F1" s="15" t="s">
        <v>371</v>
      </c>
      <c r="G1" s="15" t="s">
        <v>372</v>
      </c>
      <c r="H1" s="15" t="s">
        <v>373</v>
      </c>
      <c r="I1" s="15" t="s">
        <v>374</v>
      </c>
      <c r="J1" s="15" t="s">
        <v>375</v>
      </c>
      <c r="K1" s="15" t="s">
        <v>376</v>
      </c>
      <c r="L1" s="15" t="s">
        <v>377</v>
      </c>
      <c r="M1" s="15" t="s">
        <v>378</v>
      </c>
      <c r="N1" s="15" t="s">
        <v>379</v>
      </c>
      <c r="O1" s="15" t="s">
        <v>231</v>
      </c>
      <c r="P1" s="15" t="s">
        <v>380</v>
      </c>
      <c r="Q1" s="15" t="s">
        <v>381</v>
      </c>
      <c r="R1" s="15" t="s">
        <v>160</v>
      </c>
      <c r="S1" s="15" t="s">
        <v>164</v>
      </c>
      <c r="U1" s="17" t="s">
        <v>382</v>
      </c>
    </row>
    <row r="2" customFormat="false" ht="21.75" hidden="false" customHeight="true" outlineLevel="0" collapsed="false">
      <c r="A2" s="18" t="s">
        <v>383</v>
      </c>
      <c r="B2" s="18" t="s">
        <v>170</v>
      </c>
      <c r="C2" s="18" t="s">
        <v>384</v>
      </c>
      <c r="D2" s="18" t="s">
        <v>385</v>
      </c>
      <c r="E2" s="18" t="s">
        <v>386</v>
      </c>
      <c r="F2" s="18" t="s">
        <v>387</v>
      </c>
      <c r="G2" s="18" t="s">
        <v>388</v>
      </c>
      <c r="H2" s="18" t="s">
        <v>181</v>
      </c>
      <c r="I2" s="18" t="s">
        <v>181</v>
      </c>
      <c r="J2" s="18" t="s">
        <v>189</v>
      </c>
      <c r="K2" s="18" t="s">
        <v>189</v>
      </c>
      <c r="L2" s="18" t="s">
        <v>389</v>
      </c>
      <c r="M2" s="18" t="s">
        <v>390</v>
      </c>
      <c r="N2" s="18" t="s">
        <v>391</v>
      </c>
      <c r="O2" s="18" t="s">
        <v>392</v>
      </c>
      <c r="P2" s="18" t="s">
        <v>189</v>
      </c>
      <c r="Q2" s="18" t="s">
        <v>393</v>
      </c>
      <c r="R2" s="18" t="s">
        <v>204</v>
      </c>
      <c r="S2" s="18" t="s">
        <v>394</v>
      </c>
    </row>
  </sheetData>
  <autoFilter ref="A1:S1"/>
  <dataValidations count="4">
    <dataValidation allowBlank="true" error="Value must come from the list." errorStyle="stop" errorTitle="Controlled vocabulary" operator="between" showDropDown="false" showErrorMessage="false" showInputMessage="false" sqref="E2:E402" type="list">
      <formula1>"email,web form,postal,telephone,in person,via network"</formula1>
      <formula2>0</formula2>
    </dataValidation>
    <dataValidation allowBlank="true" error="Value must come from the list." errorStyle="stop" errorTitle="Controlled vocabulary" operator="between" showDropDown="false" showErrorMessage="false" showInputMessage="false" sqref="F2:F402" type="list">
      <formula1>"sent - no reply,responded,declined,undeliverable,not contacted"</formula1>
      <formula2>0</formula2>
    </dataValidation>
    <dataValidation allowBlank="true" error="Value must come from the list." errorStyle="stop" errorTitle="Controlled vocabulary" operator="between" showDropDown="false" showErrorMessage="false" showInputMessage="false" sqref="H2:K402 P2:P402" type="list">
      <formula1>"yes,no,not addressed"</formula1>
      <formula2>0</formula2>
    </dataValidation>
    <dataValidation allowBlank="true" error="Value must come from the list." errorStyle="stop" errorTitle="Controlled vocabulary" operator="between" showDropDown="false" showErrorMessage="false" showInputMessage="false" sqref="O2:O402" type="list">
      <formula1>"S1,S2,S3,S4,S5,S6,S7,S8"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2"/>
    <col collapsed="false" customWidth="true" hidden="false" outlineLevel="0" max="3" min="3" style="1" width="30"/>
    <col collapsed="false" customWidth="true" hidden="false" outlineLevel="0" max="4" min="4" style="1" width="50"/>
    <col collapsed="false" customWidth="true" hidden="false" outlineLevel="0" max="5" min="5" style="1" width="32"/>
    <col collapsed="false" customWidth="true" hidden="false" outlineLevel="0" max="6" min="6" style="1" width="13"/>
    <col collapsed="false" customWidth="true" hidden="false" outlineLevel="0" max="7" min="7" style="1" width="17"/>
    <col collapsed="false" customWidth="true" hidden="false" outlineLevel="0" max="8" min="8" style="1" width="20"/>
    <col collapsed="false" customWidth="true" hidden="false" outlineLevel="0" max="9" min="9" style="1" width="26"/>
  </cols>
  <sheetData>
    <row r="1" customFormat="false" ht="33.75" hidden="false" customHeight="true" outlineLevel="0" collapsed="false">
      <c r="A1" s="15" t="s">
        <v>395</v>
      </c>
      <c r="B1" s="15" t="s">
        <v>228</v>
      </c>
      <c r="C1" s="15" t="s">
        <v>396</v>
      </c>
      <c r="D1" s="15" t="s">
        <v>397</v>
      </c>
      <c r="E1" s="15" t="s">
        <v>398</v>
      </c>
      <c r="F1" s="15" t="s">
        <v>399</v>
      </c>
      <c r="G1" s="15" t="s">
        <v>400</v>
      </c>
      <c r="H1" s="15" t="s">
        <v>401</v>
      </c>
      <c r="I1" s="15" t="s">
        <v>164</v>
      </c>
      <c r="K1" s="17" t="s">
        <v>402</v>
      </c>
    </row>
    <row r="2" customFormat="false" ht="15" hidden="false" customHeight="true" outlineLevel="0" collapsed="false">
      <c r="A2" s="20" t="s">
        <v>403</v>
      </c>
      <c r="B2" s="20" t="s">
        <v>210</v>
      </c>
      <c r="C2" s="20" t="s">
        <v>404</v>
      </c>
      <c r="D2" s="20" t="s">
        <v>405</v>
      </c>
      <c r="E2" s="20" t="s">
        <v>406</v>
      </c>
      <c r="F2" s="21" t="s">
        <v>407</v>
      </c>
      <c r="G2" s="21"/>
      <c r="H2" s="21"/>
      <c r="I2" s="21"/>
    </row>
    <row r="3" customFormat="false" ht="32.25" hidden="false" customHeight="true" outlineLevel="0" collapsed="false">
      <c r="A3" s="20" t="s">
        <v>408</v>
      </c>
      <c r="B3" s="20" t="s">
        <v>211</v>
      </c>
      <c r="C3" s="20" t="s">
        <v>409</v>
      </c>
      <c r="D3" s="20" t="s">
        <v>410</v>
      </c>
      <c r="E3" s="20" t="s">
        <v>411</v>
      </c>
      <c r="F3" s="21" t="s">
        <v>407</v>
      </c>
      <c r="G3" s="21"/>
      <c r="H3" s="21"/>
      <c r="I3" s="21"/>
    </row>
    <row r="4" customFormat="false" ht="32.25" hidden="false" customHeight="true" outlineLevel="0" collapsed="false">
      <c r="A4" s="20" t="s">
        <v>412</v>
      </c>
      <c r="B4" s="20" t="s">
        <v>212</v>
      </c>
      <c r="C4" s="20" t="s">
        <v>413</v>
      </c>
      <c r="D4" s="20" t="s">
        <v>414</v>
      </c>
      <c r="E4" s="20" t="s">
        <v>406</v>
      </c>
      <c r="F4" s="21" t="s">
        <v>407</v>
      </c>
      <c r="G4" s="21"/>
      <c r="H4" s="21"/>
      <c r="I4" s="21"/>
    </row>
    <row r="5" customFormat="false" ht="15" hidden="false" customHeight="true" outlineLevel="0" collapsed="false">
      <c r="A5" s="20" t="s">
        <v>415</v>
      </c>
      <c r="B5" s="20" t="s">
        <v>213</v>
      </c>
      <c r="C5" s="20" t="s">
        <v>416</v>
      </c>
      <c r="D5" s="20" t="s">
        <v>417</v>
      </c>
      <c r="E5" s="20" t="s">
        <v>418</v>
      </c>
      <c r="F5" s="21" t="s">
        <v>407</v>
      </c>
      <c r="G5" s="21"/>
      <c r="H5" s="21"/>
      <c r="I5" s="21"/>
    </row>
    <row r="6" customFormat="false" ht="21.75" hidden="false" customHeight="true" outlineLevel="0" collapsed="false">
      <c r="A6" s="20" t="s">
        <v>419</v>
      </c>
      <c r="B6" s="20" t="s">
        <v>214</v>
      </c>
      <c r="C6" s="20" t="s">
        <v>420</v>
      </c>
      <c r="D6" s="20" t="s">
        <v>421</v>
      </c>
      <c r="E6" s="20" t="s">
        <v>422</v>
      </c>
      <c r="F6" s="21" t="s">
        <v>407</v>
      </c>
      <c r="G6" s="21"/>
      <c r="H6" s="21"/>
      <c r="I6" s="21"/>
    </row>
    <row r="7" customFormat="false" ht="15" hidden="false" customHeight="true" outlineLevel="0" collapsed="false">
      <c r="A7" s="20" t="s">
        <v>423</v>
      </c>
      <c r="B7" s="20" t="s">
        <v>215</v>
      </c>
      <c r="C7" s="20" t="s">
        <v>424</v>
      </c>
      <c r="D7" s="20" t="s">
        <v>425</v>
      </c>
      <c r="E7" s="20" t="s">
        <v>426</v>
      </c>
      <c r="F7" s="21" t="s">
        <v>407</v>
      </c>
      <c r="G7" s="21"/>
      <c r="H7" s="21"/>
      <c r="I7" s="21"/>
    </row>
    <row r="8" customFormat="false" ht="21.75" hidden="false" customHeight="true" outlineLevel="0" collapsed="false">
      <c r="A8" s="20" t="s">
        <v>427</v>
      </c>
      <c r="B8" s="20" t="s">
        <v>216</v>
      </c>
      <c r="C8" s="20" t="s">
        <v>428</v>
      </c>
      <c r="D8" s="20" t="s">
        <v>429</v>
      </c>
      <c r="E8" s="20" t="s">
        <v>430</v>
      </c>
      <c r="F8" s="21" t="s">
        <v>407</v>
      </c>
      <c r="G8" s="21"/>
      <c r="H8" s="21"/>
      <c r="I8" s="21"/>
    </row>
    <row r="9" customFormat="false" ht="15" hidden="false" customHeight="true" outlineLevel="0" collapsed="false">
      <c r="A9" s="20" t="s">
        <v>431</v>
      </c>
      <c r="B9" s="20" t="s">
        <v>217</v>
      </c>
      <c r="C9" s="20" t="s">
        <v>432</v>
      </c>
      <c r="D9" s="20" t="s">
        <v>433</v>
      </c>
      <c r="E9" s="20" t="s">
        <v>434</v>
      </c>
      <c r="F9" s="21" t="s">
        <v>407</v>
      </c>
      <c r="G9" s="21"/>
      <c r="H9" s="21"/>
      <c r="I9" s="21"/>
    </row>
    <row r="10" customFormat="false" ht="21.75" hidden="false" customHeight="true" outlineLevel="0" collapsed="false">
      <c r="A10" s="20" t="s">
        <v>435</v>
      </c>
      <c r="B10" s="20" t="s">
        <v>218</v>
      </c>
      <c r="C10" s="20" t="s">
        <v>436</v>
      </c>
      <c r="D10" s="20" t="s">
        <v>437</v>
      </c>
      <c r="E10" s="20" t="s">
        <v>438</v>
      </c>
      <c r="F10" s="21" t="s">
        <v>407</v>
      </c>
      <c r="G10" s="21"/>
      <c r="H10" s="21"/>
      <c r="I10" s="21"/>
    </row>
    <row r="11" customFormat="false" ht="32.25" hidden="false" customHeight="true" outlineLevel="0" collapsed="false">
      <c r="A11" s="20" t="s">
        <v>439</v>
      </c>
      <c r="B11" s="20" t="s">
        <v>219</v>
      </c>
      <c r="C11" s="20" t="s">
        <v>440</v>
      </c>
      <c r="D11" s="20" t="s">
        <v>441</v>
      </c>
      <c r="E11" s="20" t="s">
        <v>442</v>
      </c>
      <c r="F11" s="21" t="s">
        <v>407</v>
      </c>
      <c r="G11" s="21"/>
      <c r="H11" s="21"/>
      <c r="I11" s="21"/>
    </row>
    <row r="12" customFormat="false" ht="15" hidden="false" customHeight="true" outlineLevel="0" collapsed="false">
      <c r="A12" s="20" t="s">
        <v>443</v>
      </c>
      <c r="B12" s="20" t="s">
        <v>220</v>
      </c>
      <c r="C12" s="20" t="s">
        <v>444</v>
      </c>
      <c r="D12" s="20" t="s">
        <v>445</v>
      </c>
      <c r="E12" s="20" t="s">
        <v>446</v>
      </c>
      <c r="F12" s="21" t="s">
        <v>407</v>
      </c>
      <c r="G12" s="21"/>
      <c r="H12" s="21"/>
      <c r="I12" s="21"/>
    </row>
    <row r="13" customFormat="false" ht="21.75" hidden="false" customHeight="true" outlineLevel="0" collapsed="false">
      <c r="A13" s="20" t="s">
        <v>447</v>
      </c>
      <c r="B13" s="20" t="s">
        <v>221</v>
      </c>
      <c r="C13" s="20" t="s">
        <v>448</v>
      </c>
      <c r="D13" s="20" t="s">
        <v>449</v>
      </c>
      <c r="E13" s="20" t="s">
        <v>450</v>
      </c>
      <c r="F13" s="21" t="s">
        <v>407</v>
      </c>
      <c r="G13" s="21"/>
      <c r="H13" s="21"/>
      <c r="I13" s="21"/>
    </row>
    <row r="14" customFormat="false" ht="21.75" hidden="false" customHeight="true" outlineLevel="0" collapsed="false">
      <c r="A14" s="20" t="s">
        <v>451</v>
      </c>
      <c r="B14" s="20" t="s">
        <v>222</v>
      </c>
      <c r="C14" s="20" t="s">
        <v>452</v>
      </c>
      <c r="D14" s="20" t="s">
        <v>453</v>
      </c>
      <c r="E14" s="20" t="s">
        <v>454</v>
      </c>
      <c r="F14" s="21" t="s">
        <v>407</v>
      </c>
      <c r="G14" s="21"/>
      <c r="H14" s="21"/>
      <c r="I14" s="21"/>
    </row>
  </sheetData>
  <autoFilter ref="A1:I1"/>
  <dataValidations count="1">
    <dataValidation allowBlank="true" error="Value must come from the list." errorStyle="stop" errorTitle="Controlled vocabulary" operator="between" showDropDown="false" showErrorMessage="false" showInputMessage="false" sqref="H15:H41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4" min="3" style="1" width="14"/>
    <col collapsed="false" customWidth="true" hidden="false" outlineLevel="0" max="5" min="5" style="1" width="16"/>
    <col collapsed="false" customWidth="true" hidden="false" outlineLevel="0" max="6" min="6" style="1" width="17"/>
    <col collapsed="false" customWidth="true" hidden="false" outlineLevel="0" max="7" min="7" style="1" width="15"/>
    <col collapsed="false" customWidth="true" hidden="false" outlineLevel="0" max="9" min="8" style="1" width="14"/>
    <col collapsed="false" customWidth="true" hidden="false" outlineLevel="0" max="10" min="10" style="1" width="12"/>
    <col collapsed="false" customWidth="true" hidden="false" outlineLevel="0" max="11" min="11" style="1" width="13"/>
    <col collapsed="false" customWidth="true" hidden="false" outlineLevel="0" max="12" min="12" style="1" width="11"/>
    <col collapsed="false" customWidth="true" hidden="false" outlineLevel="0" max="13" min="13" style="1" width="14"/>
    <col collapsed="false" customWidth="true" hidden="false" outlineLevel="0" max="15" min="14" style="1" width="16"/>
    <col collapsed="false" customWidth="true" hidden="false" outlineLevel="0" max="16" min="16" style="1" width="15"/>
    <col collapsed="false" customWidth="true" hidden="false" outlineLevel="0" max="17" min="17" style="1" width="16"/>
    <col collapsed="false" customWidth="true" hidden="false" outlineLevel="0" max="18" min="18" style="1" width="34"/>
    <col collapsed="false" customWidth="true" hidden="false" outlineLevel="0" max="19" min="19" style="1" width="11"/>
    <col collapsed="false" customWidth="true" hidden="false" outlineLevel="0" max="20" min="20" style="1" width="15"/>
    <col collapsed="false" customWidth="true" hidden="false" outlineLevel="0" max="21" min="21" style="1" width="32"/>
    <col collapsed="false" customWidth="true" hidden="false" outlineLevel="0" max="22" min="22" style="1" width="15"/>
    <col collapsed="false" customWidth="true" hidden="false" outlineLevel="0" max="23" min="23" style="1" width="10"/>
    <col collapsed="false" customWidth="true" hidden="false" outlineLevel="0" max="25" min="24" style="1" width="12"/>
    <col collapsed="false" customWidth="true" hidden="false" outlineLevel="0" max="26" min="26" style="1" width="30"/>
    <col collapsed="false" customWidth="true" hidden="false" outlineLevel="0" max="28" min="28" style="1" width="64"/>
  </cols>
  <sheetData>
    <row r="1" customFormat="false" ht="33.75" hidden="false" customHeight="true" outlineLevel="0" collapsed="false">
      <c r="A1" s="15" t="s">
        <v>103</v>
      </c>
      <c r="B1" s="15" t="s">
        <v>209</v>
      </c>
      <c r="C1" s="15" t="s">
        <v>123</v>
      </c>
      <c r="D1" s="15" t="s">
        <v>455</v>
      </c>
      <c r="E1" s="15" t="s">
        <v>456</v>
      </c>
      <c r="F1" s="15" t="s">
        <v>457</v>
      </c>
      <c r="G1" s="15" t="s">
        <v>458</v>
      </c>
      <c r="H1" s="15" t="s">
        <v>459</v>
      </c>
      <c r="I1" s="15" t="s">
        <v>305</v>
      </c>
      <c r="J1" s="15" t="s">
        <v>460</v>
      </c>
      <c r="K1" s="15" t="s">
        <v>461</v>
      </c>
      <c r="L1" s="15" t="s">
        <v>462</v>
      </c>
      <c r="M1" s="15" t="s">
        <v>124</v>
      </c>
      <c r="N1" s="15" t="s">
        <v>125</v>
      </c>
      <c r="O1" s="15" t="s">
        <v>126</v>
      </c>
      <c r="P1" s="15" t="s">
        <v>127</v>
      </c>
      <c r="Q1" s="15" t="s">
        <v>128</v>
      </c>
      <c r="R1" s="15" t="s">
        <v>165</v>
      </c>
      <c r="S1" s="15" t="s">
        <v>463</v>
      </c>
      <c r="T1" s="15" t="s">
        <v>464</v>
      </c>
      <c r="U1" s="15" t="s">
        <v>465</v>
      </c>
      <c r="V1" s="15" t="s">
        <v>466</v>
      </c>
      <c r="W1" s="15" t="s">
        <v>467</v>
      </c>
      <c r="X1" s="15" t="s">
        <v>468</v>
      </c>
      <c r="Y1" s="15" t="s">
        <v>469</v>
      </c>
      <c r="Z1" s="15" t="s">
        <v>164</v>
      </c>
      <c r="AB1" s="22" t="s">
        <v>470</v>
      </c>
    </row>
    <row r="2" customFormat="false" ht="21.75" hidden="false" customHeight="true" outlineLevel="0" collapsed="false">
      <c r="A2" s="18" t="s">
        <v>170</v>
      </c>
      <c r="B2" s="18" t="s">
        <v>171</v>
      </c>
      <c r="C2" s="18" t="n">
        <v>13.4</v>
      </c>
      <c r="D2" s="18" t="s">
        <v>471</v>
      </c>
      <c r="E2" s="18" t="s">
        <v>472</v>
      </c>
      <c r="F2" s="18" t="s">
        <v>473</v>
      </c>
      <c r="G2" s="18" t="s">
        <v>474</v>
      </c>
      <c r="H2" s="18"/>
      <c r="I2" s="18"/>
      <c r="J2" s="18" t="s">
        <v>181</v>
      </c>
      <c r="K2" s="18" t="n">
        <v>12.8</v>
      </c>
      <c r="L2" s="18" t="n">
        <v>0.91</v>
      </c>
      <c r="M2" s="18" t="n">
        <v>15</v>
      </c>
      <c r="N2" s="18" t="n">
        <v>12</v>
      </c>
      <c r="O2" s="18" t="n">
        <v>18</v>
      </c>
      <c r="P2" s="18" t="s">
        <v>183</v>
      </c>
      <c r="Q2" s="18" t="s">
        <v>184</v>
      </c>
      <c r="R2" s="18" t="s">
        <v>207</v>
      </c>
      <c r="S2" s="18"/>
      <c r="T2" s="18"/>
      <c r="U2" s="18" t="s">
        <v>475</v>
      </c>
      <c r="V2" s="18" t="s">
        <v>181</v>
      </c>
      <c r="W2" s="18" t="s">
        <v>204</v>
      </c>
      <c r="X2" s="18" t="s">
        <v>205</v>
      </c>
      <c r="Y2" s="18" t="s">
        <v>476</v>
      </c>
      <c r="Z2" s="18" t="s">
        <v>477</v>
      </c>
      <c r="AB2" s="9" t="s">
        <v>478</v>
      </c>
    </row>
    <row r="3" customFormat="false" ht="18.75" hidden="false" customHeight="true" outlineLevel="0" collapsed="false">
      <c r="H3" s="8" t="str">
        <f aca="false">IF(C3="","",IF(C3&lt;1,"yes","no"))</f>
        <v/>
      </c>
      <c r="I3" s="8" t="str">
        <f aca="false">IF(C3="","",IF(C3&lt;2.6,"r75",IF(C3&lt;5.2,"r110",IF(C3&lt;9.9,"r150",IF(C3&lt;19.8,"r210","r300")))))</f>
        <v/>
      </c>
      <c r="M3" s="8" t="str">
        <f aca="false">IF($A3="","",IFERROR(IF(INDEX(O1_Community_Attributes!$V$1:$V$500,MATCH($A3,O1_Community_Attributes!$A$1:$A$500,0))="","",INDEX(O1_Community_Attributes!$V$1:$V$500,MATCH($A3,O1_Community_Attributes!$A$1:$A$500,0))),""))</f>
        <v/>
      </c>
      <c r="N3" s="8" t="str">
        <f aca="false">IF($A3="","",IFERROR(IF(INDEX(O1_Community_Attributes!$W$1:$W$500,MATCH($A3,O1_Community_Attributes!$A$1:$A$500,0))="","",INDEX(O1_Community_Attributes!$W$1:$W$500,MATCH($A3,O1_Community_Attributes!$A$1:$A$500,0))),""))</f>
        <v/>
      </c>
      <c r="O3" s="8" t="str">
        <f aca="false">IF($A3="","",IFERROR(IF(INDEX(O1_Community_Attributes!$X$1:$X$500,MATCH($A3,O1_Community_Attributes!$A$1:$A$500,0))="","",INDEX(O1_Community_Attributes!$X$1:$X$500,MATCH($A3,O1_Community_Attributes!$A$1:$A$500,0))),""))</f>
        <v/>
      </c>
      <c r="P3" s="8" t="str">
        <f aca="false">IF($A3="","",IFERROR(IF(INDEX(O1_Community_Attributes!$Y$1:$Y$500,MATCH($A3,O1_Community_Attributes!$A$1:$A$500,0))="","",INDEX(O1_Community_Attributes!$Y$1:$Y$500,MATCH($A3,O1_Community_Attributes!$A$1:$A$500,0))),""))</f>
        <v/>
      </c>
      <c r="Q3" s="8" t="str">
        <f aca="false">IF($A3="","",IFERROR(IF(INDEX(O1_Community_Attributes!$Z$1:$Z$500,MATCH($A3,O1_Community_Attributes!$A$1:$A$500,0))="","",INDEX(O1_Community_Attributes!$Z$1:$Z$500,MATCH($A3,O1_Community_Attributes!$A$1:$A$500,0))),""))</f>
        <v/>
      </c>
      <c r="R3" s="8" t="str">
        <f aca="false">IF($A3="","",IFERROR(IF(INDEX(O1_Community_Attributes!$BK$1:$BK$500,MATCH($A3,O1_Community_Attributes!$A$1:$A$500,0))="","",INDEX(O1_Community_Attributes!$BK$1:$BK$500,MATCH($A3,O1_Community_Attributes!$A$1:$A$500,0))),""))</f>
        <v/>
      </c>
      <c r="S3" s="8" t="str">
        <f aca="false">IF(OR($C3="",$M3=""),"",$M3/$C3)</f>
        <v/>
      </c>
      <c r="T3" s="8" t="str">
        <f aca="false">IF($C3="","",IF(AND($M3="",$P3=""),"",IF($M3="","B",IF(ABS($S3-1)&lt;=0.3,"A",IF(OR($S3&gt;2,$S3&lt;0.5),"C","B")))))</f>
        <v/>
      </c>
      <c r="AB3" s="9" t="s">
        <v>479</v>
      </c>
    </row>
    <row r="4" customFormat="false" ht="15" hidden="false" customHeight="true" outlineLevel="0" collapsed="false">
      <c r="H4" s="8" t="str">
        <f aca="false">IF(C4="","",IF(C4&lt;1,"yes","no"))</f>
        <v/>
      </c>
      <c r="I4" s="8" t="str">
        <f aca="false">IF(C4="","",IF(C4&lt;2.6,"r75",IF(C4&lt;5.2,"r110",IF(C4&lt;9.9,"r150",IF(C4&lt;19.8,"r210","r300")))))</f>
        <v/>
      </c>
      <c r="M4" s="8" t="str">
        <f aca="false">IF($A4="","",IFERROR(IF(INDEX(O1_Community_Attributes!$V$1:$V$500,MATCH($A4,O1_Community_Attributes!$A$1:$A$500,0))="","",INDEX(O1_Community_Attributes!$V$1:$V$500,MATCH($A4,O1_Community_Attributes!$A$1:$A$500,0))),""))</f>
        <v/>
      </c>
      <c r="N4" s="8" t="str">
        <f aca="false">IF($A4="","",IFERROR(IF(INDEX(O1_Community_Attributes!$W$1:$W$500,MATCH($A4,O1_Community_Attributes!$A$1:$A$500,0))="","",INDEX(O1_Community_Attributes!$W$1:$W$500,MATCH($A4,O1_Community_Attributes!$A$1:$A$500,0))),""))</f>
        <v/>
      </c>
      <c r="O4" s="8" t="str">
        <f aca="false">IF($A4="","",IFERROR(IF(INDEX(O1_Community_Attributes!$X$1:$X$500,MATCH($A4,O1_Community_Attributes!$A$1:$A$500,0))="","",INDEX(O1_Community_Attributes!$X$1:$X$500,MATCH($A4,O1_Community_Attributes!$A$1:$A$500,0))),""))</f>
        <v/>
      </c>
      <c r="P4" s="8" t="str">
        <f aca="false">IF($A4="","",IFERROR(IF(INDEX(O1_Community_Attributes!$Y$1:$Y$500,MATCH($A4,O1_Community_Attributes!$A$1:$A$500,0))="","",INDEX(O1_Community_Attributes!$Y$1:$Y$500,MATCH($A4,O1_Community_Attributes!$A$1:$A$500,0))),""))</f>
        <v/>
      </c>
      <c r="Q4" s="8" t="str">
        <f aca="false">IF($A4="","",IFERROR(IF(INDEX(O1_Community_Attributes!$Z$1:$Z$500,MATCH($A4,O1_Community_Attributes!$A$1:$A$500,0))="","",INDEX(O1_Community_Attributes!$Z$1:$Z$500,MATCH($A4,O1_Community_Attributes!$A$1:$A$500,0))),""))</f>
        <v/>
      </c>
      <c r="R4" s="8" t="str">
        <f aca="false">IF($A4="","",IFERROR(IF(INDEX(O1_Community_Attributes!$BK$1:$BK$500,MATCH($A4,O1_Community_Attributes!$A$1:$A$500,0))="","",INDEX(O1_Community_Attributes!$BK$1:$BK$500,MATCH($A4,O1_Community_Attributes!$A$1:$A$500,0))),""))</f>
        <v/>
      </c>
      <c r="S4" s="8" t="str">
        <f aca="false">IF(OR($C4="",$M4=""),"",$M4/$C4)</f>
        <v/>
      </c>
      <c r="T4" s="8" t="str">
        <f aca="false">IF($C4="","",IF(AND($M4="",$P4=""),"",IF($M4="","B",IF(ABS($S4-1)&lt;=0.3,"A",IF(OR($S4&gt;2,$S4&lt;0.5),"C","B")))))</f>
        <v/>
      </c>
      <c r="AB4" s="9" t="s">
        <v>480</v>
      </c>
    </row>
    <row r="5" customFormat="false" ht="18.75" hidden="false" customHeight="true" outlineLevel="0" collapsed="false">
      <c r="H5" s="8" t="str">
        <f aca="false">IF(C5="","",IF(C5&lt;1,"yes","no"))</f>
        <v/>
      </c>
      <c r="I5" s="8" t="str">
        <f aca="false">IF(C5="","",IF(C5&lt;2.6,"r75",IF(C5&lt;5.2,"r110",IF(C5&lt;9.9,"r150",IF(C5&lt;19.8,"r210","r300")))))</f>
        <v/>
      </c>
      <c r="M5" s="8" t="str">
        <f aca="false">IF($A5="","",IFERROR(IF(INDEX(O1_Community_Attributes!$V$1:$V$500,MATCH($A5,O1_Community_Attributes!$A$1:$A$500,0))="","",INDEX(O1_Community_Attributes!$V$1:$V$500,MATCH($A5,O1_Community_Attributes!$A$1:$A$500,0))),""))</f>
        <v/>
      </c>
      <c r="N5" s="8" t="str">
        <f aca="false">IF($A5="","",IFERROR(IF(INDEX(O1_Community_Attributes!$W$1:$W$500,MATCH($A5,O1_Community_Attributes!$A$1:$A$500,0))="","",INDEX(O1_Community_Attributes!$W$1:$W$500,MATCH($A5,O1_Community_Attributes!$A$1:$A$500,0))),""))</f>
        <v/>
      </c>
      <c r="O5" s="8" t="str">
        <f aca="false">IF($A5="","",IFERROR(IF(INDEX(O1_Community_Attributes!$X$1:$X$500,MATCH($A5,O1_Community_Attributes!$A$1:$A$500,0))="","",INDEX(O1_Community_Attributes!$X$1:$X$500,MATCH($A5,O1_Community_Attributes!$A$1:$A$500,0))),""))</f>
        <v/>
      </c>
      <c r="P5" s="8" t="str">
        <f aca="false">IF($A5="","",IFERROR(IF(INDEX(O1_Community_Attributes!$Y$1:$Y$500,MATCH($A5,O1_Community_Attributes!$A$1:$A$500,0))="","",INDEX(O1_Community_Attributes!$Y$1:$Y$500,MATCH($A5,O1_Community_Attributes!$A$1:$A$500,0))),""))</f>
        <v/>
      </c>
      <c r="Q5" s="8" t="str">
        <f aca="false">IF($A5="","",IFERROR(IF(INDEX(O1_Community_Attributes!$Z$1:$Z$500,MATCH($A5,O1_Community_Attributes!$A$1:$A$500,0))="","",INDEX(O1_Community_Attributes!$Z$1:$Z$500,MATCH($A5,O1_Community_Attributes!$A$1:$A$500,0))),""))</f>
        <v/>
      </c>
      <c r="R5" s="8" t="str">
        <f aca="false">IF($A5="","",IFERROR(IF(INDEX(O1_Community_Attributes!$BK$1:$BK$500,MATCH($A5,O1_Community_Attributes!$A$1:$A$500,0))="","",INDEX(O1_Community_Attributes!$BK$1:$BK$500,MATCH($A5,O1_Community_Attributes!$A$1:$A$500,0))),""))</f>
        <v/>
      </c>
      <c r="S5" s="8" t="str">
        <f aca="false">IF(OR($C5="",$M5=""),"",$M5/$C5)</f>
        <v/>
      </c>
      <c r="T5" s="8" t="str">
        <f aca="false">IF($C5="","",IF(AND($M5="",$P5=""),"",IF($M5="","B",IF(ABS($S5-1)&lt;=0.3,"A",IF(OR($S5&gt;2,$S5&lt;0.5),"C","B")))))</f>
        <v/>
      </c>
      <c r="AB5" s="9" t="s">
        <v>481</v>
      </c>
    </row>
    <row r="6" customFormat="false" ht="18.75" hidden="false" customHeight="true" outlineLevel="0" collapsed="false">
      <c r="H6" s="8" t="str">
        <f aca="false">IF(C6="","",IF(C6&lt;1,"yes","no"))</f>
        <v/>
      </c>
      <c r="I6" s="8" t="str">
        <f aca="false">IF(C6="","",IF(C6&lt;2.6,"r75",IF(C6&lt;5.2,"r110",IF(C6&lt;9.9,"r150",IF(C6&lt;19.8,"r210","r300")))))</f>
        <v/>
      </c>
      <c r="M6" s="8" t="str">
        <f aca="false">IF($A6="","",IFERROR(IF(INDEX(O1_Community_Attributes!$V$1:$V$500,MATCH($A6,O1_Community_Attributes!$A$1:$A$500,0))="","",INDEX(O1_Community_Attributes!$V$1:$V$500,MATCH($A6,O1_Community_Attributes!$A$1:$A$500,0))),""))</f>
        <v/>
      </c>
      <c r="N6" s="8" t="str">
        <f aca="false">IF($A6="","",IFERROR(IF(INDEX(O1_Community_Attributes!$W$1:$W$500,MATCH($A6,O1_Community_Attributes!$A$1:$A$500,0))="","",INDEX(O1_Community_Attributes!$W$1:$W$500,MATCH($A6,O1_Community_Attributes!$A$1:$A$500,0))),""))</f>
        <v/>
      </c>
      <c r="O6" s="8" t="str">
        <f aca="false">IF($A6="","",IFERROR(IF(INDEX(O1_Community_Attributes!$X$1:$X$500,MATCH($A6,O1_Community_Attributes!$A$1:$A$500,0))="","",INDEX(O1_Community_Attributes!$X$1:$X$500,MATCH($A6,O1_Community_Attributes!$A$1:$A$500,0))),""))</f>
        <v/>
      </c>
      <c r="P6" s="8" t="str">
        <f aca="false">IF($A6="","",IFERROR(IF(INDEX(O1_Community_Attributes!$Y$1:$Y$500,MATCH($A6,O1_Community_Attributes!$A$1:$A$500,0))="","",INDEX(O1_Community_Attributes!$Y$1:$Y$500,MATCH($A6,O1_Community_Attributes!$A$1:$A$500,0))),""))</f>
        <v/>
      </c>
      <c r="Q6" s="8" t="str">
        <f aca="false">IF($A6="","",IFERROR(IF(INDEX(O1_Community_Attributes!$Z$1:$Z$500,MATCH($A6,O1_Community_Attributes!$A$1:$A$500,0))="","",INDEX(O1_Community_Attributes!$Z$1:$Z$500,MATCH($A6,O1_Community_Attributes!$A$1:$A$500,0))),""))</f>
        <v/>
      </c>
      <c r="R6" s="8" t="str">
        <f aca="false">IF($A6="","",IFERROR(IF(INDEX(O1_Community_Attributes!$BK$1:$BK$500,MATCH($A6,O1_Community_Attributes!$A$1:$A$500,0))="","",INDEX(O1_Community_Attributes!$BK$1:$BK$500,MATCH($A6,O1_Community_Attributes!$A$1:$A$500,0))),""))</f>
        <v/>
      </c>
      <c r="S6" s="8" t="str">
        <f aca="false">IF(OR($C6="",$M6=""),"",$M6/$C6)</f>
        <v/>
      </c>
      <c r="T6" s="8" t="str">
        <f aca="false">IF($C6="","",IF(AND($M6="",$P6=""),"",IF($M6="","B",IF(ABS($S6-1)&lt;=0.3,"A",IF(OR($S6&gt;2,$S6&lt;0.5),"C","B")))))</f>
        <v/>
      </c>
      <c r="AB6" s="9" t="s">
        <v>482</v>
      </c>
    </row>
    <row r="7" customFormat="false" ht="18.75" hidden="false" customHeight="true" outlineLevel="0" collapsed="false">
      <c r="H7" s="8" t="str">
        <f aca="false">IF(C7="","",IF(C7&lt;1,"yes","no"))</f>
        <v/>
      </c>
      <c r="I7" s="8" t="str">
        <f aca="false">IF(C7="","",IF(C7&lt;2.6,"r75",IF(C7&lt;5.2,"r110",IF(C7&lt;9.9,"r150",IF(C7&lt;19.8,"r210","r300")))))</f>
        <v/>
      </c>
      <c r="M7" s="8" t="str">
        <f aca="false">IF($A7="","",IFERROR(IF(INDEX(O1_Community_Attributes!$V$1:$V$500,MATCH($A7,O1_Community_Attributes!$A$1:$A$500,0))="","",INDEX(O1_Community_Attributes!$V$1:$V$500,MATCH($A7,O1_Community_Attributes!$A$1:$A$500,0))),""))</f>
        <v/>
      </c>
      <c r="N7" s="8" t="str">
        <f aca="false">IF($A7="","",IFERROR(IF(INDEX(O1_Community_Attributes!$W$1:$W$500,MATCH($A7,O1_Community_Attributes!$A$1:$A$500,0))="","",INDEX(O1_Community_Attributes!$W$1:$W$500,MATCH($A7,O1_Community_Attributes!$A$1:$A$500,0))),""))</f>
        <v/>
      </c>
      <c r="O7" s="8" t="str">
        <f aca="false">IF($A7="","",IFERROR(IF(INDEX(O1_Community_Attributes!$X$1:$X$500,MATCH($A7,O1_Community_Attributes!$A$1:$A$500,0))="","",INDEX(O1_Community_Attributes!$X$1:$X$500,MATCH($A7,O1_Community_Attributes!$A$1:$A$500,0))),""))</f>
        <v/>
      </c>
      <c r="P7" s="8" t="str">
        <f aca="false">IF($A7="","",IFERROR(IF(INDEX(O1_Community_Attributes!$Y$1:$Y$500,MATCH($A7,O1_Community_Attributes!$A$1:$A$500,0))="","",INDEX(O1_Community_Attributes!$Y$1:$Y$500,MATCH($A7,O1_Community_Attributes!$A$1:$A$500,0))),""))</f>
        <v/>
      </c>
      <c r="Q7" s="8" t="str">
        <f aca="false">IF($A7="","",IFERROR(IF(INDEX(O1_Community_Attributes!$Z$1:$Z$500,MATCH($A7,O1_Community_Attributes!$A$1:$A$500,0))="","",INDEX(O1_Community_Attributes!$Z$1:$Z$500,MATCH($A7,O1_Community_Attributes!$A$1:$A$500,0))),""))</f>
        <v/>
      </c>
      <c r="R7" s="8" t="str">
        <f aca="false">IF($A7="","",IFERROR(IF(INDEX(O1_Community_Attributes!$BK$1:$BK$500,MATCH($A7,O1_Community_Attributes!$A$1:$A$500,0))="","",INDEX(O1_Community_Attributes!$BK$1:$BK$500,MATCH($A7,O1_Community_Attributes!$A$1:$A$500,0))),""))</f>
        <v/>
      </c>
      <c r="S7" s="8" t="str">
        <f aca="false">IF(OR($C7="",$M7=""),"",$M7/$C7)</f>
        <v/>
      </c>
      <c r="T7" s="8" t="str">
        <f aca="false">IF($C7="","",IF(AND($M7="",$P7=""),"",IF($M7="","B",IF(ABS($S7-1)&lt;=0.3,"A",IF(OR($S7&gt;2,$S7&lt;0.5),"C","B")))))</f>
        <v/>
      </c>
      <c r="AB7" s="9" t="s">
        <v>483</v>
      </c>
    </row>
    <row r="8" customFormat="false" ht="15" hidden="false" customHeight="true" outlineLevel="0" collapsed="false">
      <c r="H8" s="8" t="str">
        <f aca="false">IF(C8="","",IF(C8&lt;1,"yes","no"))</f>
        <v/>
      </c>
      <c r="I8" s="8" t="str">
        <f aca="false">IF(C8="","",IF(C8&lt;2.6,"r75",IF(C8&lt;5.2,"r110",IF(C8&lt;9.9,"r150",IF(C8&lt;19.8,"r210","r300")))))</f>
        <v/>
      </c>
      <c r="M8" s="8" t="str">
        <f aca="false">IF($A8="","",IFERROR(IF(INDEX(O1_Community_Attributes!$V$1:$V$500,MATCH($A8,O1_Community_Attributes!$A$1:$A$500,0))="","",INDEX(O1_Community_Attributes!$V$1:$V$500,MATCH($A8,O1_Community_Attributes!$A$1:$A$500,0))),""))</f>
        <v/>
      </c>
      <c r="N8" s="8" t="str">
        <f aca="false">IF($A8="","",IFERROR(IF(INDEX(O1_Community_Attributes!$W$1:$W$500,MATCH($A8,O1_Community_Attributes!$A$1:$A$500,0))="","",INDEX(O1_Community_Attributes!$W$1:$W$500,MATCH($A8,O1_Community_Attributes!$A$1:$A$500,0))),""))</f>
        <v/>
      </c>
      <c r="O8" s="8" t="str">
        <f aca="false">IF($A8="","",IFERROR(IF(INDEX(O1_Community_Attributes!$X$1:$X$500,MATCH($A8,O1_Community_Attributes!$A$1:$A$500,0))="","",INDEX(O1_Community_Attributes!$X$1:$X$500,MATCH($A8,O1_Community_Attributes!$A$1:$A$500,0))),""))</f>
        <v/>
      </c>
      <c r="P8" s="8" t="str">
        <f aca="false">IF($A8="","",IFERROR(IF(INDEX(O1_Community_Attributes!$Y$1:$Y$500,MATCH($A8,O1_Community_Attributes!$A$1:$A$500,0))="","",INDEX(O1_Community_Attributes!$Y$1:$Y$500,MATCH($A8,O1_Community_Attributes!$A$1:$A$500,0))),""))</f>
        <v/>
      </c>
      <c r="Q8" s="8" t="str">
        <f aca="false">IF($A8="","",IFERROR(IF(INDEX(O1_Community_Attributes!$Z$1:$Z$500,MATCH($A8,O1_Community_Attributes!$A$1:$A$500,0))="","",INDEX(O1_Community_Attributes!$Z$1:$Z$500,MATCH($A8,O1_Community_Attributes!$A$1:$A$500,0))),""))</f>
        <v/>
      </c>
      <c r="R8" s="8" t="str">
        <f aca="false">IF($A8="","",IFERROR(IF(INDEX(O1_Community_Attributes!$BK$1:$BK$500,MATCH($A8,O1_Community_Attributes!$A$1:$A$500,0))="","",INDEX(O1_Community_Attributes!$BK$1:$BK$500,MATCH($A8,O1_Community_Attributes!$A$1:$A$500,0))),""))</f>
        <v/>
      </c>
      <c r="S8" s="8" t="str">
        <f aca="false">IF(OR($C8="",$M8=""),"",$M8/$C8)</f>
        <v/>
      </c>
      <c r="T8" s="8" t="str">
        <f aca="false">IF($C8="","",IF(AND($M8="",$P8=""),"",IF($M8="","B",IF(ABS($S8-1)&lt;=0.3,"A",IF(OR($S8&gt;2,$S8&lt;0.5),"C","B")))))</f>
        <v/>
      </c>
      <c r="AB8" s="9"/>
    </row>
    <row r="9" customFormat="false" ht="18.75" hidden="false" customHeight="true" outlineLevel="0" collapsed="false">
      <c r="H9" s="8" t="str">
        <f aca="false">IF(C9="","",IF(C9&lt;1,"yes","no"))</f>
        <v/>
      </c>
      <c r="I9" s="8" t="str">
        <f aca="false">IF(C9="","",IF(C9&lt;2.6,"r75",IF(C9&lt;5.2,"r110",IF(C9&lt;9.9,"r150",IF(C9&lt;19.8,"r210","r300")))))</f>
        <v/>
      </c>
      <c r="M9" s="8" t="str">
        <f aca="false">IF($A9="","",IFERROR(IF(INDEX(O1_Community_Attributes!$V$1:$V$500,MATCH($A9,O1_Community_Attributes!$A$1:$A$500,0))="","",INDEX(O1_Community_Attributes!$V$1:$V$500,MATCH($A9,O1_Community_Attributes!$A$1:$A$500,0))),""))</f>
        <v/>
      </c>
      <c r="N9" s="8" t="str">
        <f aca="false">IF($A9="","",IFERROR(IF(INDEX(O1_Community_Attributes!$W$1:$W$500,MATCH($A9,O1_Community_Attributes!$A$1:$A$500,0))="","",INDEX(O1_Community_Attributes!$W$1:$W$500,MATCH($A9,O1_Community_Attributes!$A$1:$A$500,0))),""))</f>
        <v/>
      </c>
      <c r="O9" s="8" t="str">
        <f aca="false">IF($A9="","",IFERROR(IF(INDEX(O1_Community_Attributes!$X$1:$X$500,MATCH($A9,O1_Community_Attributes!$A$1:$A$500,0))="","",INDEX(O1_Community_Attributes!$X$1:$X$500,MATCH($A9,O1_Community_Attributes!$A$1:$A$500,0))),""))</f>
        <v/>
      </c>
      <c r="P9" s="8" t="str">
        <f aca="false">IF($A9="","",IFERROR(IF(INDEX(O1_Community_Attributes!$Y$1:$Y$500,MATCH($A9,O1_Community_Attributes!$A$1:$A$500,0))="","",INDEX(O1_Community_Attributes!$Y$1:$Y$500,MATCH($A9,O1_Community_Attributes!$A$1:$A$500,0))),""))</f>
        <v/>
      </c>
      <c r="Q9" s="8" t="str">
        <f aca="false">IF($A9="","",IFERROR(IF(INDEX(O1_Community_Attributes!$Z$1:$Z$500,MATCH($A9,O1_Community_Attributes!$A$1:$A$500,0))="","",INDEX(O1_Community_Attributes!$Z$1:$Z$500,MATCH($A9,O1_Community_Attributes!$A$1:$A$500,0))),""))</f>
        <v/>
      </c>
      <c r="R9" s="8" t="str">
        <f aca="false">IF($A9="","",IFERROR(IF(INDEX(O1_Community_Attributes!$BK$1:$BK$500,MATCH($A9,O1_Community_Attributes!$A$1:$A$500,0))="","",INDEX(O1_Community_Attributes!$BK$1:$BK$500,MATCH($A9,O1_Community_Attributes!$A$1:$A$500,0))),""))</f>
        <v/>
      </c>
      <c r="S9" s="8" t="str">
        <f aca="false">IF(OR($C9="",$M9=""),"",$M9/$C9)</f>
        <v/>
      </c>
      <c r="T9" s="8" t="str">
        <f aca="false">IF($C9="","",IF(AND($M9="",$P9=""),"",IF($M9="","B",IF(ABS($S9-1)&lt;=0.3,"A",IF(OR($S9&gt;2,$S9&lt;0.5),"C","B")))))</f>
        <v/>
      </c>
      <c r="AB9" s="9" t="s">
        <v>484</v>
      </c>
    </row>
    <row r="10" customFormat="false" ht="18.75" hidden="false" customHeight="true" outlineLevel="0" collapsed="false">
      <c r="H10" s="8" t="str">
        <f aca="false">IF(C10="","",IF(C10&lt;1,"yes","no"))</f>
        <v/>
      </c>
      <c r="I10" s="8" t="str">
        <f aca="false">IF(C10="","",IF(C10&lt;2.6,"r75",IF(C10&lt;5.2,"r110",IF(C10&lt;9.9,"r150",IF(C10&lt;19.8,"r210","r300")))))</f>
        <v/>
      </c>
      <c r="M10" s="8" t="str">
        <f aca="false">IF($A10="","",IFERROR(IF(INDEX(O1_Community_Attributes!$V$1:$V$500,MATCH($A10,O1_Community_Attributes!$A$1:$A$500,0))="","",INDEX(O1_Community_Attributes!$V$1:$V$500,MATCH($A10,O1_Community_Attributes!$A$1:$A$500,0))),""))</f>
        <v/>
      </c>
      <c r="N10" s="8" t="str">
        <f aca="false">IF($A10="","",IFERROR(IF(INDEX(O1_Community_Attributes!$W$1:$W$500,MATCH($A10,O1_Community_Attributes!$A$1:$A$500,0))="","",INDEX(O1_Community_Attributes!$W$1:$W$500,MATCH($A10,O1_Community_Attributes!$A$1:$A$500,0))),""))</f>
        <v/>
      </c>
      <c r="O10" s="8" t="str">
        <f aca="false">IF($A10="","",IFERROR(IF(INDEX(O1_Community_Attributes!$X$1:$X$500,MATCH($A10,O1_Community_Attributes!$A$1:$A$500,0))="","",INDEX(O1_Community_Attributes!$X$1:$X$500,MATCH($A10,O1_Community_Attributes!$A$1:$A$500,0))),""))</f>
        <v/>
      </c>
      <c r="P10" s="8" t="str">
        <f aca="false">IF($A10="","",IFERROR(IF(INDEX(O1_Community_Attributes!$Y$1:$Y$500,MATCH($A10,O1_Community_Attributes!$A$1:$A$500,0))="","",INDEX(O1_Community_Attributes!$Y$1:$Y$500,MATCH($A10,O1_Community_Attributes!$A$1:$A$500,0))),""))</f>
        <v/>
      </c>
      <c r="Q10" s="8" t="str">
        <f aca="false">IF($A10="","",IFERROR(IF(INDEX(O1_Community_Attributes!$Z$1:$Z$500,MATCH($A10,O1_Community_Attributes!$A$1:$A$500,0))="","",INDEX(O1_Community_Attributes!$Z$1:$Z$500,MATCH($A10,O1_Community_Attributes!$A$1:$A$500,0))),""))</f>
        <v/>
      </c>
      <c r="R10" s="8" t="str">
        <f aca="false">IF($A10="","",IFERROR(IF(INDEX(O1_Community_Attributes!$BK$1:$BK$500,MATCH($A10,O1_Community_Attributes!$A$1:$A$500,0))="","",INDEX(O1_Community_Attributes!$BK$1:$BK$500,MATCH($A10,O1_Community_Attributes!$A$1:$A$500,0))),""))</f>
        <v/>
      </c>
      <c r="S10" s="8" t="str">
        <f aca="false">IF(OR($C10="",$M10=""),"",$M10/$C10)</f>
        <v/>
      </c>
      <c r="T10" s="8" t="str">
        <f aca="false">IF($C10="","",IF(AND($M10="",$P10=""),"",IF($M10="","B",IF(ABS($S10-1)&lt;=0.3,"A",IF(OR($S10&gt;2,$S10&lt;0.5),"C","B")))))</f>
        <v/>
      </c>
      <c r="AB10" s="9" t="s">
        <v>485</v>
      </c>
    </row>
    <row r="11" customFormat="false" ht="15" hidden="false" customHeight="true" outlineLevel="0" collapsed="false">
      <c r="H11" s="8" t="str">
        <f aca="false">IF(C11="","",IF(C11&lt;1,"yes","no"))</f>
        <v/>
      </c>
      <c r="I11" s="8" t="str">
        <f aca="false">IF(C11="","",IF(C11&lt;2.6,"r75",IF(C11&lt;5.2,"r110",IF(C11&lt;9.9,"r150",IF(C11&lt;19.8,"r210","r300")))))</f>
        <v/>
      </c>
      <c r="M11" s="8" t="str">
        <f aca="false">IF($A11="","",IFERROR(IF(INDEX(O1_Community_Attributes!$V$1:$V$500,MATCH($A11,O1_Community_Attributes!$A$1:$A$500,0))="","",INDEX(O1_Community_Attributes!$V$1:$V$500,MATCH($A11,O1_Community_Attributes!$A$1:$A$500,0))),""))</f>
        <v/>
      </c>
      <c r="N11" s="8" t="str">
        <f aca="false">IF($A11="","",IFERROR(IF(INDEX(O1_Community_Attributes!$W$1:$W$500,MATCH($A11,O1_Community_Attributes!$A$1:$A$500,0))="","",INDEX(O1_Community_Attributes!$W$1:$W$500,MATCH($A11,O1_Community_Attributes!$A$1:$A$500,0))),""))</f>
        <v/>
      </c>
      <c r="O11" s="8" t="str">
        <f aca="false">IF($A11="","",IFERROR(IF(INDEX(O1_Community_Attributes!$X$1:$X$500,MATCH($A11,O1_Community_Attributes!$A$1:$A$500,0))="","",INDEX(O1_Community_Attributes!$X$1:$X$500,MATCH($A11,O1_Community_Attributes!$A$1:$A$500,0))),""))</f>
        <v/>
      </c>
      <c r="P11" s="8" t="str">
        <f aca="false">IF($A11="","",IFERROR(IF(INDEX(O1_Community_Attributes!$Y$1:$Y$500,MATCH($A11,O1_Community_Attributes!$A$1:$A$500,0))="","",INDEX(O1_Community_Attributes!$Y$1:$Y$500,MATCH($A11,O1_Community_Attributes!$A$1:$A$500,0))),""))</f>
        <v/>
      </c>
      <c r="Q11" s="8" t="str">
        <f aca="false">IF($A11="","",IFERROR(IF(INDEX(O1_Community_Attributes!$Z$1:$Z$500,MATCH($A11,O1_Community_Attributes!$A$1:$A$500,0))="","",INDEX(O1_Community_Attributes!$Z$1:$Z$500,MATCH($A11,O1_Community_Attributes!$A$1:$A$500,0))),""))</f>
        <v/>
      </c>
      <c r="R11" s="8" t="str">
        <f aca="false">IF($A11="","",IFERROR(IF(INDEX(O1_Community_Attributes!$BK$1:$BK$500,MATCH($A11,O1_Community_Attributes!$A$1:$A$500,0))="","",INDEX(O1_Community_Attributes!$BK$1:$BK$500,MATCH($A11,O1_Community_Attributes!$A$1:$A$500,0))),""))</f>
        <v/>
      </c>
      <c r="S11" s="8" t="str">
        <f aca="false">IF(OR($C11="",$M11=""),"",$M11/$C11)</f>
        <v/>
      </c>
      <c r="T11" s="8" t="str">
        <f aca="false">IF($C11="","",IF(AND($M11="",$P11=""),"",IF($M11="","B",IF(ABS($S11-1)&lt;=0.3,"A",IF(OR($S11&gt;2,$S11&lt;0.5),"C","B")))))</f>
        <v/>
      </c>
      <c r="AB11" s="9"/>
    </row>
    <row r="12" customFormat="false" ht="18.75" hidden="false" customHeight="true" outlineLevel="0" collapsed="false">
      <c r="H12" s="8" t="str">
        <f aca="false">IF(C12="","",IF(C12&lt;1,"yes","no"))</f>
        <v/>
      </c>
      <c r="I12" s="8" t="str">
        <f aca="false">IF(C12="","",IF(C12&lt;2.6,"r75",IF(C12&lt;5.2,"r110",IF(C12&lt;9.9,"r150",IF(C12&lt;19.8,"r210","r300")))))</f>
        <v/>
      </c>
      <c r="M12" s="8" t="str">
        <f aca="false">IF($A12="","",IFERROR(IF(INDEX(O1_Community_Attributes!$V$1:$V$500,MATCH($A12,O1_Community_Attributes!$A$1:$A$500,0))="","",INDEX(O1_Community_Attributes!$V$1:$V$500,MATCH($A12,O1_Community_Attributes!$A$1:$A$500,0))),""))</f>
        <v/>
      </c>
      <c r="N12" s="8" t="str">
        <f aca="false">IF($A12="","",IFERROR(IF(INDEX(O1_Community_Attributes!$W$1:$W$500,MATCH($A12,O1_Community_Attributes!$A$1:$A$500,0))="","",INDEX(O1_Community_Attributes!$W$1:$W$500,MATCH($A12,O1_Community_Attributes!$A$1:$A$500,0))),""))</f>
        <v/>
      </c>
      <c r="O12" s="8" t="str">
        <f aca="false">IF($A12="","",IFERROR(IF(INDEX(O1_Community_Attributes!$X$1:$X$500,MATCH($A12,O1_Community_Attributes!$A$1:$A$500,0))="","",INDEX(O1_Community_Attributes!$X$1:$X$500,MATCH($A12,O1_Community_Attributes!$A$1:$A$500,0))),""))</f>
        <v/>
      </c>
      <c r="P12" s="8" t="str">
        <f aca="false">IF($A12="","",IFERROR(IF(INDEX(O1_Community_Attributes!$Y$1:$Y$500,MATCH($A12,O1_Community_Attributes!$A$1:$A$500,0))="","",INDEX(O1_Community_Attributes!$Y$1:$Y$500,MATCH($A12,O1_Community_Attributes!$A$1:$A$500,0))),""))</f>
        <v/>
      </c>
      <c r="Q12" s="8" t="str">
        <f aca="false">IF($A12="","",IFERROR(IF(INDEX(O1_Community_Attributes!$Z$1:$Z$500,MATCH($A12,O1_Community_Attributes!$A$1:$A$500,0))="","",INDEX(O1_Community_Attributes!$Z$1:$Z$500,MATCH($A12,O1_Community_Attributes!$A$1:$A$500,0))),""))</f>
        <v/>
      </c>
      <c r="R12" s="8" t="str">
        <f aca="false">IF($A12="","",IFERROR(IF(INDEX(O1_Community_Attributes!$BK$1:$BK$500,MATCH($A12,O1_Community_Attributes!$A$1:$A$500,0))="","",INDEX(O1_Community_Attributes!$BK$1:$BK$500,MATCH($A12,O1_Community_Attributes!$A$1:$A$500,0))),""))</f>
        <v/>
      </c>
      <c r="S12" s="8" t="str">
        <f aca="false">IF(OR($C12="",$M12=""),"",$M12/$C12)</f>
        <v/>
      </c>
      <c r="T12" s="8" t="str">
        <f aca="false">IF($C12="","",IF(AND($M12="",$P12=""),"",IF($M12="","B",IF(ABS($S12-1)&lt;=0.3,"A",IF(OR($S12&gt;2,$S12&lt;0.5),"C","B")))))</f>
        <v/>
      </c>
      <c r="AB12" s="9" t="s">
        <v>486</v>
      </c>
    </row>
    <row r="13" customFormat="false" ht="15" hidden="false" customHeight="true" outlineLevel="0" collapsed="false">
      <c r="H13" s="8" t="str">
        <f aca="false">IF(C13="","",IF(C13&lt;1,"yes","no"))</f>
        <v/>
      </c>
      <c r="I13" s="8" t="str">
        <f aca="false">IF(C13="","",IF(C13&lt;2.6,"r75",IF(C13&lt;5.2,"r110",IF(C13&lt;9.9,"r150",IF(C13&lt;19.8,"r210","r300")))))</f>
        <v/>
      </c>
      <c r="M13" s="8" t="str">
        <f aca="false">IF($A13="","",IFERROR(IF(INDEX(O1_Community_Attributes!$V$1:$V$500,MATCH($A13,O1_Community_Attributes!$A$1:$A$500,0))="","",INDEX(O1_Community_Attributes!$V$1:$V$500,MATCH($A13,O1_Community_Attributes!$A$1:$A$500,0))),""))</f>
        <v/>
      </c>
      <c r="N13" s="8" t="str">
        <f aca="false">IF($A13="","",IFERROR(IF(INDEX(O1_Community_Attributes!$W$1:$W$500,MATCH($A13,O1_Community_Attributes!$A$1:$A$500,0))="","",INDEX(O1_Community_Attributes!$W$1:$W$500,MATCH($A13,O1_Community_Attributes!$A$1:$A$500,0))),""))</f>
        <v/>
      </c>
      <c r="O13" s="8" t="str">
        <f aca="false">IF($A13="","",IFERROR(IF(INDEX(O1_Community_Attributes!$X$1:$X$500,MATCH($A13,O1_Community_Attributes!$A$1:$A$500,0))="","",INDEX(O1_Community_Attributes!$X$1:$X$500,MATCH($A13,O1_Community_Attributes!$A$1:$A$500,0))),""))</f>
        <v/>
      </c>
      <c r="P13" s="8" t="str">
        <f aca="false">IF($A13="","",IFERROR(IF(INDEX(O1_Community_Attributes!$Y$1:$Y$500,MATCH($A13,O1_Community_Attributes!$A$1:$A$500,0))="","",INDEX(O1_Community_Attributes!$Y$1:$Y$500,MATCH($A13,O1_Community_Attributes!$A$1:$A$500,0))),""))</f>
        <v/>
      </c>
      <c r="Q13" s="8" t="str">
        <f aca="false">IF($A13="","",IFERROR(IF(INDEX(O1_Community_Attributes!$Z$1:$Z$500,MATCH($A13,O1_Community_Attributes!$A$1:$A$500,0))="","",INDEX(O1_Community_Attributes!$Z$1:$Z$500,MATCH($A13,O1_Community_Attributes!$A$1:$A$500,0))),""))</f>
        <v/>
      </c>
      <c r="R13" s="8" t="str">
        <f aca="false">IF($A13="","",IFERROR(IF(INDEX(O1_Community_Attributes!$BK$1:$BK$500,MATCH($A13,O1_Community_Attributes!$A$1:$A$500,0))="","",INDEX(O1_Community_Attributes!$BK$1:$BK$500,MATCH($A13,O1_Community_Attributes!$A$1:$A$500,0))),""))</f>
        <v/>
      </c>
      <c r="S13" s="8" t="str">
        <f aca="false">IF(OR($C13="",$M13=""),"",$M13/$C13)</f>
        <v/>
      </c>
      <c r="T13" s="8" t="str">
        <f aca="false">IF($C13="","",IF(AND($M13="",$P13=""),"",IF($M13="","B",IF(ABS($S13-1)&lt;=0.3,"A",IF(OR($S13&gt;2,$S13&lt;0.5),"C","B")))))</f>
        <v/>
      </c>
    </row>
    <row r="14" customFormat="false" ht="15" hidden="false" customHeight="true" outlineLevel="0" collapsed="false">
      <c r="H14" s="8" t="str">
        <f aca="false">IF(C14="","",IF(C14&lt;1,"yes","no"))</f>
        <v/>
      </c>
      <c r="I14" s="8" t="str">
        <f aca="false">IF(C14="","",IF(C14&lt;2.6,"r75",IF(C14&lt;5.2,"r110",IF(C14&lt;9.9,"r150",IF(C14&lt;19.8,"r210","r300")))))</f>
        <v/>
      </c>
      <c r="M14" s="8" t="str">
        <f aca="false">IF($A14="","",IFERROR(IF(INDEX(O1_Community_Attributes!$V$1:$V$500,MATCH($A14,O1_Community_Attributes!$A$1:$A$500,0))="","",INDEX(O1_Community_Attributes!$V$1:$V$500,MATCH($A14,O1_Community_Attributes!$A$1:$A$500,0))),""))</f>
        <v/>
      </c>
      <c r="N14" s="8" t="str">
        <f aca="false">IF($A14="","",IFERROR(IF(INDEX(O1_Community_Attributes!$W$1:$W$500,MATCH($A14,O1_Community_Attributes!$A$1:$A$500,0))="","",INDEX(O1_Community_Attributes!$W$1:$W$500,MATCH($A14,O1_Community_Attributes!$A$1:$A$500,0))),""))</f>
        <v/>
      </c>
      <c r="O14" s="8" t="str">
        <f aca="false">IF($A14="","",IFERROR(IF(INDEX(O1_Community_Attributes!$X$1:$X$500,MATCH($A14,O1_Community_Attributes!$A$1:$A$500,0))="","",INDEX(O1_Community_Attributes!$X$1:$X$500,MATCH($A14,O1_Community_Attributes!$A$1:$A$500,0))),""))</f>
        <v/>
      </c>
      <c r="P14" s="8" t="str">
        <f aca="false">IF($A14="","",IFERROR(IF(INDEX(O1_Community_Attributes!$Y$1:$Y$500,MATCH($A14,O1_Community_Attributes!$A$1:$A$500,0))="","",INDEX(O1_Community_Attributes!$Y$1:$Y$500,MATCH($A14,O1_Community_Attributes!$A$1:$A$500,0))),""))</f>
        <v/>
      </c>
      <c r="Q14" s="8" t="str">
        <f aca="false">IF($A14="","",IFERROR(IF(INDEX(O1_Community_Attributes!$Z$1:$Z$500,MATCH($A14,O1_Community_Attributes!$A$1:$A$500,0))="","",INDEX(O1_Community_Attributes!$Z$1:$Z$500,MATCH($A14,O1_Community_Attributes!$A$1:$A$500,0))),""))</f>
        <v/>
      </c>
      <c r="R14" s="8" t="str">
        <f aca="false">IF($A14="","",IFERROR(IF(INDEX(O1_Community_Attributes!$BK$1:$BK$500,MATCH($A14,O1_Community_Attributes!$A$1:$A$500,0))="","",INDEX(O1_Community_Attributes!$BK$1:$BK$500,MATCH($A14,O1_Community_Attributes!$A$1:$A$500,0))),""))</f>
        <v/>
      </c>
      <c r="S14" s="8" t="str">
        <f aca="false">IF(OR($C14="",$M14=""),"",$M14/$C14)</f>
        <v/>
      </c>
      <c r="T14" s="8" t="str">
        <f aca="false">IF($C14="","",IF(AND($M14="",$P14=""),"",IF($M14="","B",IF(ABS($S14-1)&lt;=0.3,"A",IF(OR($S14&gt;2,$S14&lt;0.5),"C","B")))))</f>
        <v/>
      </c>
      <c r="AB14" s="9" t="s">
        <v>487</v>
      </c>
    </row>
    <row r="15" customFormat="false" ht="15" hidden="false" customHeight="true" outlineLevel="0" collapsed="false">
      <c r="H15" s="8" t="str">
        <f aca="false">IF(C15="","",IF(C15&lt;1,"yes","no"))</f>
        <v/>
      </c>
      <c r="I15" s="8" t="str">
        <f aca="false">IF(C15="","",IF(C15&lt;2.6,"r75",IF(C15&lt;5.2,"r110",IF(C15&lt;9.9,"r150",IF(C15&lt;19.8,"r210","r300")))))</f>
        <v/>
      </c>
      <c r="M15" s="8" t="str">
        <f aca="false">IF($A15="","",IFERROR(IF(INDEX(O1_Community_Attributes!$V$1:$V$500,MATCH($A15,O1_Community_Attributes!$A$1:$A$500,0))="","",INDEX(O1_Community_Attributes!$V$1:$V$500,MATCH($A15,O1_Community_Attributes!$A$1:$A$500,0))),""))</f>
        <v/>
      </c>
      <c r="N15" s="8" t="str">
        <f aca="false">IF($A15="","",IFERROR(IF(INDEX(O1_Community_Attributes!$W$1:$W$500,MATCH($A15,O1_Community_Attributes!$A$1:$A$500,0))="","",INDEX(O1_Community_Attributes!$W$1:$W$500,MATCH($A15,O1_Community_Attributes!$A$1:$A$500,0))),""))</f>
        <v/>
      </c>
      <c r="O15" s="8" t="str">
        <f aca="false">IF($A15="","",IFERROR(IF(INDEX(O1_Community_Attributes!$X$1:$X$500,MATCH($A15,O1_Community_Attributes!$A$1:$A$500,0))="","",INDEX(O1_Community_Attributes!$X$1:$X$500,MATCH($A15,O1_Community_Attributes!$A$1:$A$500,0))),""))</f>
        <v/>
      </c>
      <c r="P15" s="8" t="str">
        <f aca="false">IF($A15="","",IFERROR(IF(INDEX(O1_Community_Attributes!$Y$1:$Y$500,MATCH($A15,O1_Community_Attributes!$A$1:$A$500,0))="","",INDEX(O1_Community_Attributes!$Y$1:$Y$500,MATCH($A15,O1_Community_Attributes!$A$1:$A$500,0))),""))</f>
        <v/>
      </c>
      <c r="Q15" s="8" t="str">
        <f aca="false">IF($A15="","",IFERROR(IF(INDEX(O1_Community_Attributes!$Z$1:$Z$500,MATCH($A15,O1_Community_Attributes!$A$1:$A$500,0))="","",INDEX(O1_Community_Attributes!$Z$1:$Z$500,MATCH($A15,O1_Community_Attributes!$A$1:$A$500,0))),""))</f>
        <v/>
      </c>
      <c r="R15" s="8" t="str">
        <f aca="false">IF($A15="","",IFERROR(IF(INDEX(O1_Community_Attributes!$BK$1:$BK$500,MATCH($A15,O1_Community_Attributes!$A$1:$A$500,0))="","",INDEX(O1_Community_Attributes!$BK$1:$BK$500,MATCH($A15,O1_Community_Attributes!$A$1:$A$500,0))),""))</f>
        <v/>
      </c>
      <c r="S15" s="8" t="str">
        <f aca="false">IF(OR($C15="",$M15=""),"",$M15/$C15)</f>
        <v/>
      </c>
      <c r="T15" s="8" t="str">
        <f aca="false">IF($C15="","",IF(AND($M15="",$P15=""),"",IF($M15="","B",IF(ABS($S15-1)&lt;=0.3,"A",IF(OR($S15&gt;2,$S15&lt;0.5),"C","B")))))</f>
        <v/>
      </c>
      <c r="AB15" s="9" t="s">
        <v>488</v>
      </c>
    </row>
    <row r="16" customFormat="false" ht="15" hidden="false" customHeight="true" outlineLevel="0" collapsed="false">
      <c r="H16" s="8" t="str">
        <f aca="false">IF(C16="","",IF(C16&lt;1,"yes","no"))</f>
        <v/>
      </c>
      <c r="I16" s="8" t="str">
        <f aca="false">IF(C16="","",IF(C16&lt;2.6,"r75",IF(C16&lt;5.2,"r110",IF(C16&lt;9.9,"r150",IF(C16&lt;19.8,"r210","r300")))))</f>
        <v/>
      </c>
      <c r="M16" s="8" t="str">
        <f aca="false">IF($A16="","",IFERROR(IF(INDEX(O1_Community_Attributes!$V$1:$V$500,MATCH($A16,O1_Community_Attributes!$A$1:$A$500,0))="","",INDEX(O1_Community_Attributes!$V$1:$V$500,MATCH($A16,O1_Community_Attributes!$A$1:$A$500,0))),""))</f>
        <v/>
      </c>
      <c r="N16" s="8" t="str">
        <f aca="false">IF($A16="","",IFERROR(IF(INDEX(O1_Community_Attributes!$W$1:$W$500,MATCH($A16,O1_Community_Attributes!$A$1:$A$500,0))="","",INDEX(O1_Community_Attributes!$W$1:$W$500,MATCH($A16,O1_Community_Attributes!$A$1:$A$500,0))),""))</f>
        <v/>
      </c>
      <c r="O16" s="8" t="str">
        <f aca="false">IF($A16="","",IFERROR(IF(INDEX(O1_Community_Attributes!$X$1:$X$500,MATCH($A16,O1_Community_Attributes!$A$1:$A$500,0))="","",INDEX(O1_Community_Attributes!$X$1:$X$500,MATCH($A16,O1_Community_Attributes!$A$1:$A$500,0))),""))</f>
        <v/>
      </c>
      <c r="P16" s="8" t="str">
        <f aca="false">IF($A16="","",IFERROR(IF(INDEX(O1_Community_Attributes!$Y$1:$Y$500,MATCH($A16,O1_Community_Attributes!$A$1:$A$500,0))="","",INDEX(O1_Community_Attributes!$Y$1:$Y$500,MATCH($A16,O1_Community_Attributes!$A$1:$A$500,0))),""))</f>
        <v/>
      </c>
      <c r="Q16" s="8" t="str">
        <f aca="false">IF($A16="","",IFERROR(IF(INDEX(O1_Community_Attributes!$Z$1:$Z$500,MATCH($A16,O1_Community_Attributes!$A$1:$A$500,0))="","",INDEX(O1_Community_Attributes!$Z$1:$Z$500,MATCH($A16,O1_Community_Attributes!$A$1:$A$500,0))),""))</f>
        <v/>
      </c>
      <c r="R16" s="8" t="str">
        <f aca="false">IF($A16="","",IFERROR(IF(INDEX(O1_Community_Attributes!$BK$1:$BK$500,MATCH($A16,O1_Community_Attributes!$A$1:$A$500,0))="","",INDEX(O1_Community_Attributes!$BK$1:$BK$500,MATCH($A16,O1_Community_Attributes!$A$1:$A$500,0))),""))</f>
        <v/>
      </c>
      <c r="S16" s="8" t="str">
        <f aca="false">IF(OR($C16="",$M16=""),"",$M16/$C16)</f>
        <v/>
      </c>
      <c r="T16" s="8" t="str">
        <f aca="false">IF($C16="","",IF(AND($M16="",$P16=""),"",IF($M16="","B",IF(ABS($S16-1)&lt;=0.3,"A",IF(OR($S16&gt;2,$S16&lt;0.5),"C","B")))))</f>
        <v/>
      </c>
    </row>
    <row r="17" customFormat="false" ht="15" hidden="false" customHeight="true" outlineLevel="0" collapsed="false">
      <c r="H17" s="8" t="str">
        <f aca="false">IF(C17="","",IF(C17&lt;1,"yes","no"))</f>
        <v/>
      </c>
      <c r="I17" s="8" t="str">
        <f aca="false">IF(C17="","",IF(C17&lt;2.6,"r75",IF(C17&lt;5.2,"r110",IF(C17&lt;9.9,"r150",IF(C17&lt;19.8,"r210","r300")))))</f>
        <v/>
      </c>
      <c r="M17" s="8" t="str">
        <f aca="false">IF($A17="","",IFERROR(IF(INDEX(O1_Community_Attributes!$V$1:$V$500,MATCH($A17,O1_Community_Attributes!$A$1:$A$500,0))="","",INDEX(O1_Community_Attributes!$V$1:$V$500,MATCH($A17,O1_Community_Attributes!$A$1:$A$500,0))),""))</f>
        <v/>
      </c>
      <c r="N17" s="8" t="str">
        <f aca="false">IF($A17="","",IFERROR(IF(INDEX(O1_Community_Attributes!$W$1:$W$500,MATCH($A17,O1_Community_Attributes!$A$1:$A$500,0))="","",INDEX(O1_Community_Attributes!$W$1:$W$500,MATCH($A17,O1_Community_Attributes!$A$1:$A$500,0))),""))</f>
        <v/>
      </c>
      <c r="O17" s="8" t="str">
        <f aca="false">IF($A17="","",IFERROR(IF(INDEX(O1_Community_Attributes!$X$1:$X$500,MATCH($A17,O1_Community_Attributes!$A$1:$A$500,0))="","",INDEX(O1_Community_Attributes!$X$1:$X$500,MATCH($A17,O1_Community_Attributes!$A$1:$A$500,0))),""))</f>
        <v/>
      </c>
      <c r="P17" s="8" t="str">
        <f aca="false">IF($A17="","",IFERROR(IF(INDEX(O1_Community_Attributes!$Y$1:$Y$500,MATCH($A17,O1_Community_Attributes!$A$1:$A$500,0))="","",INDEX(O1_Community_Attributes!$Y$1:$Y$500,MATCH($A17,O1_Community_Attributes!$A$1:$A$500,0))),""))</f>
        <v/>
      </c>
      <c r="Q17" s="8" t="str">
        <f aca="false">IF($A17="","",IFERROR(IF(INDEX(O1_Community_Attributes!$Z$1:$Z$500,MATCH($A17,O1_Community_Attributes!$A$1:$A$500,0))="","",INDEX(O1_Community_Attributes!$Z$1:$Z$500,MATCH($A17,O1_Community_Attributes!$A$1:$A$500,0))),""))</f>
        <v/>
      </c>
      <c r="R17" s="8" t="str">
        <f aca="false">IF($A17="","",IFERROR(IF(INDEX(O1_Community_Attributes!$BK$1:$BK$500,MATCH($A17,O1_Community_Attributes!$A$1:$A$500,0))="","",INDEX(O1_Community_Attributes!$BK$1:$BK$500,MATCH($A17,O1_Community_Attributes!$A$1:$A$500,0))),""))</f>
        <v/>
      </c>
      <c r="S17" s="8" t="str">
        <f aca="false">IF(OR($C17="",$M17=""),"",$M17/$C17)</f>
        <v/>
      </c>
      <c r="T17" s="8" t="str">
        <f aca="false">IF($C17="","",IF(AND($M17="",$P17=""),"",IF($M17="","B",IF(ABS($S17-1)&lt;=0.3,"A",IF(OR($S17&gt;2,$S17&lt;0.5),"C","B")))))</f>
        <v/>
      </c>
    </row>
    <row r="18" customFormat="false" ht="15" hidden="false" customHeight="true" outlineLevel="0" collapsed="false">
      <c r="H18" s="8" t="str">
        <f aca="false">IF(C18="","",IF(C18&lt;1,"yes","no"))</f>
        <v/>
      </c>
      <c r="I18" s="8" t="str">
        <f aca="false">IF(C18="","",IF(C18&lt;2.6,"r75",IF(C18&lt;5.2,"r110",IF(C18&lt;9.9,"r150",IF(C18&lt;19.8,"r210","r300")))))</f>
        <v/>
      </c>
      <c r="M18" s="8" t="str">
        <f aca="false">IF($A18="","",IFERROR(IF(INDEX(O1_Community_Attributes!$V$1:$V$500,MATCH($A18,O1_Community_Attributes!$A$1:$A$500,0))="","",INDEX(O1_Community_Attributes!$V$1:$V$500,MATCH($A18,O1_Community_Attributes!$A$1:$A$500,0))),""))</f>
        <v/>
      </c>
      <c r="N18" s="8" t="str">
        <f aca="false">IF($A18="","",IFERROR(IF(INDEX(O1_Community_Attributes!$W$1:$W$500,MATCH($A18,O1_Community_Attributes!$A$1:$A$500,0))="","",INDEX(O1_Community_Attributes!$W$1:$W$500,MATCH($A18,O1_Community_Attributes!$A$1:$A$500,0))),""))</f>
        <v/>
      </c>
      <c r="O18" s="8" t="str">
        <f aca="false">IF($A18="","",IFERROR(IF(INDEX(O1_Community_Attributes!$X$1:$X$500,MATCH($A18,O1_Community_Attributes!$A$1:$A$500,0))="","",INDEX(O1_Community_Attributes!$X$1:$X$500,MATCH($A18,O1_Community_Attributes!$A$1:$A$500,0))),""))</f>
        <v/>
      </c>
      <c r="P18" s="8" t="str">
        <f aca="false">IF($A18="","",IFERROR(IF(INDEX(O1_Community_Attributes!$Y$1:$Y$500,MATCH($A18,O1_Community_Attributes!$A$1:$A$500,0))="","",INDEX(O1_Community_Attributes!$Y$1:$Y$500,MATCH($A18,O1_Community_Attributes!$A$1:$A$500,0))),""))</f>
        <v/>
      </c>
      <c r="Q18" s="8" t="str">
        <f aca="false">IF($A18="","",IFERROR(IF(INDEX(O1_Community_Attributes!$Z$1:$Z$500,MATCH($A18,O1_Community_Attributes!$A$1:$A$500,0))="","",INDEX(O1_Community_Attributes!$Z$1:$Z$500,MATCH($A18,O1_Community_Attributes!$A$1:$A$500,0))),""))</f>
        <v/>
      </c>
      <c r="R18" s="8" t="str">
        <f aca="false">IF($A18="","",IFERROR(IF(INDEX(O1_Community_Attributes!$BK$1:$BK$500,MATCH($A18,O1_Community_Attributes!$A$1:$A$500,0))="","",INDEX(O1_Community_Attributes!$BK$1:$BK$500,MATCH($A18,O1_Community_Attributes!$A$1:$A$500,0))),""))</f>
        <v/>
      </c>
      <c r="S18" s="8" t="str">
        <f aca="false">IF(OR($C18="",$M18=""),"",$M18/$C18)</f>
        <v/>
      </c>
      <c r="T18" s="8" t="str">
        <f aca="false">IF($C18="","",IF(AND($M18="",$P18=""),"",IF($M18="","B",IF(ABS($S18-1)&lt;=0.3,"A",IF(OR($S18&gt;2,$S18&lt;0.5),"C","B")))))</f>
        <v/>
      </c>
    </row>
    <row r="19" customFormat="false" ht="15" hidden="false" customHeight="true" outlineLevel="0" collapsed="false">
      <c r="H19" s="8" t="str">
        <f aca="false">IF(C19="","",IF(C19&lt;1,"yes","no"))</f>
        <v/>
      </c>
      <c r="I19" s="8" t="str">
        <f aca="false">IF(C19="","",IF(C19&lt;2.6,"r75",IF(C19&lt;5.2,"r110",IF(C19&lt;9.9,"r150",IF(C19&lt;19.8,"r210","r300")))))</f>
        <v/>
      </c>
      <c r="M19" s="8" t="str">
        <f aca="false">IF($A19="","",IFERROR(IF(INDEX(O1_Community_Attributes!$V$1:$V$500,MATCH($A19,O1_Community_Attributes!$A$1:$A$500,0))="","",INDEX(O1_Community_Attributes!$V$1:$V$500,MATCH($A19,O1_Community_Attributes!$A$1:$A$500,0))),""))</f>
        <v/>
      </c>
      <c r="N19" s="8" t="str">
        <f aca="false">IF($A19="","",IFERROR(IF(INDEX(O1_Community_Attributes!$W$1:$W$500,MATCH($A19,O1_Community_Attributes!$A$1:$A$500,0))="","",INDEX(O1_Community_Attributes!$W$1:$W$500,MATCH($A19,O1_Community_Attributes!$A$1:$A$500,0))),""))</f>
        <v/>
      </c>
      <c r="O19" s="8" t="str">
        <f aca="false">IF($A19="","",IFERROR(IF(INDEX(O1_Community_Attributes!$X$1:$X$500,MATCH($A19,O1_Community_Attributes!$A$1:$A$500,0))="","",INDEX(O1_Community_Attributes!$X$1:$X$500,MATCH($A19,O1_Community_Attributes!$A$1:$A$500,0))),""))</f>
        <v/>
      </c>
      <c r="P19" s="8" t="str">
        <f aca="false">IF($A19="","",IFERROR(IF(INDEX(O1_Community_Attributes!$Y$1:$Y$500,MATCH($A19,O1_Community_Attributes!$A$1:$A$500,0))="","",INDEX(O1_Community_Attributes!$Y$1:$Y$500,MATCH($A19,O1_Community_Attributes!$A$1:$A$500,0))),""))</f>
        <v/>
      </c>
      <c r="Q19" s="8" t="str">
        <f aca="false">IF($A19="","",IFERROR(IF(INDEX(O1_Community_Attributes!$Z$1:$Z$500,MATCH($A19,O1_Community_Attributes!$A$1:$A$500,0))="","",INDEX(O1_Community_Attributes!$Z$1:$Z$500,MATCH($A19,O1_Community_Attributes!$A$1:$A$500,0))),""))</f>
        <v/>
      </c>
      <c r="R19" s="8" t="str">
        <f aca="false">IF($A19="","",IFERROR(IF(INDEX(O1_Community_Attributes!$BK$1:$BK$500,MATCH($A19,O1_Community_Attributes!$A$1:$A$500,0))="","",INDEX(O1_Community_Attributes!$BK$1:$BK$500,MATCH($A19,O1_Community_Attributes!$A$1:$A$500,0))),""))</f>
        <v/>
      </c>
      <c r="S19" s="8" t="str">
        <f aca="false">IF(OR($C19="",$M19=""),"",$M19/$C19)</f>
        <v/>
      </c>
      <c r="T19" s="8" t="str">
        <f aca="false">IF($C19="","",IF(AND($M19="",$P19=""),"",IF($M19="","B",IF(ABS($S19-1)&lt;=0.3,"A",IF(OR($S19&gt;2,$S19&lt;0.5),"C","B")))))</f>
        <v/>
      </c>
    </row>
    <row r="20" customFormat="false" ht="15" hidden="false" customHeight="true" outlineLevel="0" collapsed="false">
      <c r="H20" s="8" t="str">
        <f aca="false">IF(C20="","",IF(C20&lt;1,"yes","no"))</f>
        <v/>
      </c>
      <c r="I20" s="8" t="str">
        <f aca="false">IF(C20="","",IF(C20&lt;2.6,"r75",IF(C20&lt;5.2,"r110",IF(C20&lt;9.9,"r150",IF(C20&lt;19.8,"r210","r300")))))</f>
        <v/>
      </c>
      <c r="M20" s="8" t="str">
        <f aca="false">IF($A20="","",IFERROR(IF(INDEX(O1_Community_Attributes!$V$1:$V$500,MATCH($A20,O1_Community_Attributes!$A$1:$A$500,0))="","",INDEX(O1_Community_Attributes!$V$1:$V$500,MATCH($A20,O1_Community_Attributes!$A$1:$A$500,0))),""))</f>
        <v/>
      </c>
      <c r="N20" s="8" t="str">
        <f aca="false">IF($A20="","",IFERROR(IF(INDEX(O1_Community_Attributes!$W$1:$W$500,MATCH($A20,O1_Community_Attributes!$A$1:$A$500,0))="","",INDEX(O1_Community_Attributes!$W$1:$W$500,MATCH($A20,O1_Community_Attributes!$A$1:$A$500,0))),""))</f>
        <v/>
      </c>
      <c r="O20" s="8" t="str">
        <f aca="false">IF($A20="","",IFERROR(IF(INDEX(O1_Community_Attributes!$X$1:$X$500,MATCH($A20,O1_Community_Attributes!$A$1:$A$500,0))="","",INDEX(O1_Community_Attributes!$X$1:$X$500,MATCH($A20,O1_Community_Attributes!$A$1:$A$500,0))),""))</f>
        <v/>
      </c>
      <c r="P20" s="8" t="str">
        <f aca="false">IF($A20="","",IFERROR(IF(INDEX(O1_Community_Attributes!$Y$1:$Y$500,MATCH($A20,O1_Community_Attributes!$A$1:$A$500,0))="","",INDEX(O1_Community_Attributes!$Y$1:$Y$500,MATCH($A20,O1_Community_Attributes!$A$1:$A$500,0))),""))</f>
        <v/>
      </c>
      <c r="Q20" s="8" t="str">
        <f aca="false">IF($A20="","",IFERROR(IF(INDEX(O1_Community_Attributes!$Z$1:$Z$500,MATCH($A20,O1_Community_Attributes!$A$1:$A$500,0))="","",INDEX(O1_Community_Attributes!$Z$1:$Z$500,MATCH($A20,O1_Community_Attributes!$A$1:$A$500,0))),""))</f>
        <v/>
      </c>
      <c r="R20" s="8" t="str">
        <f aca="false">IF($A20="","",IFERROR(IF(INDEX(O1_Community_Attributes!$BK$1:$BK$500,MATCH($A20,O1_Community_Attributes!$A$1:$A$500,0))="","",INDEX(O1_Community_Attributes!$BK$1:$BK$500,MATCH($A20,O1_Community_Attributes!$A$1:$A$500,0))),""))</f>
        <v/>
      </c>
      <c r="S20" s="8" t="str">
        <f aca="false">IF(OR($C20="",$M20=""),"",$M20/$C20)</f>
        <v/>
      </c>
      <c r="T20" s="8" t="str">
        <f aca="false">IF($C20="","",IF(AND($M20="",$P20=""),"",IF($M20="","B",IF(ABS($S20-1)&lt;=0.3,"A",IF(OR($S20&gt;2,$S20&lt;0.5),"C","B")))))</f>
        <v/>
      </c>
    </row>
    <row r="21" customFormat="false" ht="15" hidden="false" customHeight="true" outlineLevel="0" collapsed="false">
      <c r="H21" s="8" t="str">
        <f aca="false">IF(C21="","",IF(C21&lt;1,"yes","no"))</f>
        <v/>
      </c>
      <c r="I21" s="8" t="str">
        <f aca="false">IF(C21="","",IF(C21&lt;2.6,"r75",IF(C21&lt;5.2,"r110",IF(C21&lt;9.9,"r150",IF(C21&lt;19.8,"r210","r300")))))</f>
        <v/>
      </c>
      <c r="M21" s="8" t="str">
        <f aca="false">IF($A21="","",IFERROR(IF(INDEX(O1_Community_Attributes!$V$1:$V$500,MATCH($A21,O1_Community_Attributes!$A$1:$A$500,0))="","",INDEX(O1_Community_Attributes!$V$1:$V$500,MATCH($A21,O1_Community_Attributes!$A$1:$A$500,0))),""))</f>
        <v/>
      </c>
      <c r="N21" s="8" t="str">
        <f aca="false">IF($A21="","",IFERROR(IF(INDEX(O1_Community_Attributes!$W$1:$W$500,MATCH($A21,O1_Community_Attributes!$A$1:$A$500,0))="","",INDEX(O1_Community_Attributes!$W$1:$W$500,MATCH($A21,O1_Community_Attributes!$A$1:$A$500,0))),""))</f>
        <v/>
      </c>
      <c r="O21" s="8" t="str">
        <f aca="false">IF($A21="","",IFERROR(IF(INDEX(O1_Community_Attributes!$X$1:$X$500,MATCH($A21,O1_Community_Attributes!$A$1:$A$500,0))="","",INDEX(O1_Community_Attributes!$X$1:$X$500,MATCH($A21,O1_Community_Attributes!$A$1:$A$500,0))),""))</f>
        <v/>
      </c>
      <c r="P21" s="8" t="str">
        <f aca="false">IF($A21="","",IFERROR(IF(INDEX(O1_Community_Attributes!$Y$1:$Y$500,MATCH($A21,O1_Community_Attributes!$A$1:$A$500,0))="","",INDEX(O1_Community_Attributes!$Y$1:$Y$500,MATCH($A21,O1_Community_Attributes!$A$1:$A$500,0))),""))</f>
        <v/>
      </c>
      <c r="Q21" s="8" t="str">
        <f aca="false">IF($A21="","",IFERROR(IF(INDEX(O1_Community_Attributes!$Z$1:$Z$500,MATCH($A21,O1_Community_Attributes!$A$1:$A$500,0))="","",INDEX(O1_Community_Attributes!$Z$1:$Z$500,MATCH($A21,O1_Community_Attributes!$A$1:$A$500,0))),""))</f>
        <v/>
      </c>
      <c r="R21" s="8" t="str">
        <f aca="false">IF($A21="","",IFERROR(IF(INDEX(O1_Community_Attributes!$BK$1:$BK$500,MATCH($A21,O1_Community_Attributes!$A$1:$A$500,0))="","",INDEX(O1_Community_Attributes!$BK$1:$BK$500,MATCH($A21,O1_Community_Attributes!$A$1:$A$500,0))),""))</f>
        <v/>
      </c>
      <c r="S21" s="8" t="str">
        <f aca="false">IF(OR($C21="",$M21=""),"",$M21/$C21)</f>
        <v/>
      </c>
      <c r="T21" s="8" t="str">
        <f aca="false">IF($C21="","",IF(AND($M21="",$P21=""),"",IF($M21="","B",IF(ABS($S21-1)&lt;=0.3,"A",IF(OR($S21&gt;2,$S21&lt;0.5),"C","B")))))</f>
        <v/>
      </c>
    </row>
    <row r="22" customFormat="false" ht="15" hidden="false" customHeight="true" outlineLevel="0" collapsed="false">
      <c r="H22" s="8" t="str">
        <f aca="false">IF(C22="","",IF(C22&lt;1,"yes","no"))</f>
        <v/>
      </c>
      <c r="I22" s="8" t="str">
        <f aca="false">IF(C22="","",IF(C22&lt;2.6,"r75",IF(C22&lt;5.2,"r110",IF(C22&lt;9.9,"r150",IF(C22&lt;19.8,"r210","r300")))))</f>
        <v/>
      </c>
      <c r="M22" s="8" t="str">
        <f aca="false">IF($A22="","",IFERROR(IF(INDEX(O1_Community_Attributes!$V$1:$V$500,MATCH($A22,O1_Community_Attributes!$A$1:$A$500,0))="","",INDEX(O1_Community_Attributes!$V$1:$V$500,MATCH($A22,O1_Community_Attributes!$A$1:$A$500,0))),""))</f>
        <v/>
      </c>
      <c r="N22" s="8" t="str">
        <f aca="false">IF($A22="","",IFERROR(IF(INDEX(O1_Community_Attributes!$W$1:$W$500,MATCH($A22,O1_Community_Attributes!$A$1:$A$500,0))="","",INDEX(O1_Community_Attributes!$W$1:$W$500,MATCH($A22,O1_Community_Attributes!$A$1:$A$500,0))),""))</f>
        <v/>
      </c>
      <c r="O22" s="8" t="str">
        <f aca="false">IF($A22="","",IFERROR(IF(INDEX(O1_Community_Attributes!$X$1:$X$500,MATCH($A22,O1_Community_Attributes!$A$1:$A$500,0))="","",INDEX(O1_Community_Attributes!$X$1:$X$500,MATCH($A22,O1_Community_Attributes!$A$1:$A$500,0))),""))</f>
        <v/>
      </c>
      <c r="P22" s="8" t="str">
        <f aca="false">IF($A22="","",IFERROR(IF(INDEX(O1_Community_Attributes!$Y$1:$Y$500,MATCH($A22,O1_Community_Attributes!$A$1:$A$500,0))="","",INDEX(O1_Community_Attributes!$Y$1:$Y$500,MATCH($A22,O1_Community_Attributes!$A$1:$A$500,0))),""))</f>
        <v/>
      </c>
      <c r="Q22" s="8" t="str">
        <f aca="false">IF($A22="","",IFERROR(IF(INDEX(O1_Community_Attributes!$Z$1:$Z$500,MATCH($A22,O1_Community_Attributes!$A$1:$A$500,0))="","",INDEX(O1_Community_Attributes!$Z$1:$Z$500,MATCH($A22,O1_Community_Attributes!$A$1:$A$500,0))),""))</f>
        <v/>
      </c>
      <c r="R22" s="8" t="str">
        <f aca="false">IF($A22="","",IFERROR(IF(INDEX(O1_Community_Attributes!$BK$1:$BK$500,MATCH($A22,O1_Community_Attributes!$A$1:$A$500,0))="","",INDEX(O1_Community_Attributes!$BK$1:$BK$500,MATCH($A22,O1_Community_Attributes!$A$1:$A$500,0))),""))</f>
        <v/>
      </c>
      <c r="S22" s="8" t="str">
        <f aca="false">IF(OR($C22="",$M22=""),"",$M22/$C22)</f>
        <v/>
      </c>
      <c r="T22" s="8" t="str">
        <f aca="false">IF($C22="","",IF(AND($M22="",$P22=""),"",IF($M22="","B",IF(ABS($S22-1)&lt;=0.3,"A",IF(OR($S22&gt;2,$S22&lt;0.5),"C","B")))))</f>
        <v/>
      </c>
    </row>
    <row r="23" customFormat="false" ht="15" hidden="false" customHeight="true" outlineLevel="0" collapsed="false">
      <c r="H23" s="8" t="str">
        <f aca="false">IF(C23="","",IF(C23&lt;1,"yes","no"))</f>
        <v/>
      </c>
      <c r="I23" s="8" t="str">
        <f aca="false">IF(C23="","",IF(C23&lt;2.6,"r75",IF(C23&lt;5.2,"r110",IF(C23&lt;9.9,"r150",IF(C23&lt;19.8,"r210","r300")))))</f>
        <v/>
      </c>
      <c r="M23" s="8" t="str">
        <f aca="false">IF($A23="","",IFERROR(IF(INDEX(O1_Community_Attributes!$V$1:$V$500,MATCH($A23,O1_Community_Attributes!$A$1:$A$500,0))="","",INDEX(O1_Community_Attributes!$V$1:$V$500,MATCH($A23,O1_Community_Attributes!$A$1:$A$500,0))),""))</f>
        <v/>
      </c>
      <c r="N23" s="8" t="str">
        <f aca="false">IF($A23="","",IFERROR(IF(INDEX(O1_Community_Attributes!$W$1:$W$500,MATCH($A23,O1_Community_Attributes!$A$1:$A$500,0))="","",INDEX(O1_Community_Attributes!$W$1:$W$500,MATCH($A23,O1_Community_Attributes!$A$1:$A$500,0))),""))</f>
        <v/>
      </c>
      <c r="O23" s="8" t="str">
        <f aca="false">IF($A23="","",IFERROR(IF(INDEX(O1_Community_Attributes!$X$1:$X$500,MATCH($A23,O1_Community_Attributes!$A$1:$A$500,0))="","",INDEX(O1_Community_Attributes!$X$1:$X$500,MATCH($A23,O1_Community_Attributes!$A$1:$A$500,0))),""))</f>
        <v/>
      </c>
      <c r="P23" s="8" t="str">
        <f aca="false">IF($A23="","",IFERROR(IF(INDEX(O1_Community_Attributes!$Y$1:$Y$500,MATCH($A23,O1_Community_Attributes!$A$1:$A$500,0))="","",INDEX(O1_Community_Attributes!$Y$1:$Y$500,MATCH($A23,O1_Community_Attributes!$A$1:$A$500,0))),""))</f>
        <v/>
      </c>
      <c r="Q23" s="8" t="str">
        <f aca="false">IF($A23="","",IFERROR(IF(INDEX(O1_Community_Attributes!$Z$1:$Z$500,MATCH($A23,O1_Community_Attributes!$A$1:$A$500,0))="","",INDEX(O1_Community_Attributes!$Z$1:$Z$500,MATCH($A23,O1_Community_Attributes!$A$1:$A$500,0))),""))</f>
        <v/>
      </c>
      <c r="R23" s="8" t="str">
        <f aca="false">IF($A23="","",IFERROR(IF(INDEX(O1_Community_Attributes!$BK$1:$BK$500,MATCH($A23,O1_Community_Attributes!$A$1:$A$500,0))="","",INDEX(O1_Community_Attributes!$BK$1:$BK$500,MATCH($A23,O1_Community_Attributes!$A$1:$A$500,0))),""))</f>
        <v/>
      </c>
      <c r="S23" s="8" t="str">
        <f aca="false">IF(OR($C23="",$M23=""),"",$M23/$C23)</f>
        <v/>
      </c>
      <c r="T23" s="8" t="str">
        <f aca="false">IF($C23="","",IF(AND($M23="",$P23=""),"",IF($M23="","B",IF(ABS($S23-1)&lt;=0.3,"A",IF(OR($S23&gt;2,$S23&lt;0.5),"C","B")))))</f>
        <v/>
      </c>
    </row>
    <row r="24" customFormat="false" ht="15" hidden="false" customHeight="true" outlineLevel="0" collapsed="false">
      <c r="H24" s="8" t="str">
        <f aca="false">IF(C24="","",IF(C24&lt;1,"yes","no"))</f>
        <v/>
      </c>
      <c r="I24" s="8" t="str">
        <f aca="false">IF(C24="","",IF(C24&lt;2.6,"r75",IF(C24&lt;5.2,"r110",IF(C24&lt;9.9,"r150",IF(C24&lt;19.8,"r210","r300")))))</f>
        <v/>
      </c>
      <c r="M24" s="8" t="str">
        <f aca="false">IF($A24="","",IFERROR(IF(INDEX(O1_Community_Attributes!$V$1:$V$500,MATCH($A24,O1_Community_Attributes!$A$1:$A$500,0))="","",INDEX(O1_Community_Attributes!$V$1:$V$500,MATCH($A24,O1_Community_Attributes!$A$1:$A$500,0))),""))</f>
        <v/>
      </c>
      <c r="N24" s="8" t="str">
        <f aca="false">IF($A24="","",IFERROR(IF(INDEX(O1_Community_Attributes!$W$1:$W$500,MATCH($A24,O1_Community_Attributes!$A$1:$A$500,0))="","",INDEX(O1_Community_Attributes!$W$1:$W$500,MATCH($A24,O1_Community_Attributes!$A$1:$A$500,0))),""))</f>
        <v/>
      </c>
      <c r="O24" s="8" t="str">
        <f aca="false">IF($A24="","",IFERROR(IF(INDEX(O1_Community_Attributes!$X$1:$X$500,MATCH($A24,O1_Community_Attributes!$A$1:$A$500,0))="","",INDEX(O1_Community_Attributes!$X$1:$X$500,MATCH($A24,O1_Community_Attributes!$A$1:$A$500,0))),""))</f>
        <v/>
      </c>
      <c r="P24" s="8" t="str">
        <f aca="false">IF($A24="","",IFERROR(IF(INDEX(O1_Community_Attributes!$Y$1:$Y$500,MATCH($A24,O1_Community_Attributes!$A$1:$A$500,0))="","",INDEX(O1_Community_Attributes!$Y$1:$Y$500,MATCH($A24,O1_Community_Attributes!$A$1:$A$500,0))),""))</f>
        <v/>
      </c>
      <c r="Q24" s="8" t="str">
        <f aca="false">IF($A24="","",IFERROR(IF(INDEX(O1_Community_Attributes!$Z$1:$Z$500,MATCH($A24,O1_Community_Attributes!$A$1:$A$500,0))="","",INDEX(O1_Community_Attributes!$Z$1:$Z$500,MATCH($A24,O1_Community_Attributes!$A$1:$A$500,0))),""))</f>
        <v/>
      </c>
      <c r="R24" s="8" t="str">
        <f aca="false">IF($A24="","",IFERROR(IF(INDEX(O1_Community_Attributes!$BK$1:$BK$500,MATCH($A24,O1_Community_Attributes!$A$1:$A$500,0))="","",INDEX(O1_Community_Attributes!$BK$1:$BK$500,MATCH($A24,O1_Community_Attributes!$A$1:$A$500,0))),""))</f>
        <v/>
      </c>
      <c r="S24" s="8" t="str">
        <f aca="false">IF(OR($C24="",$M24=""),"",$M24/$C24)</f>
        <v/>
      </c>
      <c r="T24" s="8" t="str">
        <f aca="false">IF($C24="","",IF(AND($M24="",$P24=""),"",IF($M24="","B",IF(ABS($S24-1)&lt;=0.3,"A",IF(OR($S24&gt;2,$S24&lt;0.5),"C","B")))))</f>
        <v/>
      </c>
    </row>
    <row r="25" customFormat="false" ht="15" hidden="false" customHeight="true" outlineLevel="0" collapsed="false">
      <c r="H25" s="8" t="str">
        <f aca="false">IF(C25="","",IF(C25&lt;1,"yes","no"))</f>
        <v/>
      </c>
      <c r="I25" s="8" t="str">
        <f aca="false">IF(C25="","",IF(C25&lt;2.6,"r75",IF(C25&lt;5.2,"r110",IF(C25&lt;9.9,"r150",IF(C25&lt;19.8,"r210","r300")))))</f>
        <v/>
      </c>
      <c r="M25" s="8" t="str">
        <f aca="false">IF($A25="","",IFERROR(IF(INDEX(O1_Community_Attributes!$V$1:$V$500,MATCH($A25,O1_Community_Attributes!$A$1:$A$500,0))="","",INDEX(O1_Community_Attributes!$V$1:$V$500,MATCH($A25,O1_Community_Attributes!$A$1:$A$500,0))),""))</f>
        <v/>
      </c>
      <c r="N25" s="8" t="str">
        <f aca="false">IF($A25="","",IFERROR(IF(INDEX(O1_Community_Attributes!$W$1:$W$500,MATCH($A25,O1_Community_Attributes!$A$1:$A$500,0))="","",INDEX(O1_Community_Attributes!$W$1:$W$500,MATCH($A25,O1_Community_Attributes!$A$1:$A$500,0))),""))</f>
        <v/>
      </c>
      <c r="O25" s="8" t="str">
        <f aca="false">IF($A25="","",IFERROR(IF(INDEX(O1_Community_Attributes!$X$1:$X$500,MATCH($A25,O1_Community_Attributes!$A$1:$A$500,0))="","",INDEX(O1_Community_Attributes!$X$1:$X$500,MATCH($A25,O1_Community_Attributes!$A$1:$A$500,0))),""))</f>
        <v/>
      </c>
      <c r="P25" s="8" t="str">
        <f aca="false">IF($A25="","",IFERROR(IF(INDEX(O1_Community_Attributes!$Y$1:$Y$500,MATCH($A25,O1_Community_Attributes!$A$1:$A$500,0))="","",INDEX(O1_Community_Attributes!$Y$1:$Y$500,MATCH($A25,O1_Community_Attributes!$A$1:$A$500,0))),""))</f>
        <v/>
      </c>
      <c r="Q25" s="8" t="str">
        <f aca="false">IF($A25="","",IFERROR(IF(INDEX(O1_Community_Attributes!$Z$1:$Z$500,MATCH($A25,O1_Community_Attributes!$A$1:$A$500,0))="","",INDEX(O1_Community_Attributes!$Z$1:$Z$500,MATCH($A25,O1_Community_Attributes!$A$1:$A$500,0))),""))</f>
        <v/>
      </c>
      <c r="R25" s="8" t="str">
        <f aca="false">IF($A25="","",IFERROR(IF(INDEX(O1_Community_Attributes!$BK$1:$BK$500,MATCH($A25,O1_Community_Attributes!$A$1:$A$500,0))="","",INDEX(O1_Community_Attributes!$BK$1:$BK$500,MATCH($A25,O1_Community_Attributes!$A$1:$A$500,0))),""))</f>
        <v/>
      </c>
      <c r="S25" s="8" t="str">
        <f aca="false">IF(OR($C25="",$M25=""),"",$M25/$C25)</f>
        <v/>
      </c>
      <c r="T25" s="8" t="str">
        <f aca="false">IF($C25="","",IF(AND($M25="",$P25=""),"",IF($M25="","B",IF(ABS($S25-1)&lt;=0.3,"A",IF(OR($S25&gt;2,$S25&lt;0.5),"C","B")))))</f>
        <v/>
      </c>
    </row>
    <row r="26" customFormat="false" ht="15" hidden="false" customHeight="true" outlineLevel="0" collapsed="false">
      <c r="H26" s="8" t="str">
        <f aca="false">IF(C26="","",IF(C26&lt;1,"yes","no"))</f>
        <v/>
      </c>
      <c r="I26" s="8" t="str">
        <f aca="false">IF(C26="","",IF(C26&lt;2.6,"r75",IF(C26&lt;5.2,"r110",IF(C26&lt;9.9,"r150",IF(C26&lt;19.8,"r210","r300")))))</f>
        <v/>
      </c>
      <c r="M26" s="8" t="str">
        <f aca="false">IF($A26="","",IFERROR(IF(INDEX(O1_Community_Attributes!$V$1:$V$500,MATCH($A26,O1_Community_Attributes!$A$1:$A$500,0))="","",INDEX(O1_Community_Attributes!$V$1:$V$500,MATCH($A26,O1_Community_Attributes!$A$1:$A$500,0))),""))</f>
        <v/>
      </c>
      <c r="N26" s="8" t="str">
        <f aca="false">IF($A26="","",IFERROR(IF(INDEX(O1_Community_Attributes!$W$1:$W$500,MATCH($A26,O1_Community_Attributes!$A$1:$A$500,0))="","",INDEX(O1_Community_Attributes!$W$1:$W$500,MATCH($A26,O1_Community_Attributes!$A$1:$A$500,0))),""))</f>
        <v/>
      </c>
      <c r="O26" s="8" t="str">
        <f aca="false">IF($A26="","",IFERROR(IF(INDEX(O1_Community_Attributes!$X$1:$X$500,MATCH($A26,O1_Community_Attributes!$A$1:$A$500,0))="","",INDEX(O1_Community_Attributes!$X$1:$X$500,MATCH($A26,O1_Community_Attributes!$A$1:$A$500,0))),""))</f>
        <v/>
      </c>
      <c r="P26" s="8" t="str">
        <f aca="false">IF($A26="","",IFERROR(IF(INDEX(O1_Community_Attributes!$Y$1:$Y$500,MATCH($A26,O1_Community_Attributes!$A$1:$A$500,0))="","",INDEX(O1_Community_Attributes!$Y$1:$Y$500,MATCH($A26,O1_Community_Attributes!$A$1:$A$500,0))),""))</f>
        <v/>
      </c>
      <c r="Q26" s="8" t="str">
        <f aca="false">IF($A26="","",IFERROR(IF(INDEX(O1_Community_Attributes!$Z$1:$Z$500,MATCH($A26,O1_Community_Attributes!$A$1:$A$500,0))="","",INDEX(O1_Community_Attributes!$Z$1:$Z$500,MATCH($A26,O1_Community_Attributes!$A$1:$A$500,0))),""))</f>
        <v/>
      </c>
      <c r="R26" s="8" t="str">
        <f aca="false">IF($A26="","",IFERROR(IF(INDEX(O1_Community_Attributes!$BK$1:$BK$500,MATCH($A26,O1_Community_Attributes!$A$1:$A$500,0))="","",INDEX(O1_Community_Attributes!$BK$1:$BK$500,MATCH($A26,O1_Community_Attributes!$A$1:$A$500,0))),""))</f>
        <v/>
      </c>
      <c r="S26" s="8" t="str">
        <f aca="false">IF(OR($C26="",$M26=""),"",$M26/$C26)</f>
        <v/>
      </c>
      <c r="T26" s="8" t="str">
        <f aca="false">IF($C26="","",IF(AND($M26="",$P26=""),"",IF($M26="","B",IF(ABS($S26-1)&lt;=0.3,"A",IF(OR($S26&gt;2,$S26&lt;0.5),"C","B")))))</f>
        <v/>
      </c>
    </row>
    <row r="27" customFormat="false" ht="15" hidden="false" customHeight="true" outlineLevel="0" collapsed="false">
      <c r="H27" s="8" t="str">
        <f aca="false">IF(C27="","",IF(C27&lt;1,"yes","no"))</f>
        <v/>
      </c>
      <c r="I27" s="8" t="str">
        <f aca="false">IF(C27="","",IF(C27&lt;2.6,"r75",IF(C27&lt;5.2,"r110",IF(C27&lt;9.9,"r150",IF(C27&lt;19.8,"r210","r300")))))</f>
        <v/>
      </c>
      <c r="M27" s="8" t="str">
        <f aca="false">IF($A27="","",IFERROR(IF(INDEX(O1_Community_Attributes!$V$1:$V$500,MATCH($A27,O1_Community_Attributes!$A$1:$A$500,0))="","",INDEX(O1_Community_Attributes!$V$1:$V$500,MATCH($A27,O1_Community_Attributes!$A$1:$A$500,0))),""))</f>
        <v/>
      </c>
      <c r="N27" s="8" t="str">
        <f aca="false">IF($A27="","",IFERROR(IF(INDEX(O1_Community_Attributes!$W$1:$W$500,MATCH($A27,O1_Community_Attributes!$A$1:$A$500,0))="","",INDEX(O1_Community_Attributes!$W$1:$W$500,MATCH($A27,O1_Community_Attributes!$A$1:$A$500,0))),""))</f>
        <v/>
      </c>
      <c r="O27" s="8" t="str">
        <f aca="false">IF($A27="","",IFERROR(IF(INDEX(O1_Community_Attributes!$X$1:$X$500,MATCH($A27,O1_Community_Attributes!$A$1:$A$500,0))="","",INDEX(O1_Community_Attributes!$X$1:$X$500,MATCH($A27,O1_Community_Attributes!$A$1:$A$500,0))),""))</f>
        <v/>
      </c>
      <c r="P27" s="8" t="str">
        <f aca="false">IF($A27="","",IFERROR(IF(INDEX(O1_Community_Attributes!$Y$1:$Y$500,MATCH($A27,O1_Community_Attributes!$A$1:$A$500,0))="","",INDEX(O1_Community_Attributes!$Y$1:$Y$500,MATCH($A27,O1_Community_Attributes!$A$1:$A$500,0))),""))</f>
        <v/>
      </c>
      <c r="Q27" s="8" t="str">
        <f aca="false">IF($A27="","",IFERROR(IF(INDEX(O1_Community_Attributes!$Z$1:$Z$500,MATCH($A27,O1_Community_Attributes!$A$1:$A$500,0))="","",INDEX(O1_Community_Attributes!$Z$1:$Z$500,MATCH($A27,O1_Community_Attributes!$A$1:$A$500,0))),""))</f>
        <v/>
      </c>
      <c r="R27" s="8" t="str">
        <f aca="false">IF($A27="","",IFERROR(IF(INDEX(O1_Community_Attributes!$BK$1:$BK$500,MATCH($A27,O1_Community_Attributes!$A$1:$A$500,0))="","",INDEX(O1_Community_Attributes!$BK$1:$BK$500,MATCH($A27,O1_Community_Attributes!$A$1:$A$500,0))),""))</f>
        <v/>
      </c>
      <c r="S27" s="8" t="str">
        <f aca="false">IF(OR($C27="",$M27=""),"",$M27/$C27)</f>
        <v/>
      </c>
      <c r="T27" s="8" t="str">
        <f aca="false">IF($C27="","",IF(AND($M27="",$P27=""),"",IF($M27="","B",IF(ABS($S27-1)&lt;=0.3,"A",IF(OR($S27&gt;2,$S27&lt;0.5),"C","B")))))</f>
        <v/>
      </c>
    </row>
    <row r="28" customFormat="false" ht="15" hidden="false" customHeight="true" outlineLevel="0" collapsed="false">
      <c r="H28" s="8" t="str">
        <f aca="false">IF(C28="","",IF(C28&lt;1,"yes","no"))</f>
        <v/>
      </c>
      <c r="I28" s="8" t="str">
        <f aca="false">IF(C28="","",IF(C28&lt;2.6,"r75",IF(C28&lt;5.2,"r110",IF(C28&lt;9.9,"r150",IF(C28&lt;19.8,"r210","r300")))))</f>
        <v/>
      </c>
      <c r="M28" s="8" t="str">
        <f aca="false">IF($A28="","",IFERROR(IF(INDEX(O1_Community_Attributes!$V$1:$V$500,MATCH($A28,O1_Community_Attributes!$A$1:$A$500,0))="","",INDEX(O1_Community_Attributes!$V$1:$V$500,MATCH($A28,O1_Community_Attributes!$A$1:$A$500,0))),""))</f>
        <v/>
      </c>
      <c r="N28" s="8" t="str">
        <f aca="false">IF($A28="","",IFERROR(IF(INDEX(O1_Community_Attributes!$W$1:$W$500,MATCH($A28,O1_Community_Attributes!$A$1:$A$500,0))="","",INDEX(O1_Community_Attributes!$W$1:$W$500,MATCH($A28,O1_Community_Attributes!$A$1:$A$500,0))),""))</f>
        <v/>
      </c>
      <c r="O28" s="8" t="str">
        <f aca="false">IF($A28="","",IFERROR(IF(INDEX(O1_Community_Attributes!$X$1:$X$500,MATCH($A28,O1_Community_Attributes!$A$1:$A$500,0))="","",INDEX(O1_Community_Attributes!$X$1:$X$500,MATCH($A28,O1_Community_Attributes!$A$1:$A$500,0))),""))</f>
        <v/>
      </c>
      <c r="P28" s="8" t="str">
        <f aca="false">IF($A28="","",IFERROR(IF(INDEX(O1_Community_Attributes!$Y$1:$Y$500,MATCH($A28,O1_Community_Attributes!$A$1:$A$500,0))="","",INDEX(O1_Community_Attributes!$Y$1:$Y$500,MATCH($A28,O1_Community_Attributes!$A$1:$A$500,0))),""))</f>
        <v/>
      </c>
      <c r="Q28" s="8" t="str">
        <f aca="false">IF($A28="","",IFERROR(IF(INDEX(O1_Community_Attributes!$Z$1:$Z$500,MATCH($A28,O1_Community_Attributes!$A$1:$A$500,0))="","",INDEX(O1_Community_Attributes!$Z$1:$Z$500,MATCH($A28,O1_Community_Attributes!$A$1:$A$500,0))),""))</f>
        <v/>
      </c>
      <c r="R28" s="8" t="str">
        <f aca="false">IF($A28="","",IFERROR(IF(INDEX(O1_Community_Attributes!$BK$1:$BK$500,MATCH($A28,O1_Community_Attributes!$A$1:$A$500,0))="","",INDEX(O1_Community_Attributes!$BK$1:$BK$500,MATCH($A28,O1_Community_Attributes!$A$1:$A$500,0))),""))</f>
        <v/>
      </c>
      <c r="S28" s="8" t="str">
        <f aca="false">IF(OR($C28="",$M28=""),"",$M28/$C28)</f>
        <v/>
      </c>
      <c r="T28" s="8" t="str">
        <f aca="false">IF($C28="","",IF(AND($M28="",$P28=""),"",IF($M28="","B",IF(ABS($S28-1)&lt;=0.3,"A",IF(OR($S28&gt;2,$S28&lt;0.5),"C","B")))))</f>
        <v/>
      </c>
    </row>
    <row r="29" customFormat="false" ht="15" hidden="false" customHeight="true" outlineLevel="0" collapsed="false">
      <c r="H29" s="8" t="str">
        <f aca="false">IF(C29="","",IF(C29&lt;1,"yes","no"))</f>
        <v/>
      </c>
      <c r="I29" s="8" t="str">
        <f aca="false">IF(C29="","",IF(C29&lt;2.6,"r75",IF(C29&lt;5.2,"r110",IF(C29&lt;9.9,"r150",IF(C29&lt;19.8,"r210","r300")))))</f>
        <v/>
      </c>
      <c r="M29" s="8" t="str">
        <f aca="false">IF($A29="","",IFERROR(IF(INDEX(O1_Community_Attributes!$V$1:$V$500,MATCH($A29,O1_Community_Attributes!$A$1:$A$500,0))="","",INDEX(O1_Community_Attributes!$V$1:$V$500,MATCH($A29,O1_Community_Attributes!$A$1:$A$500,0))),""))</f>
        <v/>
      </c>
      <c r="N29" s="8" t="str">
        <f aca="false">IF($A29="","",IFERROR(IF(INDEX(O1_Community_Attributes!$W$1:$W$500,MATCH($A29,O1_Community_Attributes!$A$1:$A$500,0))="","",INDEX(O1_Community_Attributes!$W$1:$W$500,MATCH($A29,O1_Community_Attributes!$A$1:$A$500,0))),""))</f>
        <v/>
      </c>
      <c r="O29" s="8" t="str">
        <f aca="false">IF($A29="","",IFERROR(IF(INDEX(O1_Community_Attributes!$X$1:$X$500,MATCH($A29,O1_Community_Attributes!$A$1:$A$500,0))="","",INDEX(O1_Community_Attributes!$X$1:$X$500,MATCH($A29,O1_Community_Attributes!$A$1:$A$500,0))),""))</f>
        <v/>
      </c>
      <c r="P29" s="8" t="str">
        <f aca="false">IF($A29="","",IFERROR(IF(INDEX(O1_Community_Attributes!$Y$1:$Y$500,MATCH($A29,O1_Community_Attributes!$A$1:$A$500,0))="","",INDEX(O1_Community_Attributes!$Y$1:$Y$500,MATCH($A29,O1_Community_Attributes!$A$1:$A$500,0))),""))</f>
        <v/>
      </c>
      <c r="Q29" s="8" t="str">
        <f aca="false">IF($A29="","",IFERROR(IF(INDEX(O1_Community_Attributes!$Z$1:$Z$500,MATCH($A29,O1_Community_Attributes!$A$1:$A$500,0))="","",INDEX(O1_Community_Attributes!$Z$1:$Z$500,MATCH($A29,O1_Community_Attributes!$A$1:$A$500,0))),""))</f>
        <v/>
      </c>
      <c r="R29" s="8" t="str">
        <f aca="false">IF($A29="","",IFERROR(IF(INDEX(O1_Community_Attributes!$BK$1:$BK$500,MATCH($A29,O1_Community_Attributes!$A$1:$A$500,0))="","",INDEX(O1_Community_Attributes!$BK$1:$BK$500,MATCH($A29,O1_Community_Attributes!$A$1:$A$500,0))),""))</f>
        <v/>
      </c>
      <c r="S29" s="8" t="str">
        <f aca="false">IF(OR($C29="",$M29=""),"",$M29/$C29)</f>
        <v/>
      </c>
      <c r="T29" s="8" t="str">
        <f aca="false">IF($C29="","",IF(AND($M29="",$P29=""),"",IF($M29="","B",IF(ABS($S29-1)&lt;=0.3,"A",IF(OR($S29&gt;2,$S29&lt;0.5),"C","B")))))</f>
        <v/>
      </c>
    </row>
    <row r="30" customFormat="false" ht="15" hidden="false" customHeight="true" outlineLevel="0" collapsed="false">
      <c r="H30" s="8" t="str">
        <f aca="false">IF(C30="","",IF(C30&lt;1,"yes","no"))</f>
        <v/>
      </c>
      <c r="I30" s="8" t="str">
        <f aca="false">IF(C30="","",IF(C30&lt;2.6,"r75",IF(C30&lt;5.2,"r110",IF(C30&lt;9.9,"r150",IF(C30&lt;19.8,"r210","r300")))))</f>
        <v/>
      </c>
      <c r="M30" s="8" t="str">
        <f aca="false">IF($A30="","",IFERROR(IF(INDEX(O1_Community_Attributes!$V$1:$V$500,MATCH($A30,O1_Community_Attributes!$A$1:$A$500,0))="","",INDEX(O1_Community_Attributes!$V$1:$V$500,MATCH($A30,O1_Community_Attributes!$A$1:$A$500,0))),""))</f>
        <v/>
      </c>
      <c r="N30" s="8" t="str">
        <f aca="false">IF($A30="","",IFERROR(IF(INDEX(O1_Community_Attributes!$W$1:$W$500,MATCH($A30,O1_Community_Attributes!$A$1:$A$500,0))="","",INDEX(O1_Community_Attributes!$W$1:$W$500,MATCH($A30,O1_Community_Attributes!$A$1:$A$500,0))),""))</f>
        <v/>
      </c>
      <c r="O30" s="8" t="str">
        <f aca="false">IF($A30="","",IFERROR(IF(INDEX(O1_Community_Attributes!$X$1:$X$500,MATCH($A30,O1_Community_Attributes!$A$1:$A$500,0))="","",INDEX(O1_Community_Attributes!$X$1:$X$500,MATCH($A30,O1_Community_Attributes!$A$1:$A$500,0))),""))</f>
        <v/>
      </c>
      <c r="P30" s="8" t="str">
        <f aca="false">IF($A30="","",IFERROR(IF(INDEX(O1_Community_Attributes!$Y$1:$Y$500,MATCH($A30,O1_Community_Attributes!$A$1:$A$500,0))="","",INDEX(O1_Community_Attributes!$Y$1:$Y$500,MATCH($A30,O1_Community_Attributes!$A$1:$A$500,0))),""))</f>
        <v/>
      </c>
      <c r="Q30" s="8" t="str">
        <f aca="false">IF($A30="","",IFERROR(IF(INDEX(O1_Community_Attributes!$Z$1:$Z$500,MATCH($A30,O1_Community_Attributes!$A$1:$A$500,0))="","",INDEX(O1_Community_Attributes!$Z$1:$Z$500,MATCH($A30,O1_Community_Attributes!$A$1:$A$500,0))),""))</f>
        <v/>
      </c>
      <c r="R30" s="8" t="str">
        <f aca="false">IF($A30="","",IFERROR(IF(INDEX(O1_Community_Attributes!$BK$1:$BK$500,MATCH($A30,O1_Community_Attributes!$A$1:$A$500,0))="","",INDEX(O1_Community_Attributes!$BK$1:$BK$500,MATCH($A30,O1_Community_Attributes!$A$1:$A$500,0))),""))</f>
        <v/>
      </c>
      <c r="S30" s="8" t="str">
        <f aca="false">IF(OR($C30="",$M30=""),"",$M30/$C30)</f>
        <v/>
      </c>
      <c r="T30" s="8" t="str">
        <f aca="false">IF($C30="","",IF(AND($M30="",$P30=""),"",IF($M30="","B",IF(ABS($S30-1)&lt;=0.3,"A",IF(OR($S30&gt;2,$S30&lt;0.5),"C","B")))))</f>
        <v/>
      </c>
    </row>
    <row r="31" customFormat="false" ht="15" hidden="false" customHeight="true" outlineLevel="0" collapsed="false">
      <c r="H31" s="8" t="str">
        <f aca="false">IF(C31="","",IF(C31&lt;1,"yes","no"))</f>
        <v/>
      </c>
      <c r="I31" s="8" t="str">
        <f aca="false">IF(C31="","",IF(C31&lt;2.6,"r75",IF(C31&lt;5.2,"r110",IF(C31&lt;9.9,"r150",IF(C31&lt;19.8,"r210","r300")))))</f>
        <v/>
      </c>
      <c r="M31" s="8" t="str">
        <f aca="false">IF($A31="","",IFERROR(IF(INDEX(O1_Community_Attributes!$V$1:$V$500,MATCH($A31,O1_Community_Attributes!$A$1:$A$500,0))="","",INDEX(O1_Community_Attributes!$V$1:$V$500,MATCH($A31,O1_Community_Attributes!$A$1:$A$500,0))),""))</f>
        <v/>
      </c>
      <c r="N31" s="8" t="str">
        <f aca="false">IF($A31="","",IFERROR(IF(INDEX(O1_Community_Attributes!$W$1:$W$500,MATCH($A31,O1_Community_Attributes!$A$1:$A$500,0))="","",INDEX(O1_Community_Attributes!$W$1:$W$500,MATCH($A31,O1_Community_Attributes!$A$1:$A$500,0))),""))</f>
        <v/>
      </c>
      <c r="O31" s="8" t="str">
        <f aca="false">IF($A31="","",IFERROR(IF(INDEX(O1_Community_Attributes!$X$1:$X$500,MATCH($A31,O1_Community_Attributes!$A$1:$A$500,0))="","",INDEX(O1_Community_Attributes!$X$1:$X$500,MATCH($A31,O1_Community_Attributes!$A$1:$A$500,0))),""))</f>
        <v/>
      </c>
      <c r="P31" s="8" t="str">
        <f aca="false">IF($A31="","",IFERROR(IF(INDEX(O1_Community_Attributes!$Y$1:$Y$500,MATCH($A31,O1_Community_Attributes!$A$1:$A$500,0))="","",INDEX(O1_Community_Attributes!$Y$1:$Y$500,MATCH($A31,O1_Community_Attributes!$A$1:$A$500,0))),""))</f>
        <v/>
      </c>
      <c r="Q31" s="8" t="str">
        <f aca="false">IF($A31="","",IFERROR(IF(INDEX(O1_Community_Attributes!$Z$1:$Z$500,MATCH($A31,O1_Community_Attributes!$A$1:$A$500,0))="","",INDEX(O1_Community_Attributes!$Z$1:$Z$500,MATCH($A31,O1_Community_Attributes!$A$1:$A$500,0))),""))</f>
        <v/>
      </c>
      <c r="R31" s="8" t="str">
        <f aca="false">IF($A31="","",IFERROR(IF(INDEX(O1_Community_Attributes!$BK$1:$BK$500,MATCH($A31,O1_Community_Attributes!$A$1:$A$500,0))="","",INDEX(O1_Community_Attributes!$BK$1:$BK$500,MATCH($A31,O1_Community_Attributes!$A$1:$A$500,0))),""))</f>
        <v/>
      </c>
      <c r="S31" s="8" t="str">
        <f aca="false">IF(OR($C31="",$M31=""),"",$M31/$C31)</f>
        <v/>
      </c>
      <c r="T31" s="8" t="str">
        <f aca="false">IF($C31="","",IF(AND($M31="",$P31=""),"",IF($M31="","B",IF(ABS($S31-1)&lt;=0.3,"A",IF(OR($S31&gt;2,$S31&lt;0.5),"C","B")))))</f>
        <v/>
      </c>
    </row>
    <row r="32" customFormat="false" ht="15" hidden="false" customHeight="true" outlineLevel="0" collapsed="false">
      <c r="H32" s="8" t="str">
        <f aca="false">IF(C32="","",IF(C32&lt;1,"yes","no"))</f>
        <v/>
      </c>
      <c r="I32" s="8" t="str">
        <f aca="false">IF(C32="","",IF(C32&lt;2.6,"r75",IF(C32&lt;5.2,"r110",IF(C32&lt;9.9,"r150",IF(C32&lt;19.8,"r210","r300")))))</f>
        <v/>
      </c>
      <c r="M32" s="8" t="str">
        <f aca="false">IF($A32="","",IFERROR(IF(INDEX(O1_Community_Attributes!$V$1:$V$500,MATCH($A32,O1_Community_Attributes!$A$1:$A$500,0))="","",INDEX(O1_Community_Attributes!$V$1:$V$500,MATCH($A32,O1_Community_Attributes!$A$1:$A$500,0))),""))</f>
        <v/>
      </c>
      <c r="N32" s="8" t="str">
        <f aca="false">IF($A32="","",IFERROR(IF(INDEX(O1_Community_Attributes!$W$1:$W$500,MATCH($A32,O1_Community_Attributes!$A$1:$A$500,0))="","",INDEX(O1_Community_Attributes!$W$1:$W$500,MATCH($A32,O1_Community_Attributes!$A$1:$A$500,0))),""))</f>
        <v/>
      </c>
      <c r="O32" s="8" t="str">
        <f aca="false">IF($A32="","",IFERROR(IF(INDEX(O1_Community_Attributes!$X$1:$X$500,MATCH($A32,O1_Community_Attributes!$A$1:$A$500,0))="","",INDEX(O1_Community_Attributes!$X$1:$X$500,MATCH($A32,O1_Community_Attributes!$A$1:$A$500,0))),""))</f>
        <v/>
      </c>
      <c r="P32" s="8" t="str">
        <f aca="false">IF($A32="","",IFERROR(IF(INDEX(O1_Community_Attributes!$Y$1:$Y$500,MATCH($A32,O1_Community_Attributes!$A$1:$A$500,0))="","",INDEX(O1_Community_Attributes!$Y$1:$Y$500,MATCH($A32,O1_Community_Attributes!$A$1:$A$500,0))),""))</f>
        <v/>
      </c>
      <c r="Q32" s="8" t="str">
        <f aca="false">IF($A32="","",IFERROR(IF(INDEX(O1_Community_Attributes!$Z$1:$Z$500,MATCH($A32,O1_Community_Attributes!$A$1:$A$500,0))="","",INDEX(O1_Community_Attributes!$Z$1:$Z$500,MATCH($A32,O1_Community_Attributes!$A$1:$A$500,0))),""))</f>
        <v/>
      </c>
      <c r="R32" s="8" t="str">
        <f aca="false">IF($A32="","",IFERROR(IF(INDEX(O1_Community_Attributes!$BK$1:$BK$500,MATCH($A32,O1_Community_Attributes!$A$1:$A$500,0))="","",INDEX(O1_Community_Attributes!$BK$1:$BK$500,MATCH($A32,O1_Community_Attributes!$A$1:$A$500,0))),""))</f>
        <v/>
      </c>
      <c r="S32" s="8" t="str">
        <f aca="false">IF(OR($C32="",$M32=""),"",$M32/$C32)</f>
        <v/>
      </c>
      <c r="T32" s="8" t="str">
        <f aca="false">IF($C32="","",IF(AND($M32="",$P32=""),"",IF($M32="","B",IF(ABS($S32-1)&lt;=0.3,"A",IF(OR($S32&gt;2,$S32&lt;0.5),"C","B")))))</f>
        <v/>
      </c>
    </row>
    <row r="33" customFormat="false" ht="15" hidden="false" customHeight="true" outlineLevel="0" collapsed="false">
      <c r="H33" s="8" t="str">
        <f aca="false">IF(C33="","",IF(C33&lt;1,"yes","no"))</f>
        <v/>
      </c>
      <c r="I33" s="8" t="str">
        <f aca="false">IF(C33="","",IF(C33&lt;2.6,"r75",IF(C33&lt;5.2,"r110",IF(C33&lt;9.9,"r150",IF(C33&lt;19.8,"r210","r300")))))</f>
        <v/>
      </c>
      <c r="M33" s="8" t="str">
        <f aca="false">IF($A33="","",IFERROR(IF(INDEX(O1_Community_Attributes!$V$1:$V$500,MATCH($A33,O1_Community_Attributes!$A$1:$A$500,0))="","",INDEX(O1_Community_Attributes!$V$1:$V$500,MATCH($A33,O1_Community_Attributes!$A$1:$A$500,0))),""))</f>
        <v/>
      </c>
      <c r="N33" s="8" t="str">
        <f aca="false">IF($A33="","",IFERROR(IF(INDEX(O1_Community_Attributes!$W$1:$W$500,MATCH($A33,O1_Community_Attributes!$A$1:$A$500,0))="","",INDEX(O1_Community_Attributes!$W$1:$W$500,MATCH($A33,O1_Community_Attributes!$A$1:$A$500,0))),""))</f>
        <v/>
      </c>
      <c r="O33" s="8" t="str">
        <f aca="false">IF($A33="","",IFERROR(IF(INDEX(O1_Community_Attributes!$X$1:$X$500,MATCH($A33,O1_Community_Attributes!$A$1:$A$500,0))="","",INDEX(O1_Community_Attributes!$X$1:$X$500,MATCH($A33,O1_Community_Attributes!$A$1:$A$500,0))),""))</f>
        <v/>
      </c>
      <c r="P33" s="8" t="str">
        <f aca="false">IF($A33="","",IFERROR(IF(INDEX(O1_Community_Attributes!$Y$1:$Y$500,MATCH($A33,O1_Community_Attributes!$A$1:$A$500,0))="","",INDEX(O1_Community_Attributes!$Y$1:$Y$500,MATCH($A33,O1_Community_Attributes!$A$1:$A$500,0))),""))</f>
        <v/>
      </c>
      <c r="Q33" s="8" t="str">
        <f aca="false">IF($A33="","",IFERROR(IF(INDEX(O1_Community_Attributes!$Z$1:$Z$500,MATCH($A33,O1_Community_Attributes!$A$1:$A$500,0))="","",INDEX(O1_Community_Attributes!$Z$1:$Z$500,MATCH($A33,O1_Community_Attributes!$A$1:$A$500,0))),""))</f>
        <v/>
      </c>
      <c r="R33" s="8" t="str">
        <f aca="false">IF($A33="","",IFERROR(IF(INDEX(O1_Community_Attributes!$BK$1:$BK$500,MATCH($A33,O1_Community_Attributes!$A$1:$A$500,0))="","",INDEX(O1_Community_Attributes!$BK$1:$BK$500,MATCH($A33,O1_Community_Attributes!$A$1:$A$500,0))),""))</f>
        <v/>
      </c>
      <c r="S33" s="8" t="str">
        <f aca="false">IF(OR($C33="",$M33=""),"",$M33/$C33)</f>
        <v/>
      </c>
      <c r="T33" s="8" t="str">
        <f aca="false">IF($C33="","",IF(AND($M33="",$P33=""),"",IF($M33="","B",IF(ABS($S33-1)&lt;=0.3,"A",IF(OR($S33&gt;2,$S33&lt;0.5),"C","B")))))</f>
        <v/>
      </c>
    </row>
    <row r="34" customFormat="false" ht="15" hidden="false" customHeight="true" outlineLevel="0" collapsed="false">
      <c r="H34" s="8" t="str">
        <f aca="false">IF(C34="","",IF(C34&lt;1,"yes","no"))</f>
        <v/>
      </c>
      <c r="I34" s="8" t="str">
        <f aca="false">IF(C34="","",IF(C34&lt;2.6,"r75",IF(C34&lt;5.2,"r110",IF(C34&lt;9.9,"r150",IF(C34&lt;19.8,"r210","r300")))))</f>
        <v/>
      </c>
      <c r="M34" s="8" t="str">
        <f aca="false">IF($A34="","",IFERROR(IF(INDEX(O1_Community_Attributes!$V$1:$V$500,MATCH($A34,O1_Community_Attributes!$A$1:$A$500,0))="","",INDEX(O1_Community_Attributes!$V$1:$V$500,MATCH($A34,O1_Community_Attributes!$A$1:$A$500,0))),""))</f>
        <v/>
      </c>
      <c r="N34" s="8" t="str">
        <f aca="false">IF($A34="","",IFERROR(IF(INDEX(O1_Community_Attributes!$W$1:$W$500,MATCH($A34,O1_Community_Attributes!$A$1:$A$500,0))="","",INDEX(O1_Community_Attributes!$W$1:$W$500,MATCH($A34,O1_Community_Attributes!$A$1:$A$500,0))),""))</f>
        <v/>
      </c>
      <c r="O34" s="8" t="str">
        <f aca="false">IF($A34="","",IFERROR(IF(INDEX(O1_Community_Attributes!$X$1:$X$500,MATCH($A34,O1_Community_Attributes!$A$1:$A$500,0))="","",INDEX(O1_Community_Attributes!$X$1:$X$500,MATCH($A34,O1_Community_Attributes!$A$1:$A$500,0))),""))</f>
        <v/>
      </c>
      <c r="P34" s="8" t="str">
        <f aca="false">IF($A34="","",IFERROR(IF(INDEX(O1_Community_Attributes!$Y$1:$Y$500,MATCH($A34,O1_Community_Attributes!$A$1:$A$500,0))="","",INDEX(O1_Community_Attributes!$Y$1:$Y$500,MATCH($A34,O1_Community_Attributes!$A$1:$A$500,0))),""))</f>
        <v/>
      </c>
      <c r="Q34" s="8" t="str">
        <f aca="false">IF($A34="","",IFERROR(IF(INDEX(O1_Community_Attributes!$Z$1:$Z$500,MATCH($A34,O1_Community_Attributes!$A$1:$A$500,0))="","",INDEX(O1_Community_Attributes!$Z$1:$Z$500,MATCH($A34,O1_Community_Attributes!$A$1:$A$500,0))),""))</f>
        <v/>
      </c>
      <c r="R34" s="8" t="str">
        <f aca="false">IF($A34="","",IFERROR(IF(INDEX(O1_Community_Attributes!$BK$1:$BK$500,MATCH($A34,O1_Community_Attributes!$A$1:$A$500,0))="","",INDEX(O1_Community_Attributes!$BK$1:$BK$500,MATCH($A34,O1_Community_Attributes!$A$1:$A$500,0))),""))</f>
        <v/>
      </c>
      <c r="S34" s="8" t="str">
        <f aca="false">IF(OR($C34="",$M34=""),"",$M34/$C34)</f>
        <v/>
      </c>
      <c r="T34" s="8" t="str">
        <f aca="false">IF($C34="","",IF(AND($M34="",$P34=""),"",IF($M34="","B",IF(ABS($S34-1)&lt;=0.3,"A",IF(OR($S34&gt;2,$S34&lt;0.5),"C","B")))))</f>
        <v/>
      </c>
    </row>
    <row r="35" customFormat="false" ht="15" hidden="false" customHeight="true" outlineLevel="0" collapsed="false">
      <c r="H35" s="8" t="str">
        <f aca="false">IF(C35="","",IF(C35&lt;1,"yes","no"))</f>
        <v/>
      </c>
      <c r="I35" s="8" t="str">
        <f aca="false">IF(C35="","",IF(C35&lt;2.6,"r75",IF(C35&lt;5.2,"r110",IF(C35&lt;9.9,"r150",IF(C35&lt;19.8,"r210","r300")))))</f>
        <v/>
      </c>
      <c r="M35" s="8" t="str">
        <f aca="false">IF($A35="","",IFERROR(IF(INDEX(O1_Community_Attributes!$V$1:$V$500,MATCH($A35,O1_Community_Attributes!$A$1:$A$500,0))="","",INDEX(O1_Community_Attributes!$V$1:$V$500,MATCH($A35,O1_Community_Attributes!$A$1:$A$500,0))),""))</f>
        <v/>
      </c>
      <c r="N35" s="8" t="str">
        <f aca="false">IF($A35="","",IFERROR(IF(INDEX(O1_Community_Attributes!$W$1:$W$500,MATCH($A35,O1_Community_Attributes!$A$1:$A$500,0))="","",INDEX(O1_Community_Attributes!$W$1:$W$500,MATCH($A35,O1_Community_Attributes!$A$1:$A$500,0))),""))</f>
        <v/>
      </c>
      <c r="O35" s="8" t="str">
        <f aca="false">IF($A35="","",IFERROR(IF(INDEX(O1_Community_Attributes!$X$1:$X$500,MATCH($A35,O1_Community_Attributes!$A$1:$A$500,0))="","",INDEX(O1_Community_Attributes!$X$1:$X$500,MATCH($A35,O1_Community_Attributes!$A$1:$A$500,0))),""))</f>
        <v/>
      </c>
      <c r="P35" s="8" t="str">
        <f aca="false">IF($A35="","",IFERROR(IF(INDEX(O1_Community_Attributes!$Y$1:$Y$500,MATCH($A35,O1_Community_Attributes!$A$1:$A$500,0))="","",INDEX(O1_Community_Attributes!$Y$1:$Y$500,MATCH($A35,O1_Community_Attributes!$A$1:$A$500,0))),""))</f>
        <v/>
      </c>
      <c r="Q35" s="8" t="str">
        <f aca="false">IF($A35="","",IFERROR(IF(INDEX(O1_Community_Attributes!$Z$1:$Z$500,MATCH($A35,O1_Community_Attributes!$A$1:$A$500,0))="","",INDEX(O1_Community_Attributes!$Z$1:$Z$500,MATCH($A35,O1_Community_Attributes!$A$1:$A$500,0))),""))</f>
        <v/>
      </c>
      <c r="R35" s="8" t="str">
        <f aca="false">IF($A35="","",IFERROR(IF(INDEX(O1_Community_Attributes!$BK$1:$BK$500,MATCH($A35,O1_Community_Attributes!$A$1:$A$500,0))="","",INDEX(O1_Community_Attributes!$BK$1:$BK$500,MATCH($A35,O1_Community_Attributes!$A$1:$A$500,0))),""))</f>
        <v/>
      </c>
      <c r="S35" s="8" t="str">
        <f aca="false">IF(OR($C35="",$M35=""),"",$M35/$C35)</f>
        <v/>
      </c>
      <c r="T35" s="8" t="str">
        <f aca="false">IF($C35="","",IF(AND($M35="",$P35=""),"",IF($M35="","B",IF(ABS($S35-1)&lt;=0.3,"A",IF(OR($S35&gt;2,$S35&lt;0.5),"C","B")))))</f>
        <v/>
      </c>
    </row>
    <row r="36" customFormat="false" ht="15" hidden="false" customHeight="true" outlineLevel="0" collapsed="false">
      <c r="H36" s="8" t="str">
        <f aca="false">IF(C36="","",IF(C36&lt;1,"yes","no"))</f>
        <v/>
      </c>
      <c r="I36" s="8" t="str">
        <f aca="false">IF(C36="","",IF(C36&lt;2.6,"r75",IF(C36&lt;5.2,"r110",IF(C36&lt;9.9,"r150",IF(C36&lt;19.8,"r210","r300")))))</f>
        <v/>
      </c>
      <c r="M36" s="8" t="str">
        <f aca="false">IF($A36="","",IFERROR(IF(INDEX(O1_Community_Attributes!$V$1:$V$500,MATCH($A36,O1_Community_Attributes!$A$1:$A$500,0))="","",INDEX(O1_Community_Attributes!$V$1:$V$500,MATCH($A36,O1_Community_Attributes!$A$1:$A$500,0))),""))</f>
        <v/>
      </c>
      <c r="N36" s="8" t="str">
        <f aca="false">IF($A36="","",IFERROR(IF(INDEX(O1_Community_Attributes!$W$1:$W$500,MATCH($A36,O1_Community_Attributes!$A$1:$A$500,0))="","",INDEX(O1_Community_Attributes!$W$1:$W$500,MATCH($A36,O1_Community_Attributes!$A$1:$A$500,0))),""))</f>
        <v/>
      </c>
      <c r="O36" s="8" t="str">
        <f aca="false">IF($A36="","",IFERROR(IF(INDEX(O1_Community_Attributes!$X$1:$X$500,MATCH($A36,O1_Community_Attributes!$A$1:$A$500,0))="","",INDEX(O1_Community_Attributes!$X$1:$X$500,MATCH($A36,O1_Community_Attributes!$A$1:$A$500,0))),""))</f>
        <v/>
      </c>
      <c r="P36" s="8" t="str">
        <f aca="false">IF($A36="","",IFERROR(IF(INDEX(O1_Community_Attributes!$Y$1:$Y$500,MATCH($A36,O1_Community_Attributes!$A$1:$A$500,0))="","",INDEX(O1_Community_Attributes!$Y$1:$Y$500,MATCH($A36,O1_Community_Attributes!$A$1:$A$500,0))),""))</f>
        <v/>
      </c>
      <c r="Q36" s="8" t="str">
        <f aca="false">IF($A36="","",IFERROR(IF(INDEX(O1_Community_Attributes!$Z$1:$Z$500,MATCH($A36,O1_Community_Attributes!$A$1:$A$500,0))="","",INDEX(O1_Community_Attributes!$Z$1:$Z$500,MATCH($A36,O1_Community_Attributes!$A$1:$A$500,0))),""))</f>
        <v/>
      </c>
      <c r="R36" s="8" t="str">
        <f aca="false">IF($A36="","",IFERROR(IF(INDEX(O1_Community_Attributes!$BK$1:$BK$500,MATCH($A36,O1_Community_Attributes!$A$1:$A$500,0))="","",INDEX(O1_Community_Attributes!$BK$1:$BK$500,MATCH($A36,O1_Community_Attributes!$A$1:$A$500,0))),""))</f>
        <v/>
      </c>
      <c r="S36" s="8" t="str">
        <f aca="false">IF(OR($C36="",$M36=""),"",$M36/$C36)</f>
        <v/>
      </c>
      <c r="T36" s="8" t="str">
        <f aca="false">IF($C36="","",IF(AND($M36="",$P36=""),"",IF($M36="","B",IF(ABS($S36-1)&lt;=0.3,"A",IF(OR($S36&gt;2,$S36&lt;0.5),"C","B")))))</f>
        <v/>
      </c>
    </row>
    <row r="37" customFormat="false" ht="15" hidden="false" customHeight="true" outlineLevel="0" collapsed="false">
      <c r="H37" s="8" t="str">
        <f aca="false">IF(C37="","",IF(C37&lt;1,"yes","no"))</f>
        <v/>
      </c>
      <c r="I37" s="8" t="str">
        <f aca="false">IF(C37="","",IF(C37&lt;2.6,"r75",IF(C37&lt;5.2,"r110",IF(C37&lt;9.9,"r150",IF(C37&lt;19.8,"r210","r300")))))</f>
        <v/>
      </c>
      <c r="M37" s="8" t="str">
        <f aca="false">IF($A37="","",IFERROR(IF(INDEX(O1_Community_Attributes!$V$1:$V$500,MATCH($A37,O1_Community_Attributes!$A$1:$A$500,0))="","",INDEX(O1_Community_Attributes!$V$1:$V$500,MATCH($A37,O1_Community_Attributes!$A$1:$A$500,0))),""))</f>
        <v/>
      </c>
      <c r="N37" s="8" t="str">
        <f aca="false">IF($A37="","",IFERROR(IF(INDEX(O1_Community_Attributes!$W$1:$W$500,MATCH($A37,O1_Community_Attributes!$A$1:$A$500,0))="","",INDEX(O1_Community_Attributes!$W$1:$W$500,MATCH($A37,O1_Community_Attributes!$A$1:$A$500,0))),""))</f>
        <v/>
      </c>
      <c r="O37" s="8" t="str">
        <f aca="false">IF($A37="","",IFERROR(IF(INDEX(O1_Community_Attributes!$X$1:$X$500,MATCH($A37,O1_Community_Attributes!$A$1:$A$500,0))="","",INDEX(O1_Community_Attributes!$X$1:$X$500,MATCH($A37,O1_Community_Attributes!$A$1:$A$500,0))),""))</f>
        <v/>
      </c>
      <c r="P37" s="8" t="str">
        <f aca="false">IF($A37="","",IFERROR(IF(INDEX(O1_Community_Attributes!$Y$1:$Y$500,MATCH($A37,O1_Community_Attributes!$A$1:$A$500,0))="","",INDEX(O1_Community_Attributes!$Y$1:$Y$500,MATCH($A37,O1_Community_Attributes!$A$1:$A$500,0))),""))</f>
        <v/>
      </c>
      <c r="Q37" s="8" t="str">
        <f aca="false">IF($A37="","",IFERROR(IF(INDEX(O1_Community_Attributes!$Z$1:$Z$500,MATCH($A37,O1_Community_Attributes!$A$1:$A$500,0))="","",INDEX(O1_Community_Attributes!$Z$1:$Z$500,MATCH($A37,O1_Community_Attributes!$A$1:$A$500,0))),""))</f>
        <v/>
      </c>
      <c r="R37" s="8" t="str">
        <f aca="false">IF($A37="","",IFERROR(IF(INDEX(O1_Community_Attributes!$BK$1:$BK$500,MATCH($A37,O1_Community_Attributes!$A$1:$A$500,0))="","",INDEX(O1_Community_Attributes!$BK$1:$BK$500,MATCH($A37,O1_Community_Attributes!$A$1:$A$500,0))),""))</f>
        <v/>
      </c>
      <c r="S37" s="8" t="str">
        <f aca="false">IF(OR($C37="",$M37=""),"",$M37/$C37)</f>
        <v/>
      </c>
      <c r="T37" s="8" t="str">
        <f aca="false">IF($C37="","",IF(AND($M37="",$P37=""),"",IF($M37="","B",IF(ABS($S37-1)&lt;=0.3,"A",IF(OR($S37&gt;2,$S37&lt;0.5),"C","B")))))</f>
        <v/>
      </c>
    </row>
    <row r="38" customFormat="false" ht="15" hidden="false" customHeight="true" outlineLevel="0" collapsed="false">
      <c r="H38" s="8" t="str">
        <f aca="false">IF(C38="","",IF(C38&lt;1,"yes","no"))</f>
        <v/>
      </c>
      <c r="I38" s="8" t="str">
        <f aca="false">IF(C38="","",IF(C38&lt;2.6,"r75",IF(C38&lt;5.2,"r110",IF(C38&lt;9.9,"r150",IF(C38&lt;19.8,"r210","r300")))))</f>
        <v/>
      </c>
      <c r="M38" s="8" t="str">
        <f aca="false">IF($A38="","",IFERROR(IF(INDEX(O1_Community_Attributes!$V$1:$V$500,MATCH($A38,O1_Community_Attributes!$A$1:$A$500,0))="","",INDEX(O1_Community_Attributes!$V$1:$V$500,MATCH($A38,O1_Community_Attributes!$A$1:$A$500,0))),""))</f>
        <v/>
      </c>
      <c r="N38" s="8" t="str">
        <f aca="false">IF($A38="","",IFERROR(IF(INDEX(O1_Community_Attributes!$W$1:$W$500,MATCH($A38,O1_Community_Attributes!$A$1:$A$500,0))="","",INDEX(O1_Community_Attributes!$W$1:$W$500,MATCH($A38,O1_Community_Attributes!$A$1:$A$500,0))),""))</f>
        <v/>
      </c>
      <c r="O38" s="8" t="str">
        <f aca="false">IF($A38="","",IFERROR(IF(INDEX(O1_Community_Attributes!$X$1:$X$500,MATCH($A38,O1_Community_Attributes!$A$1:$A$500,0))="","",INDEX(O1_Community_Attributes!$X$1:$X$500,MATCH($A38,O1_Community_Attributes!$A$1:$A$500,0))),""))</f>
        <v/>
      </c>
      <c r="P38" s="8" t="str">
        <f aca="false">IF($A38="","",IFERROR(IF(INDEX(O1_Community_Attributes!$Y$1:$Y$500,MATCH($A38,O1_Community_Attributes!$A$1:$A$500,0))="","",INDEX(O1_Community_Attributes!$Y$1:$Y$500,MATCH($A38,O1_Community_Attributes!$A$1:$A$500,0))),""))</f>
        <v/>
      </c>
      <c r="Q38" s="8" t="str">
        <f aca="false">IF($A38="","",IFERROR(IF(INDEX(O1_Community_Attributes!$Z$1:$Z$500,MATCH($A38,O1_Community_Attributes!$A$1:$A$500,0))="","",INDEX(O1_Community_Attributes!$Z$1:$Z$500,MATCH($A38,O1_Community_Attributes!$A$1:$A$500,0))),""))</f>
        <v/>
      </c>
      <c r="R38" s="8" t="str">
        <f aca="false">IF($A38="","",IFERROR(IF(INDEX(O1_Community_Attributes!$BK$1:$BK$500,MATCH($A38,O1_Community_Attributes!$A$1:$A$500,0))="","",INDEX(O1_Community_Attributes!$BK$1:$BK$500,MATCH($A38,O1_Community_Attributes!$A$1:$A$500,0))),""))</f>
        <v/>
      </c>
      <c r="S38" s="8" t="str">
        <f aca="false">IF(OR($C38="",$M38=""),"",$M38/$C38)</f>
        <v/>
      </c>
      <c r="T38" s="8" t="str">
        <f aca="false">IF($C38="","",IF(AND($M38="",$P38=""),"",IF($M38="","B",IF(ABS($S38-1)&lt;=0.3,"A",IF(OR($S38&gt;2,$S38&lt;0.5),"C","B")))))</f>
        <v/>
      </c>
    </row>
    <row r="39" customFormat="false" ht="15" hidden="false" customHeight="true" outlineLevel="0" collapsed="false">
      <c r="H39" s="8" t="str">
        <f aca="false">IF(C39="","",IF(C39&lt;1,"yes","no"))</f>
        <v/>
      </c>
      <c r="I39" s="8" t="str">
        <f aca="false">IF(C39="","",IF(C39&lt;2.6,"r75",IF(C39&lt;5.2,"r110",IF(C39&lt;9.9,"r150",IF(C39&lt;19.8,"r210","r300")))))</f>
        <v/>
      </c>
      <c r="M39" s="8" t="str">
        <f aca="false">IF($A39="","",IFERROR(IF(INDEX(O1_Community_Attributes!$V$1:$V$500,MATCH($A39,O1_Community_Attributes!$A$1:$A$500,0))="","",INDEX(O1_Community_Attributes!$V$1:$V$500,MATCH($A39,O1_Community_Attributes!$A$1:$A$500,0))),""))</f>
        <v/>
      </c>
      <c r="N39" s="8" t="str">
        <f aca="false">IF($A39="","",IFERROR(IF(INDEX(O1_Community_Attributes!$W$1:$W$500,MATCH($A39,O1_Community_Attributes!$A$1:$A$500,0))="","",INDEX(O1_Community_Attributes!$W$1:$W$500,MATCH($A39,O1_Community_Attributes!$A$1:$A$500,0))),""))</f>
        <v/>
      </c>
      <c r="O39" s="8" t="str">
        <f aca="false">IF($A39="","",IFERROR(IF(INDEX(O1_Community_Attributes!$X$1:$X$500,MATCH($A39,O1_Community_Attributes!$A$1:$A$500,0))="","",INDEX(O1_Community_Attributes!$X$1:$X$500,MATCH($A39,O1_Community_Attributes!$A$1:$A$500,0))),""))</f>
        <v/>
      </c>
      <c r="P39" s="8" t="str">
        <f aca="false">IF($A39="","",IFERROR(IF(INDEX(O1_Community_Attributes!$Y$1:$Y$500,MATCH($A39,O1_Community_Attributes!$A$1:$A$500,0))="","",INDEX(O1_Community_Attributes!$Y$1:$Y$500,MATCH($A39,O1_Community_Attributes!$A$1:$A$500,0))),""))</f>
        <v/>
      </c>
      <c r="Q39" s="8" t="str">
        <f aca="false">IF($A39="","",IFERROR(IF(INDEX(O1_Community_Attributes!$Z$1:$Z$500,MATCH($A39,O1_Community_Attributes!$A$1:$A$500,0))="","",INDEX(O1_Community_Attributes!$Z$1:$Z$500,MATCH($A39,O1_Community_Attributes!$A$1:$A$500,0))),""))</f>
        <v/>
      </c>
      <c r="R39" s="8" t="str">
        <f aca="false">IF($A39="","",IFERROR(IF(INDEX(O1_Community_Attributes!$BK$1:$BK$500,MATCH($A39,O1_Community_Attributes!$A$1:$A$500,0))="","",INDEX(O1_Community_Attributes!$BK$1:$BK$500,MATCH($A39,O1_Community_Attributes!$A$1:$A$500,0))),""))</f>
        <v/>
      </c>
      <c r="S39" s="8" t="str">
        <f aca="false">IF(OR($C39="",$M39=""),"",$M39/$C39)</f>
        <v/>
      </c>
      <c r="T39" s="8" t="str">
        <f aca="false">IF($C39="","",IF(AND($M39="",$P39=""),"",IF($M39="","B",IF(ABS($S39-1)&lt;=0.3,"A",IF(OR($S39&gt;2,$S39&lt;0.5),"C","B")))))</f>
        <v/>
      </c>
    </row>
    <row r="40" customFormat="false" ht="15" hidden="false" customHeight="true" outlineLevel="0" collapsed="false">
      <c r="H40" s="8" t="str">
        <f aca="false">IF(C40="","",IF(C40&lt;1,"yes","no"))</f>
        <v/>
      </c>
      <c r="I40" s="8" t="str">
        <f aca="false">IF(C40="","",IF(C40&lt;2.6,"r75",IF(C40&lt;5.2,"r110",IF(C40&lt;9.9,"r150",IF(C40&lt;19.8,"r210","r300")))))</f>
        <v/>
      </c>
      <c r="M40" s="8" t="str">
        <f aca="false">IF($A40="","",IFERROR(IF(INDEX(O1_Community_Attributes!$V$1:$V$500,MATCH($A40,O1_Community_Attributes!$A$1:$A$500,0))="","",INDEX(O1_Community_Attributes!$V$1:$V$500,MATCH($A40,O1_Community_Attributes!$A$1:$A$500,0))),""))</f>
        <v/>
      </c>
      <c r="N40" s="8" t="str">
        <f aca="false">IF($A40="","",IFERROR(IF(INDEX(O1_Community_Attributes!$W$1:$W$500,MATCH($A40,O1_Community_Attributes!$A$1:$A$500,0))="","",INDEX(O1_Community_Attributes!$W$1:$W$500,MATCH($A40,O1_Community_Attributes!$A$1:$A$500,0))),""))</f>
        <v/>
      </c>
      <c r="O40" s="8" t="str">
        <f aca="false">IF($A40="","",IFERROR(IF(INDEX(O1_Community_Attributes!$X$1:$X$500,MATCH($A40,O1_Community_Attributes!$A$1:$A$500,0))="","",INDEX(O1_Community_Attributes!$X$1:$X$500,MATCH($A40,O1_Community_Attributes!$A$1:$A$500,0))),""))</f>
        <v/>
      </c>
      <c r="P40" s="8" t="str">
        <f aca="false">IF($A40="","",IFERROR(IF(INDEX(O1_Community_Attributes!$Y$1:$Y$500,MATCH($A40,O1_Community_Attributes!$A$1:$A$500,0))="","",INDEX(O1_Community_Attributes!$Y$1:$Y$500,MATCH($A40,O1_Community_Attributes!$A$1:$A$500,0))),""))</f>
        <v/>
      </c>
      <c r="Q40" s="8" t="str">
        <f aca="false">IF($A40="","",IFERROR(IF(INDEX(O1_Community_Attributes!$Z$1:$Z$500,MATCH($A40,O1_Community_Attributes!$A$1:$A$500,0))="","",INDEX(O1_Community_Attributes!$Z$1:$Z$500,MATCH($A40,O1_Community_Attributes!$A$1:$A$500,0))),""))</f>
        <v/>
      </c>
      <c r="R40" s="8" t="str">
        <f aca="false">IF($A40="","",IFERROR(IF(INDEX(O1_Community_Attributes!$BK$1:$BK$500,MATCH($A40,O1_Community_Attributes!$A$1:$A$500,0))="","",INDEX(O1_Community_Attributes!$BK$1:$BK$500,MATCH($A40,O1_Community_Attributes!$A$1:$A$500,0))),""))</f>
        <v/>
      </c>
      <c r="S40" s="8" t="str">
        <f aca="false">IF(OR($C40="",$M40=""),"",$M40/$C40)</f>
        <v/>
      </c>
      <c r="T40" s="8" t="str">
        <f aca="false">IF($C40="","",IF(AND($M40="",$P40=""),"",IF($M40="","B",IF(ABS($S40-1)&lt;=0.3,"A",IF(OR($S40&gt;2,$S40&lt;0.5),"C","B")))))</f>
        <v/>
      </c>
    </row>
    <row r="41" customFormat="false" ht="15" hidden="false" customHeight="true" outlineLevel="0" collapsed="false">
      <c r="H41" s="8" t="str">
        <f aca="false">IF(C41="","",IF(C41&lt;1,"yes","no"))</f>
        <v/>
      </c>
      <c r="I41" s="8" t="str">
        <f aca="false">IF(C41="","",IF(C41&lt;2.6,"r75",IF(C41&lt;5.2,"r110",IF(C41&lt;9.9,"r150",IF(C41&lt;19.8,"r210","r300")))))</f>
        <v/>
      </c>
      <c r="M41" s="8" t="str">
        <f aca="false">IF($A41="","",IFERROR(IF(INDEX(O1_Community_Attributes!$V$1:$V$500,MATCH($A41,O1_Community_Attributes!$A$1:$A$500,0))="","",INDEX(O1_Community_Attributes!$V$1:$V$500,MATCH($A41,O1_Community_Attributes!$A$1:$A$500,0))),""))</f>
        <v/>
      </c>
      <c r="N41" s="8" t="str">
        <f aca="false">IF($A41="","",IFERROR(IF(INDEX(O1_Community_Attributes!$W$1:$W$500,MATCH($A41,O1_Community_Attributes!$A$1:$A$500,0))="","",INDEX(O1_Community_Attributes!$W$1:$W$500,MATCH($A41,O1_Community_Attributes!$A$1:$A$500,0))),""))</f>
        <v/>
      </c>
      <c r="O41" s="8" t="str">
        <f aca="false">IF($A41="","",IFERROR(IF(INDEX(O1_Community_Attributes!$X$1:$X$500,MATCH($A41,O1_Community_Attributes!$A$1:$A$500,0))="","",INDEX(O1_Community_Attributes!$X$1:$X$500,MATCH($A41,O1_Community_Attributes!$A$1:$A$500,0))),""))</f>
        <v/>
      </c>
      <c r="P41" s="8" t="str">
        <f aca="false">IF($A41="","",IFERROR(IF(INDEX(O1_Community_Attributes!$Y$1:$Y$500,MATCH($A41,O1_Community_Attributes!$A$1:$A$500,0))="","",INDEX(O1_Community_Attributes!$Y$1:$Y$500,MATCH($A41,O1_Community_Attributes!$A$1:$A$500,0))),""))</f>
        <v/>
      </c>
      <c r="Q41" s="8" t="str">
        <f aca="false">IF($A41="","",IFERROR(IF(INDEX(O1_Community_Attributes!$Z$1:$Z$500,MATCH($A41,O1_Community_Attributes!$A$1:$A$500,0))="","",INDEX(O1_Community_Attributes!$Z$1:$Z$500,MATCH($A41,O1_Community_Attributes!$A$1:$A$500,0))),""))</f>
        <v/>
      </c>
      <c r="R41" s="8" t="str">
        <f aca="false">IF($A41="","",IFERROR(IF(INDEX(O1_Community_Attributes!$BK$1:$BK$500,MATCH($A41,O1_Community_Attributes!$A$1:$A$500,0))="","",INDEX(O1_Community_Attributes!$BK$1:$BK$500,MATCH($A41,O1_Community_Attributes!$A$1:$A$500,0))),""))</f>
        <v/>
      </c>
      <c r="S41" s="8" t="str">
        <f aca="false">IF(OR($C41="",$M41=""),"",$M41/$C41)</f>
        <v/>
      </c>
      <c r="T41" s="8" t="str">
        <f aca="false">IF($C41="","",IF(AND($M41="",$P41=""),"",IF($M41="","B",IF(ABS($S41-1)&lt;=0.3,"A",IF(OR($S41&gt;2,$S41&lt;0.5),"C","B")))))</f>
        <v/>
      </c>
    </row>
    <row r="42" customFormat="false" ht="15" hidden="false" customHeight="true" outlineLevel="0" collapsed="false">
      <c r="H42" s="8" t="str">
        <f aca="false">IF(C42="","",IF(C42&lt;1,"yes","no"))</f>
        <v/>
      </c>
      <c r="I42" s="8" t="str">
        <f aca="false">IF(C42="","",IF(C42&lt;2.6,"r75",IF(C42&lt;5.2,"r110",IF(C42&lt;9.9,"r150",IF(C42&lt;19.8,"r210","r300")))))</f>
        <v/>
      </c>
      <c r="M42" s="8" t="str">
        <f aca="false">IF($A42="","",IFERROR(IF(INDEX(O1_Community_Attributes!$V$1:$V$500,MATCH($A42,O1_Community_Attributes!$A$1:$A$500,0))="","",INDEX(O1_Community_Attributes!$V$1:$V$500,MATCH($A42,O1_Community_Attributes!$A$1:$A$500,0))),""))</f>
        <v/>
      </c>
      <c r="N42" s="8" t="str">
        <f aca="false">IF($A42="","",IFERROR(IF(INDEX(O1_Community_Attributes!$W$1:$W$500,MATCH($A42,O1_Community_Attributes!$A$1:$A$500,0))="","",INDEX(O1_Community_Attributes!$W$1:$W$500,MATCH($A42,O1_Community_Attributes!$A$1:$A$500,0))),""))</f>
        <v/>
      </c>
      <c r="O42" s="8" t="str">
        <f aca="false">IF($A42="","",IFERROR(IF(INDEX(O1_Community_Attributes!$X$1:$X$500,MATCH($A42,O1_Community_Attributes!$A$1:$A$500,0))="","",INDEX(O1_Community_Attributes!$X$1:$X$500,MATCH($A42,O1_Community_Attributes!$A$1:$A$500,0))),""))</f>
        <v/>
      </c>
      <c r="P42" s="8" t="str">
        <f aca="false">IF($A42="","",IFERROR(IF(INDEX(O1_Community_Attributes!$Y$1:$Y$500,MATCH($A42,O1_Community_Attributes!$A$1:$A$500,0))="","",INDEX(O1_Community_Attributes!$Y$1:$Y$500,MATCH($A42,O1_Community_Attributes!$A$1:$A$500,0))),""))</f>
        <v/>
      </c>
      <c r="Q42" s="8" t="str">
        <f aca="false">IF($A42="","",IFERROR(IF(INDEX(O1_Community_Attributes!$Z$1:$Z$500,MATCH($A42,O1_Community_Attributes!$A$1:$A$500,0))="","",INDEX(O1_Community_Attributes!$Z$1:$Z$500,MATCH($A42,O1_Community_Attributes!$A$1:$A$500,0))),""))</f>
        <v/>
      </c>
      <c r="R42" s="8" t="str">
        <f aca="false">IF($A42="","",IFERROR(IF(INDEX(O1_Community_Attributes!$BK$1:$BK$500,MATCH($A42,O1_Community_Attributes!$A$1:$A$500,0))="","",INDEX(O1_Community_Attributes!$BK$1:$BK$500,MATCH($A42,O1_Community_Attributes!$A$1:$A$500,0))),""))</f>
        <v/>
      </c>
      <c r="S42" s="8" t="str">
        <f aca="false">IF(OR($C42="",$M42=""),"",$M42/$C42)</f>
        <v/>
      </c>
      <c r="T42" s="8" t="str">
        <f aca="false">IF($C42="","",IF(AND($M42="",$P42=""),"",IF($M42="","B",IF(ABS($S42-1)&lt;=0.3,"A",IF(OR($S42&gt;2,$S42&lt;0.5),"C","B")))))</f>
        <v/>
      </c>
    </row>
    <row r="43" customFormat="false" ht="15" hidden="false" customHeight="true" outlineLevel="0" collapsed="false">
      <c r="H43" s="8" t="str">
        <f aca="false">IF(C43="","",IF(C43&lt;1,"yes","no"))</f>
        <v/>
      </c>
      <c r="I43" s="8" t="str">
        <f aca="false">IF(C43="","",IF(C43&lt;2.6,"r75",IF(C43&lt;5.2,"r110",IF(C43&lt;9.9,"r150",IF(C43&lt;19.8,"r210","r300")))))</f>
        <v/>
      </c>
      <c r="M43" s="8" t="str">
        <f aca="false">IF($A43="","",IFERROR(IF(INDEX(O1_Community_Attributes!$V$1:$V$500,MATCH($A43,O1_Community_Attributes!$A$1:$A$500,0))="","",INDEX(O1_Community_Attributes!$V$1:$V$500,MATCH($A43,O1_Community_Attributes!$A$1:$A$500,0))),""))</f>
        <v/>
      </c>
      <c r="N43" s="8" t="str">
        <f aca="false">IF($A43="","",IFERROR(IF(INDEX(O1_Community_Attributes!$W$1:$W$500,MATCH($A43,O1_Community_Attributes!$A$1:$A$500,0))="","",INDEX(O1_Community_Attributes!$W$1:$W$500,MATCH($A43,O1_Community_Attributes!$A$1:$A$500,0))),""))</f>
        <v/>
      </c>
      <c r="O43" s="8" t="str">
        <f aca="false">IF($A43="","",IFERROR(IF(INDEX(O1_Community_Attributes!$X$1:$X$500,MATCH($A43,O1_Community_Attributes!$A$1:$A$500,0))="","",INDEX(O1_Community_Attributes!$X$1:$X$500,MATCH($A43,O1_Community_Attributes!$A$1:$A$500,0))),""))</f>
        <v/>
      </c>
      <c r="P43" s="8" t="str">
        <f aca="false">IF($A43="","",IFERROR(IF(INDEX(O1_Community_Attributes!$Y$1:$Y$500,MATCH($A43,O1_Community_Attributes!$A$1:$A$500,0))="","",INDEX(O1_Community_Attributes!$Y$1:$Y$500,MATCH($A43,O1_Community_Attributes!$A$1:$A$500,0))),""))</f>
        <v/>
      </c>
      <c r="Q43" s="8" t="str">
        <f aca="false">IF($A43="","",IFERROR(IF(INDEX(O1_Community_Attributes!$Z$1:$Z$500,MATCH($A43,O1_Community_Attributes!$A$1:$A$500,0))="","",INDEX(O1_Community_Attributes!$Z$1:$Z$500,MATCH($A43,O1_Community_Attributes!$A$1:$A$500,0))),""))</f>
        <v/>
      </c>
      <c r="R43" s="8" t="str">
        <f aca="false">IF($A43="","",IFERROR(IF(INDEX(O1_Community_Attributes!$BK$1:$BK$500,MATCH($A43,O1_Community_Attributes!$A$1:$A$500,0))="","",INDEX(O1_Community_Attributes!$BK$1:$BK$500,MATCH($A43,O1_Community_Attributes!$A$1:$A$500,0))),""))</f>
        <v/>
      </c>
      <c r="S43" s="8" t="str">
        <f aca="false">IF(OR($C43="",$M43=""),"",$M43/$C43)</f>
        <v/>
      </c>
      <c r="T43" s="8" t="str">
        <f aca="false">IF($C43="","",IF(AND($M43="",$P43=""),"",IF($M43="","B",IF(ABS($S43-1)&lt;=0.3,"A",IF(OR($S43&gt;2,$S43&lt;0.5),"C","B")))))</f>
        <v/>
      </c>
    </row>
    <row r="44" customFormat="false" ht="15" hidden="false" customHeight="true" outlineLevel="0" collapsed="false">
      <c r="H44" s="8" t="str">
        <f aca="false">IF(C44="","",IF(C44&lt;1,"yes","no"))</f>
        <v/>
      </c>
      <c r="I44" s="8" t="str">
        <f aca="false">IF(C44="","",IF(C44&lt;2.6,"r75",IF(C44&lt;5.2,"r110",IF(C44&lt;9.9,"r150",IF(C44&lt;19.8,"r210","r300")))))</f>
        <v/>
      </c>
      <c r="M44" s="8" t="str">
        <f aca="false">IF($A44="","",IFERROR(IF(INDEX(O1_Community_Attributes!$V$1:$V$500,MATCH($A44,O1_Community_Attributes!$A$1:$A$500,0))="","",INDEX(O1_Community_Attributes!$V$1:$V$500,MATCH($A44,O1_Community_Attributes!$A$1:$A$500,0))),""))</f>
        <v/>
      </c>
      <c r="N44" s="8" t="str">
        <f aca="false">IF($A44="","",IFERROR(IF(INDEX(O1_Community_Attributes!$W$1:$W$500,MATCH($A44,O1_Community_Attributes!$A$1:$A$500,0))="","",INDEX(O1_Community_Attributes!$W$1:$W$500,MATCH($A44,O1_Community_Attributes!$A$1:$A$500,0))),""))</f>
        <v/>
      </c>
      <c r="O44" s="8" t="str">
        <f aca="false">IF($A44="","",IFERROR(IF(INDEX(O1_Community_Attributes!$X$1:$X$500,MATCH($A44,O1_Community_Attributes!$A$1:$A$500,0))="","",INDEX(O1_Community_Attributes!$X$1:$X$500,MATCH($A44,O1_Community_Attributes!$A$1:$A$500,0))),""))</f>
        <v/>
      </c>
      <c r="P44" s="8" t="str">
        <f aca="false">IF($A44="","",IFERROR(IF(INDEX(O1_Community_Attributes!$Y$1:$Y$500,MATCH($A44,O1_Community_Attributes!$A$1:$A$500,0))="","",INDEX(O1_Community_Attributes!$Y$1:$Y$500,MATCH($A44,O1_Community_Attributes!$A$1:$A$500,0))),""))</f>
        <v/>
      </c>
      <c r="Q44" s="8" t="str">
        <f aca="false">IF($A44="","",IFERROR(IF(INDEX(O1_Community_Attributes!$Z$1:$Z$500,MATCH($A44,O1_Community_Attributes!$A$1:$A$500,0))="","",INDEX(O1_Community_Attributes!$Z$1:$Z$500,MATCH($A44,O1_Community_Attributes!$A$1:$A$500,0))),""))</f>
        <v/>
      </c>
      <c r="R44" s="8" t="str">
        <f aca="false">IF($A44="","",IFERROR(IF(INDEX(O1_Community_Attributes!$BK$1:$BK$500,MATCH($A44,O1_Community_Attributes!$A$1:$A$500,0))="","",INDEX(O1_Community_Attributes!$BK$1:$BK$500,MATCH($A44,O1_Community_Attributes!$A$1:$A$500,0))),""))</f>
        <v/>
      </c>
      <c r="S44" s="8" t="str">
        <f aca="false">IF(OR($C44="",$M44=""),"",$M44/$C44)</f>
        <v/>
      </c>
      <c r="T44" s="8" t="str">
        <f aca="false">IF($C44="","",IF(AND($M44="",$P44=""),"",IF($M44="","B",IF(ABS($S44-1)&lt;=0.3,"A",IF(OR($S44&gt;2,$S44&lt;0.5),"C","B")))))</f>
        <v/>
      </c>
    </row>
    <row r="45" customFormat="false" ht="15" hidden="false" customHeight="true" outlineLevel="0" collapsed="false">
      <c r="H45" s="8" t="str">
        <f aca="false">IF(C45="","",IF(C45&lt;1,"yes","no"))</f>
        <v/>
      </c>
      <c r="I45" s="8" t="str">
        <f aca="false">IF(C45="","",IF(C45&lt;2.6,"r75",IF(C45&lt;5.2,"r110",IF(C45&lt;9.9,"r150",IF(C45&lt;19.8,"r210","r300")))))</f>
        <v/>
      </c>
      <c r="M45" s="8" t="str">
        <f aca="false">IF($A45="","",IFERROR(IF(INDEX(O1_Community_Attributes!$V$1:$V$500,MATCH($A45,O1_Community_Attributes!$A$1:$A$500,0))="","",INDEX(O1_Community_Attributes!$V$1:$V$500,MATCH($A45,O1_Community_Attributes!$A$1:$A$500,0))),""))</f>
        <v/>
      </c>
      <c r="N45" s="8" t="str">
        <f aca="false">IF($A45="","",IFERROR(IF(INDEX(O1_Community_Attributes!$W$1:$W$500,MATCH($A45,O1_Community_Attributes!$A$1:$A$500,0))="","",INDEX(O1_Community_Attributes!$W$1:$W$500,MATCH($A45,O1_Community_Attributes!$A$1:$A$500,0))),""))</f>
        <v/>
      </c>
      <c r="O45" s="8" t="str">
        <f aca="false">IF($A45="","",IFERROR(IF(INDEX(O1_Community_Attributes!$X$1:$X$500,MATCH($A45,O1_Community_Attributes!$A$1:$A$500,0))="","",INDEX(O1_Community_Attributes!$X$1:$X$500,MATCH($A45,O1_Community_Attributes!$A$1:$A$500,0))),""))</f>
        <v/>
      </c>
      <c r="P45" s="8" t="str">
        <f aca="false">IF($A45="","",IFERROR(IF(INDEX(O1_Community_Attributes!$Y$1:$Y$500,MATCH($A45,O1_Community_Attributes!$A$1:$A$500,0))="","",INDEX(O1_Community_Attributes!$Y$1:$Y$500,MATCH($A45,O1_Community_Attributes!$A$1:$A$500,0))),""))</f>
        <v/>
      </c>
      <c r="Q45" s="8" t="str">
        <f aca="false">IF($A45="","",IFERROR(IF(INDEX(O1_Community_Attributes!$Z$1:$Z$500,MATCH($A45,O1_Community_Attributes!$A$1:$A$500,0))="","",INDEX(O1_Community_Attributes!$Z$1:$Z$500,MATCH($A45,O1_Community_Attributes!$A$1:$A$500,0))),""))</f>
        <v/>
      </c>
      <c r="R45" s="8" t="str">
        <f aca="false">IF($A45="","",IFERROR(IF(INDEX(O1_Community_Attributes!$BK$1:$BK$500,MATCH($A45,O1_Community_Attributes!$A$1:$A$500,0))="","",INDEX(O1_Community_Attributes!$BK$1:$BK$500,MATCH($A45,O1_Community_Attributes!$A$1:$A$500,0))),""))</f>
        <v/>
      </c>
      <c r="S45" s="8" t="str">
        <f aca="false">IF(OR($C45="",$M45=""),"",$M45/$C45)</f>
        <v/>
      </c>
      <c r="T45" s="8" t="str">
        <f aca="false">IF($C45="","",IF(AND($M45="",$P45=""),"",IF($M45="","B",IF(ABS($S45-1)&lt;=0.3,"A",IF(OR($S45&gt;2,$S45&lt;0.5),"C","B")))))</f>
        <v/>
      </c>
    </row>
    <row r="46" customFormat="false" ht="15" hidden="false" customHeight="true" outlineLevel="0" collapsed="false">
      <c r="H46" s="8" t="str">
        <f aca="false">IF(C46="","",IF(C46&lt;1,"yes","no"))</f>
        <v/>
      </c>
      <c r="I46" s="8" t="str">
        <f aca="false">IF(C46="","",IF(C46&lt;2.6,"r75",IF(C46&lt;5.2,"r110",IF(C46&lt;9.9,"r150",IF(C46&lt;19.8,"r210","r300")))))</f>
        <v/>
      </c>
      <c r="M46" s="8" t="str">
        <f aca="false">IF($A46="","",IFERROR(IF(INDEX(O1_Community_Attributes!$V$1:$V$500,MATCH($A46,O1_Community_Attributes!$A$1:$A$500,0))="","",INDEX(O1_Community_Attributes!$V$1:$V$500,MATCH($A46,O1_Community_Attributes!$A$1:$A$500,0))),""))</f>
        <v/>
      </c>
      <c r="N46" s="8" t="str">
        <f aca="false">IF($A46="","",IFERROR(IF(INDEX(O1_Community_Attributes!$W$1:$W$500,MATCH($A46,O1_Community_Attributes!$A$1:$A$500,0))="","",INDEX(O1_Community_Attributes!$W$1:$W$500,MATCH($A46,O1_Community_Attributes!$A$1:$A$500,0))),""))</f>
        <v/>
      </c>
      <c r="O46" s="8" t="str">
        <f aca="false">IF($A46="","",IFERROR(IF(INDEX(O1_Community_Attributes!$X$1:$X$500,MATCH($A46,O1_Community_Attributes!$A$1:$A$500,0))="","",INDEX(O1_Community_Attributes!$X$1:$X$500,MATCH($A46,O1_Community_Attributes!$A$1:$A$500,0))),""))</f>
        <v/>
      </c>
      <c r="P46" s="8" t="str">
        <f aca="false">IF($A46="","",IFERROR(IF(INDEX(O1_Community_Attributes!$Y$1:$Y$500,MATCH($A46,O1_Community_Attributes!$A$1:$A$500,0))="","",INDEX(O1_Community_Attributes!$Y$1:$Y$500,MATCH($A46,O1_Community_Attributes!$A$1:$A$500,0))),""))</f>
        <v/>
      </c>
      <c r="Q46" s="8" t="str">
        <f aca="false">IF($A46="","",IFERROR(IF(INDEX(O1_Community_Attributes!$Z$1:$Z$500,MATCH($A46,O1_Community_Attributes!$A$1:$A$500,0))="","",INDEX(O1_Community_Attributes!$Z$1:$Z$500,MATCH($A46,O1_Community_Attributes!$A$1:$A$500,0))),""))</f>
        <v/>
      </c>
      <c r="R46" s="8" t="str">
        <f aca="false">IF($A46="","",IFERROR(IF(INDEX(O1_Community_Attributes!$BK$1:$BK$500,MATCH($A46,O1_Community_Attributes!$A$1:$A$500,0))="","",INDEX(O1_Community_Attributes!$BK$1:$BK$500,MATCH($A46,O1_Community_Attributes!$A$1:$A$500,0))),""))</f>
        <v/>
      </c>
      <c r="S46" s="8" t="str">
        <f aca="false">IF(OR($C46="",$M46=""),"",$M46/$C46)</f>
        <v/>
      </c>
      <c r="T46" s="8" t="str">
        <f aca="false">IF($C46="","",IF(AND($M46="",$P46=""),"",IF($M46="","B",IF(ABS($S46-1)&lt;=0.3,"A",IF(OR($S46&gt;2,$S46&lt;0.5),"C","B")))))</f>
        <v/>
      </c>
    </row>
    <row r="47" customFormat="false" ht="15" hidden="false" customHeight="true" outlineLevel="0" collapsed="false">
      <c r="H47" s="8" t="str">
        <f aca="false">IF(C47="","",IF(C47&lt;1,"yes","no"))</f>
        <v/>
      </c>
      <c r="I47" s="8" t="str">
        <f aca="false">IF(C47="","",IF(C47&lt;2.6,"r75",IF(C47&lt;5.2,"r110",IF(C47&lt;9.9,"r150",IF(C47&lt;19.8,"r210","r300")))))</f>
        <v/>
      </c>
      <c r="M47" s="8" t="str">
        <f aca="false">IF($A47="","",IFERROR(IF(INDEX(O1_Community_Attributes!$V$1:$V$500,MATCH($A47,O1_Community_Attributes!$A$1:$A$500,0))="","",INDEX(O1_Community_Attributes!$V$1:$V$500,MATCH($A47,O1_Community_Attributes!$A$1:$A$500,0))),""))</f>
        <v/>
      </c>
      <c r="N47" s="8" t="str">
        <f aca="false">IF($A47="","",IFERROR(IF(INDEX(O1_Community_Attributes!$W$1:$W$500,MATCH($A47,O1_Community_Attributes!$A$1:$A$500,0))="","",INDEX(O1_Community_Attributes!$W$1:$W$500,MATCH($A47,O1_Community_Attributes!$A$1:$A$500,0))),""))</f>
        <v/>
      </c>
      <c r="O47" s="8" t="str">
        <f aca="false">IF($A47="","",IFERROR(IF(INDEX(O1_Community_Attributes!$X$1:$X$500,MATCH($A47,O1_Community_Attributes!$A$1:$A$500,0))="","",INDEX(O1_Community_Attributes!$X$1:$X$500,MATCH($A47,O1_Community_Attributes!$A$1:$A$500,0))),""))</f>
        <v/>
      </c>
      <c r="P47" s="8" t="str">
        <f aca="false">IF($A47="","",IFERROR(IF(INDEX(O1_Community_Attributes!$Y$1:$Y$500,MATCH($A47,O1_Community_Attributes!$A$1:$A$500,0))="","",INDEX(O1_Community_Attributes!$Y$1:$Y$500,MATCH($A47,O1_Community_Attributes!$A$1:$A$500,0))),""))</f>
        <v/>
      </c>
      <c r="Q47" s="8" t="str">
        <f aca="false">IF($A47="","",IFERROR(IF(INDEX(O1_Community_Attributes!$Z$1:$Z$500,MATCH($A47,O1_Community_Attributes!$A$1:$A$500,0))="","",INDEX(O1_Community_Attributes!$Z$1:$Z$500,MATCH($A47,O1_Community_Attributes!$A$1:$A$500,0))),""))</f>
        <v/>
      </c>
      <c r="R47" s="8" t="str">
        <f aca="false">IF($A47="","",IFERROR(IF(INDEX(O1_Community_Attributes!$BK$1:$BK$500,MATCH($A47,O1_Community_Attributes!$A$1:$A$500,0))="","",INDEX(O1_Community_Attributes!$BK$1:$BK$500,MATCH($A47,O1_Community_Attributes!$A$1:$A$500,0))),""))</f>
        <v/>
      </c>
      <c r="S47" s="8" t="str">
        <f aca="false">IF(OR($C47="",$M47=""),"",$M47/$C47)</f>
        <v/>
      </c>
      <c r="T47" s="8" t="str">
        <f aca="false">IF($C47="","",IF(AND($M47="",$P47=""),"",IF($M47="","B",IF(ABS($S47-1)&lt;=0.3,"A",IF(OR($S47&gt;2,$S47&lt;0.5),"C","B")))))</f>
        <v/>
      </c>
    </row>
    <row r="48" customFormat="false" ht="15" hidden="false" customHeight="true" outlineLevel="0" collapsed="false">
      <c r="H48" s="8" t="str">
        <f aca="false">IF(C48="","",IF(C48&lt;1,"yes","no"))</f>
        <v/>
      </c>
      <c r="I48" s="8" t="str">
        <f aca="false">IF(C48="","",IF(C48&lt;2.6,"r75",IF(C48&lt;5.2,"r110",IF(C48&lt;9.9,"r150",IF(C48&lt;19.8,"r210","r300")))))</f>
        <v/>
      </c>
      <c r="M48" s="8" t="str">
        <f aca="false">IF($A48="","",IFERROR(IF(INDEX(O1_Community_Attributes!$V$1:$V$500,MATCH($A48,O1_Community_Attributes!$A$1:$A$500,0))="","",INDEX(O1_Community_Attributes!$V$1:$V$500,MATCH($A48,O1_Community_Attributes!$A$1:$A$500,0))),""))</f>
        <v/>
      </c>
      <c r="N48" s="8" t="str">
        <f aca="false">IF($A48="","",IFERROR(IF(INDEX(O1_Community_Attributes!$W$1:$W$500,MATCH($A48,O1_Community_Attributes!$A$1:$A$500,0))="","",INDEX(O1_Community_Attributes!$W$1:$W$500,MATCH($A48,O1_Community_Attributes!$A$1:$A$500,0))),""))</f>
        <v/>
      </c>
      <c r="O48" s="8" t="str">
        <f aca="false">IF($A48="","",IFERROR(IF(INDEX(O1_Community_Attributes!$X$1:$X$500,MATCH($A48,O1_Community_Attributes!$A$1:$A$500,0))="","",INDEX(O1_Community_Attributes!$X$1:$X$500,MATCH($A48,O1_Community_Attributes!$A$1:$A$500,0))),""))</f>
        <v/>
      </c>
      <c r="P48" s="8" t="str">
        <f aca="false">IF($A48="","",IFERROR(IF(INDEX(O1_Community_Attributes!$Y$1:$Y$500,MATCH($A48,O1_Community_Attributes!$A$1:$A$500,0))="","",INDEX(O1_Community_Attributes!$Y$1:$Y$500,MATCH($A48,O1_Community_Attributes!$A$1:$A$500,0))),""))</f>
        <v/>
      </c>
      <c r="Q48" s="8" t="str">
        <f aca="false">IF($A48="","",IFERROR(IF(INDEX(O1_Community_Attributes!$Z$1:$Z$500,MATCH($A48,O1_Community_Attributes!$A$1:$A$500,0))="","",INDEX(O1_Community_Attributes!$Z$1:$Z$500,MATCH($A48,O1_Community_Attributes!$A$1:$A$500,0))),""))</f>
        <v/>
      </c>
      <c r="R48" s="8" t="str">
        <f aca="false">IF($A48="","",IFERROR(IF(INDEX(O1_Community_Attributes!$BK$1:$BK$500,MATCH($A48,O1_Community_Attributes!$A$1:$A$500,0))="","",INDEX(O1_Community_Attributes!$BK$1:$BK$500,MATCH($A48,O1_Community_Attributes!$A$1:$A$500,0))),""))</f>
        <v/>
      </c>
      <c r="S48" s="8" t="str">
        <f aca="false">IF(OR($C48="",$M48=""),"",$M48/$C48)</f>
        <v/>
      </c>
      <c r="T48" s="8" t="str">
        <f aca="false">IF($C48="","",IF(AND($M48="",$P48=""),"",IF($M48="","B",IF(ABS($S48-1)&lt;=0.3,"A",IF(OR($S48&gt;2,$S48&lt;0.5),"C","B")))))</f>
        <v/>
      </c>
    </row>
    <row r="49" customFormat="false" ht="15" hidden="false" customHeight="true" outlineLevel="0" collapsed="false">
      <c r="H49" s="8" t="str">
        <f aca="false">IF(C49="","",IF(C49&lt;1,"yes","no"))</f>
        <v/>
      </c>
      <c r="I49" s="8" t="str">
        <f aca="false">IF(C49="","",IF(C49&lt;2.6,"r75",IF(C49&lt;5.2,"r110",IF(C49&lt;9.9,"r150",IF(C49&lt;19.8,"r210","r300")))))</f>
        <v/>
      </c>
      <c r="M49" s="8" t="str">
        <f aca="false">IF($A49="","",IFERROR(IF(INDEX(O1_Community_Attributes!$V$1:$V$500,MATCH($A49,O1_Community_Attributes!$A$1:$A$500,0))="","",INDEX(O1_Community_Attributes!$V$1:$V$500,MATCH($A49,O1_Community_Attributes!$A$1:$A$500,0))),""))</f>
        <v/>
      </c>
      <c r="N49" s="8" t="str">
        <f aca="false">IF($A49="","",IFERROR(IF(INDEX(O1_Community_Attributes!$W$1:$W$500,MATCH($A49,O1_Community_Attributes!$A$1:$A$500,0))="","",INDEX(O1_Community_Attributes!$W$1:$W$500,MATCH($A49,O1_Community_Attributes!$A$1:$A$500,0))),""))</f>
        <v/>
      </c>
      <c r="O49" s="8" t="str">
        <f aca="false">IF($A49="","",IFERROR(IF(INDEX(O1_Community_Attributes!$X$1:$X$500,MATCH($A49,O1_Community_Attributes!$A$1:$A$500,0))="","",INDEX(O1_Community_Attributes!$X$1:$X$500,MATCH($A49,O1_Community_Attributes!$A$1:$A$500,0))),""))</f>
        <v/>
      </c>
      <c r="P49" s="8" t="str">
        <f aca="false">IF($A49="","",IFERROR(IF(INDEX(O1_Community_Attributes!$Y$1:$Y$500,MATCH($A49,O1_Community_Attributes!$A$1:$A$500,0))="","",INDEX(O1_Community_Attributes!$Y$1:$Y$500,MATCH($A49,O1_Community_Attributes!$A$1:$A$500,0))),""))</f>
        <v/>
      </c>
      <c r="Q49" s="8" t="str">
        <f aca="false">IF($A49="","",IFERROR(IF(INDEX(O1_Community_Attributes!$Z$1:$Z$500,MATCH($A49,O1_Community_Attributes!$A$1:$A$500,0))="","",INDEX(O1_Community_Attributes!$Z$1:$Z$500,MATCH($A49,O1_Community_Attributes!$A$1:$A$500,0))),""))</f>
        <v/>
      </c>
      <c r="R49" s="8" t="str">
        <f aca="false">IF($A49="","",IFERROR(IF(INDEX(O1_Community_Attributes!$BK$1:$BK$500,MATCH($A49,O1_Community_Attributes!$A$1:$A$500,0))="","",INDEX(O1_Community_Attributes!$BK$1:$BK$500,MATCH($A49,O1_Community_Attributes!$A$1:$A$500,0))),""))</f>
        <v/>
      </c>
      <c r="S49" s="8" t="str">
        <f aca="false">IF(OR($C49="",$M49=""),"",$M49/$C49)</f>
        <v/>
      </c>
      <c r="T49" s="8" t="str">
        <f aca="false">IF($C49="","",IF(AND($M49="",$P49=""),"",IF($M49="","B",IF(ABS($S49-1)&lt;=0.3,"A",IF(OR($S49&gt;2,$S49&lt;0.5),"C","B")))))</f>
        <v/>
      </c>
    </row>
    <row r="50" customFormat="false" ht="15" hidden="false" customHeight="true" outlineLevel="0" collapsed="false">
      <c r="H50" s="8" t="str">
        <f aca="false">IF(C50="","",IF(C50&lt;1,"yes","no"))</f>
        <v/>
      </c>
      <c r="I50" s="8" t="str">
        <f aca="false">IF(C50="","",IF(C50&lt;2.6,"r75",IF(C50&lt;5.2,"r110",IF(C50&lt;9.9,"r150",IF(C50&lt;19.8,"r210","r300")))))</f>
        <v/>
      </c>
      <c r="M50" s="8" t="str">
        <f aca="false">IF($A50="","",IFERROR(IF(INDEX(O1_Community_Attributes!$V$1:$V$500,MATCH($A50,O1_Community_Attributes!$A$1:$A$500,0))="","",INDEX(O1_Community_Attributes!$V$1:$V$500,MATCH($A50,O1_Community_Attributes!$A$1:$A$500,0))),""))</f>
        <v/>
      </c>
      <c r="N50" s="8" t="str">
        <f aca="false">IF($A50="","",IFERROR(IF(INDEX(O1_Community_Attributes!$W$1:$W$500,MATCH($A50,O1_Community_Attributes!$A$1:$A$500,0))="","",INDEX(O1_Community_Attributes!$W$1:$W$500,MATCH($A50,O1_Community_Attributes!$A$1:$A$500,0))),""))</f>
        <v/>
      </c>
      <c r="O50" s="8" t="str">
        <f aca="false">IF($A50="","",IFERROR(IF(INDEX(O1_Community_Attributes!$X$1:$X$500,MATCH($A50,O1_Community_Attributes!$A$1:$A$500,0))="","",INDEX(O1_Community_Attributes!$X$1:$X$500,MATCH($A50,O1_Community_Attributes!$A$1:$A$500,0))),""))</f>
        <v/>
      </c>
      <c r="P50" s="8" t="str">
        <f aca="false">IF($A50="","",IFERROR(IF(INDEX(O1_Community_Attributes!$Y$1:$Y$500,MATCH($A50,O1_Community_Attributes!$A$1:$A$500,0))="","",INDEX(O1_Community_Attributes!$Y$1:$Y$500,MATCH($A50,O1_Community_Attributes!$A$1:$A$500,0))),""))</f>
        <v/>
      </c>
      <c r="Q50" s="8" t="str">
        <f aca="false">IF($A50="","",IFERROR(IF(INDEX(O1_Community_Attributes!$Z$1:$Z$500,MATCH($A50,O1_Community_Attributes!$A$1:$A$500,0))="","",INDEX(O1_Community_Attributes!$Z$1:$Z$500,MATCH($A50,O1_Community_Attributes!$A$1:$A$500,0))),""))</f>
        <v/>
      </c>
      <c r="R50" s="8" t="str">
        <f aca="false">IF($A50="","",IFERROR(IF(INDEX(O1_Community_Attributes!$BK$1:$BK$500,MATCH($A50,O1_Community_Attributes!$A$1:$A$500,0))="","",INDEX(O1_Community_Attributes!$BK$1:$BK$500,MATCH($A50,O1_Community_Attributes!$A$1:$A$500,0))),""))</f>
        <v/>
      </c>
      <c r="S50" s="8" t="str">
        <f aca="false">IF(OR($C50="",$M50=""),"",$M50/$C50)</f>
        <v/>
      </c>
      <c r="T50" s="8" t="str">
        <f aca="false">IF($C50="","",IF(AND($M50="",$P50=""),"",IF($M50="","B",IF(ABS($S50-1)&lt;=0.3,"A",IF(OR($S50&gt;2,$S50&lt;0.5),"C","B")))))</f>
        <v/>
      </c>
    </row>
    <row r="51" customFormat="false" ht="15" hidden="false" customHeight="true" outlineLevel="0" collapsed="false">
      <c r="H51" s="8" t="str">
        <f aca="false">IF(C51="","",IF(C51&lt;1,"yes","no"))</f>
        <v/>
      </c>
      <c r="I51" s="8" t="str">
        <f aca="false">IF(C51="","",IF(C51&lt;2.6,"r75",IF(C51&lt;5.2,"r110",IF(C51&lt;9.9,"r150",IF(C51&lt;19.8,"r210","r300")))))</f>
        <v/>
      </c>
      <c r="M51" s="8" t="str">
        <f aca="false">IF($A51="","",IFERROR(IF(INDEX(O1_Community_Attributes!$V$1:$V$500,MATCH($A51,O1_Community_Attributes!$A$1:$A$500,0))="","",INDEX(O1_Community_Attributes!$V$1:$V$500,MATCH($A51,O1_Community_Attributes!$A$1:$A$500,0))),""))</f>
        <v/>
      </c>
      <c r="N51" s="8" t="str">
        <f aca="false">IF($A51="","",IFERROR(IF(INDEX(O1_Community_Attributes!$W$1:$W$500,MATCH($A51,O1_Community_Attributes!$A$1:$A$500,0))="","",INDEX(O1_Community_Attributes!$W$1:$W$500,MATCH($A51,O1_Community_Attributes!$A$1:$A$500,0))),""))</f>
        <v/>
      </c>
      <c r="O51" s="8" t="str">
        <f aca="false">IF($A51="","",IFERROR(IF(INDEX(O1_Community_Attributes!$X$1:$X$500,MATCH($A51,O1_Community_Attributes!$A$1:$A$500,0))="","",INDEX(O1_Community_Attributes!$X$1:$X$500,MATCH($A51,O1_Community_Attributes!$A$1:$A$500,0))),""))</f>
        <v/>
      </c>
      <c r="P51" s="8" t="str">
        <f aca="false">IF($A51="","",IFERROR(IF(INDEX(O1_Community_Attributes!$Y$1:$Y$500,MATCH($A51,O1_Community_Attributes!$A$1:$A$500,0))="","",INDEX(O1_Community_Attributes!$Y$1:$Y$500,MATCH($A51,O1_Community_Attributes!$A$1:$A$500,0))),""))</f>
        <v/>
      </c>
      <c r="Q51" s="8" t="str">
        <f aca="false">IF($A51="","",IFERROR(IF(INDEX(O1_Community_Attributes!$Z$1:$Z$500,MATCH($A51,O1_Community_Attributes!$A$1:$A$500,0))="","",INDEX(O1_Community_Attributes!$Z$1:$Z$500,MATCH($A51,O1_Community_Attributes!$A$1:$A$500,0))),""))</f>
        <v/>
      </c>
      <c r="R51" s="8" t="str">
        <f aca="false">IF($A51="","",IFERROR(IF(INDEX(O1_Community_Attributes!$BK$1:$BK$500,MATCH($A51,O1_Community_Attributes!$A$1:$A$500,0))="","",INDEX(O1_Community_Attributes!$BK$1:$BK$500,MATCH($A51,O1_Community_Attributes!$A$1:$A$500,0))),""))</f>
        <v/>
      </c>
      <c r="S51" s="8" t="str">
        <f aca="false">IF(OR($C51="",$M51=""),"",$M51/$C51)</f>
        <v/>
      </c>
      <c r="T51" s="8" t="str">
        <f aca="false">IF($C51="","",IF(AND($M51="",$P51=""),"",IF($M51="","B",IF(ABS($S51-1)&lt;=0.3,"A",IF(OR($S51&gt;2,$S51&lt;0.5),"C","B")))))</f>
        <v/>
      </c>
    </row>
    <row r="52" customFormat="false" ht="15" hidden="false" customHeight="true" outlineLevel="0" collapsed="false">
      <c r="H52" s="8" t="str">
        <f aca="false">IF(C52="","",IF(C52&lt;1,"yes","no"))</f>
        <v/>
      </c>
      <c r="I52" s="8" t="str">
        <f aca="false">IF(C52="","",IF(C52&lt;2.6,"r75",IF(C52&lt;5.2,"r110",IF(C52&lt;9.9,"r150",IF(C52&lt;19.8,"r210","r300")))))</f>
        <v/>
      </c>
      <c r="M52" s="8" t="str">
        <f aca="false">IF($A52="","",IFERROR(IF(INDEX(O1_Community_Attributes!$V$1:$V$500,MATCH($A52,O1_Community_Attributes!$A$1:$A$500,0))="","",INDEX(O1_Community_Attributes!$V$1:$V$500,MATCH($A52,O1_Community_Attributes!$A$1:$A$500,0))),""))</f>
        <v/>
      </c>
      <c r="N52" s="8" t="str">
        <f aca="false">IF($A52="","",IFERROR(IF(INDEX(O1_Community_Attributes!$W$1:$W$500,MATCH($A52,O1_Community_Attributes!$A$1:$A$500,0))="","",INDEX(O1_Community_Attributes!$W$1:$W$500,MATCH($A52,O1_Community_Attributes!$A$1:$A$500,0))),""))</f>
        <v/>
      </c>
      <c r="O52" s="8" t="str">
        <f aca="false">IF($A52="","",IFERROR(IF(INDEX(O1_Community_Attributes!$X$1:$X$500,MATCH($A52,O1_Community_Attributes!$A$1:$A$500,0))="","",INDEX(O1_Community_Attributes!$X$1:$X$500,MATCH($A52,O1_Community_Attributes!$A$1:$A$500,0))),""))</f>
        <v/>
      </c>
      <c r="P52" s="8" t="str">
        <f aca="false">IF($A52="","",IFERROR(IF(INDEX(O1_Community_Attributes!$Y$1:$Y$500,MATCH($A52,O1_Community_Attributes!$A$1:$A$500,0))="","",INDEX(O1_Community_Attributes!$Y$1:$Y$500,MATCH($A52,O1_Community_Attributes!$A$1:$A$500,0))),""))</f>
        <v/>
      </c>
      <c r="Q52" s="8" t="str">
        <f aca="false">IF($A52="","",IFERROR(IF(INDEX(O1_Community_Attributes!$Z$1:$Z$500,MATCH($A52,O1_Community_Attributes!$A$1:$A$500,0))="","",INDEX(O1_Community_Attributes!$Z$1:$Z$500,MATCH($A52,O1_Community_Attributes!$A$1:$A$500,0))),""))</f>
        <v/>
      </c>
      <c r="R52" s="8" t="str">
        <f aca="false">IF($A52="","",IFERROR(IF(INDEX(O1_Community_Attributes!$BK$1:$BK$500,MATCH($A52,O1_Community_Attributes!$A$1:$A$500,0))="","",INDEX(O1_Community_Attributes!$BK$1:$BK$500,MATCH($A52,O1_Community_Attributes!$A$1:$A$500,0))),""))</f>
        <v/>
      </c>
      <c r="S52" s="8" t="str">
        <f aca="false">IF(OR($C52="",$M52=""),"",$M52/$C52)</f>
        <v/>
      </c>
      <c r="T52" s="8" t="str">
        <f aca="false">IF($C52="","",IF(AND($M52="",$P52=""),"",IF($M52="","B",IF(ABS($S52-1)&lt;=0.3,"A",IF(OR($S52&gt;2,$S52&lt;0.5),"C","B")))))</f>
        <v/>
      </c>
    </row>
    <row r="53" customFormat="false" ht="15" hidden="false" customHeight="true" outlineLevel="0" collapsed="false">
      <c r="H53" s="8" t="str">
        <f aca="false">IF(C53="","",IF(C53&lt;1,"yes","no"))</f>
        <v/>
      </c>
      <c r="I53" s="8" t="str">
        <f aca="false">IF(C53="","",IF(C53&lt;2.6,"r75",IF(C53&lt;5.2,"r110",IF(C53&lt;9.9,"r150",IF(C53&lt;19.8,"r210","r300")))))</f>
        <v/>
      </c>
      <c r="M53" s="8" t="str">
        <f aca="false">IF($A53="","",IFERROR(IF(INDEX(O1_Community_Attributes!$V$1:$V$500,MATCH($A53,O1_Community_Attributes!$A$1:$A$500,0))="","",INDEX(O1_Community_Attributes!$V$1:$V$500,MATCH($A53,O1_Community_Attributes!$A$1:$A$500,0))),""))</f>
        <v/>
      </c>
      <c r="N53" s="8" t="str">
        <f aca="false">IF($A53="","",IFERROR(IF(INDEX(O1_Community_Attributes!$W$1:$W$500,MATCH($A53,O1_Community_Attributes!$A$1:$A$500,0))="","",INDEX(O1_Community_Attributes!$W$1:$W$500,MATCH($A53,O1_Community_Attributes!$A$1:$A$500,0))),""))</f>
        <v/>
      </c>
      <c r="O53" s="8" t="str">
        <f aca="false">IF($A53="","",IFERROR(IF(INDEX(O1_Community_Attributes!$X$1:$X$500,MATCH($A53,O1_Community_Attributes!$A$1:$A$500,0))="","",INDEX(O1_Community_Attributes!$X$1:$X$500,MATCH($A53,O1_Community_Attributes!$A$1:$A$500,0))),""))</f>
        <v/>
      </c>
      <c r="P53" s="8" t="str">
        <f aca="false">IF($A53="","",IFERROR(IF(INDEX(O1_Community_Attributes!$Y$1:$Y$500,MATCH($A53,O1_Community_Attributes!$A$1:$A$500,0))="","",INDEX(O1_Community_Attributes!$Y$1:$Y$500,MATCH($A53,O1_Community_Attributes!$A$1:$A$500,0))),""))</f>
        <v/>
      </c>
      <c r="Q53" s="8" t="str">
        <f aca="false">IF($A53="","",IFERROR(IF(INDEX(O1_Community_Attributes!$Z$1:$Z$500,MATCH($A53,O1_Community_Attributes!$A$1:$A$500,0))="","",INDEX(O1_Community_Attributes!$Z$1:$Z$500,MATCH($A53,O1_Community_Attributes!$A$1:$A$500,0))),""))</f>
        <v/>
      </c>
      <c r="R53" s="8" t="str">
        <f aca="false">IF($A53="","",IFERROR(IF(INDEX(O1_Community_Attributes!$BK$1:$BK$500,MATCH($A53,O1_Community_Attributes!$A$1:$A$500,0))="","",INDEX(O1_Community_Attributes!$BK$1:$BK$500,MATCH($A53,O1_Community_Attributes!$A$1:$A$500,0))),""))</f>
        <v/>
      </c>
      <c r="S53" s="8" t="str">
        <f aca="false">IF(OR($C53="",$M53=""),"",$M53/$C53)</f>
        <v/>
      </c>
      <c r="T53" s="8" t="str">
        <f aca="false">IF($C53="","",IF(AND($M53="",$P53=""),"",IF($M53="","B",IF(ABS($S53-1)&lt;=0.3,"A",IF(OR($S53&gt;2,$S53&lt;0.5),"C","B")))))</f>
        <v/>
      </c>
    </row>
    <row r="54" customFormat="false" ht="15" hidden="false" customHeight="true" outlineLevel="0" collapsed="false">
      <c r="H54" s="8" t="str">
        <f aca="false">IF(C54="","",IF(C54&lt;1,"yes","no"))</f>
        <v/>
      </c>
      <c r="I54" s="8" t="str">
        <f aca="false">IF(C54="","",IF(C54&lt;2.6,"r75",IF(C54&lt;5.2,"r110",IF(C54&lt;9.9,"r150",IF(C54&lt;19.8,"r210","r300")))))</f>
        <v/>
      </c>
      <c r="M54" s="8" t="str">
        <f aca="false">IF($A54="","",IFERROR(IF(INDEX(O1_Community_Attributes!$V$1:$V$500,MATCH($A54,O1_Community_Attributes!$A$1:$A$500,0))="","",INDEX(O1_Community_Attributes!$V$1:$V$500,MATCH($A54,O1_Community_Attributes!$A$1:$A$500,0))),""))</f>
        <v/>
      </c>
      <c r="N54" s="8" t="str">
        <f aca="false">IF($A54="","",IFERROR(IF(INDEX(O1_Community_Attributes!$W$1:$W$500,MATCH($A54,O1_Community_Attributes!$A$1:$A$500,0))="","",INDEX(O1_Community_Attributes!$W$1:$W$500,MATCH($A54,O1_Community_Attributes!$A$1:$A$500,0))),""))</f>
        <v/>
      </c>
      <c r="O54" s="8" t="str">
        <f aca="false">IF($A54="","",IFERROR(IF(INDEX(O1_Community_Attributes!$X$1:$X$500,MATCH($A54,O1_Community_Attributes!$A$1:$A$500,0))="","",INDEX(O1_Community_Attributes!$X$1:$X$500,MATCH($A54,O1_Community_Attributes!$A$1:$A$500,0))),""))</f>
        <v/>
      </c>
      <c r="P54" s="8" t="str">
        <f aca="false">IF($A54="","",IFERROR(IF(INDEX(O1_Community_Attributes!$Y$1:$Y$500,MATCH($A54,O1_Community_Attributes!$A$1:$A$500,0))="","",INDEX(O1_Community_Attributes!$Y$1:$Y$500,MATCH($A54,O1_Community_Attributes!$A$1:$A$500,0))),""))</f>
        <v/>
      </c>
      <c r="Q54" s="8" t="str">
        <f aca="false">IF($A54="","",IFERROR(IF(INDEX(O1_Community_Attributes!$Z$1:$Z$500,MATCH($A54,O1_Community_Attributes!$A$1:$A$500,0))="","",INDEX(O1_Community_Attributes!$Z$1:$Z$500,MATCH($A54,O1_Community_Attributes!$A$1:$A$500,0))),""))</f>
        <v/>
      </c>
      <c r="R54" s="8" t="str">
        <f aca="false">IF($A54="","",IFERROR(IF(INDEX(O1_Community_Attributes!$BK$1:$BK$500,MATCH($A54,O1_Community_Attributes!$A$1:$A$500,0))="","",INDEX(O1_Community_Attributes!$BK$1:$BK$500,MATCH($A54,O1_Community_Attributes!$A$1:$A$500,0))),""))</f>
        <v/>
      </c>
      <c r="S54" s="8" t="str">
        <f aca="false">IF(OR($C54="",$M54=""),"",$M54/$C54)</f>
        <v/>
      </c>
      <c r="T54" s="8" t="str">
        <f aca="false">IF($C54="","",IF(AND($M54="",$P54=""),"",IF($M54="","B",IF(ABS($S54-1)&lt;=0.3,"A",IF(OR($S54&gt;2,$S54&lt;0.5),"C","B")))))</f>
        <v/>
      </c>
    </row>
    <row r="55" customFormat="false" ht="15" hidden="false" customHeight="true" outlineLevel="0" collapsed="false">
      <c r="H55" s="8" t="str">
        <f aca="false">IF(C55="","",IF(C55&lt;1,"yes","no"))</f>
        <v/>
      </c>
      <c r="I55" s="8" t="str">
        <f aca="false">IF(C55="","",IF(C55&lt;2.6,"r75",IF(C55&lt;5.2,"r110",IF(C55&lt;9.9,"r150",IF(C55&lt;19.8,"r210","r300")))))</f>
        <v/>
      </c>
      <c r="M55" s="8" t="str">
        <f aca="false">IF($A55="","",IFERROR(IF(INDEX(O1_Community_Attributes!$V$1:$V$500,MATCH($A55,O1_Community_Attributes!$A$1:$A$500,0))="","",INDEX(O1_Community_Attributes!$V$1:$V$500,MATCH($A55,O1_Community_Attributes!$A$1:$A$500,0))),""))</f>
        <v/>
      </c>
      <c r="N55" s="8" t="str">
        <f aca="false">IF($A55="","",IFERROR(IF(INDEX(O1_Community_Attributes!$W$1:$W$500,MATCH($A55,O1_Community_Attributes!$A$1:$A$500,0))="","",INDEX(O1_Community_Attributes!$W$1:$W$500,MATCH($A55,O1_Community_Attributes!$A$1:$A$500,0))),""))</f>
        <v/>
      </c>
      <c r="O55" s="8" t="str">
        <f aca="false">IF($A55="","",IFERROR(IF(INDEX(O1_Community_Attributes!$X$1:$X$500,MATCH($A55,O1_Community_Attributes!$A$1:$A$500,0))="","",INDEX(O1_Community_Attributes!$X$1:$X$500,MATCH($A55,O1_Community_Attributes!$A$1:$A$500,0))),""))</f>
        <v/>
      </c>
      <c r="P55" s="8" t="str">
        <f aca="false">IF($A55="","",IFERROR(IF(INDEX(O1_Community_Attributes!$Y$1:$Y$500,MATCH($A55,O1_Community_Attributes!$A$1:$A$500,0))="","",INDEX(O1_Community_Attributes!$Y$1:$Y$500,MATCH($A55,O1_Community_Attributes!$A$1:$A$500,0))),""))</f>
        <v/>
      </c>
      <c r="Q55" s="8" t="str">
        <f aca="false">IF($A55="","",IFERROR(IF(INDEX(O1_Community_Attributes!$Z$1:$Z$500,MATCH($A55,O1_Community_Attributes!$A$1:$A$500,0))="","",INDEX(O1_Community_Attributes!$Z$1:$Z$500,MATCH($A55,O1_Community_Attributes!$A$1:$A$500,0))),""))</f>
        <v/>
      </c>
      <c r="R55" s="8" t="str">
        <f aca="false">IF($A55="","",IFERROR(IF(INDEX(O1_Community_Attributes!$BK$1:$BK$500,MATCH($A55,O1_Community_Attributes!$A$1:$A$500,0))="","",INDEX(O1_Community_Attributes!$BK$1:$BK$500,MATCH($A55,O1_Community_Attributes!$A$1:$A$500,0))),""))</f>
        <v/>
      </c>
      <c r="S55" s="8" t="str">
        <f aca="false">IF(OR($C55="",$M55=""),"",$M55/$C55)</f>
        <v/>
      </c>
      <c r="T55" s="8" t="str">
        <f aca="false">IF($C55="","",IF(AND($M55="",$P55=""),"",IF($M55="","B",IF(ABS($S55-1)&lt;=0.3,"A",IF(OR($S55&gt;2,$S55&lt;0.5),"C","B")))))</f>
        <v/>
      </c>
    </row>
    <row r="56" customFormat="false" ht="15" hidden="false" customHeight="true" outlineLevel="0" collapsed="false">
      <c r="H56" s="8" t="str">
        <f aca="false">IF(C56="","",IF(C56&lt;1,"yes","no"))</f>
        <v/>
      </c>
      <c r="I56" s="8" t="str">
        <f aca="false">IF(C56="","",IF(C56&lt;2.6,"r75",IF(C56&lt;5.2,"r110",IF(C56&lt;9.9,"r150",IF(C56&lt;19.8,"r210","r300")))))</f>
        <v/>
      </c>
      <c r="M56" s="8" t="str">
        <f aca="false">IF($A56="","",IFERROR(IF(INDEX(O1_Community_Attributes!$V$1:$V$500,MATCH($A56,O1_Community_Attributes!$A$1:$A$500,0))="","",INDEX(O1_Community_Attributes!$V$1:$V$500,MATCH($A56,O1_Community_Attributes!$A$1:$A$500,0))),""))</f>
        <v/>
      </c>
      <c r="N56" s="8" t="str">
        <f aca="false">IF($A56="","",IFERROR(IF(INDEX(O1_Community_Attributes!$W$1:$W$500,MATCH($A56,O1_Community_Attributes!$A$1:$A$500,0))="","",INDEX(O1_Community_Attributes!$W$1:$W$500,MATCH($A56,O1_Community_Attributes!$A$1:$A$500,0))),""))</f>
        <v/>
      </c>
      <c r="O56" s="8" t="str">
        <f aca="false">IF($A56="","",IFERROR(IF(INDEX(O1_Community_Attributes!$X$1:$X$500,MATCH($A56,O1_Community_Attributes!$A$1:$A$500,0))="","",INDEX(O1_Community_Attributes!$X$1:$X$500,MATCH($A56,O1_Community_Attributes!$A$1:$A$500,0))),""))</f>
        <v/>
      </c>
      <c r="P56" s="8" t="str">
        <f aca="false">IF($A56="","",IFERROR(IF(INDEX(O1_Community_Attributes!$Y$1:$Y$500,MATCH($A56,O1_Community_Attributes!$A$1:$A$500,0))="","",INDEX(O1_Community_Attributes!$Y$1:$Y$500,MATCH($A56,O1_Community_Attributes!$A$1:$A$500,0))),""))</f>
        <v/>
      </c>
      <c r="Q56" s="8" t="str">
        <f aca="false">IF($A56="","",IFERROR(IF(INDEX(O1_Community_Attributes!$Z$1:$Z$500,MATCH($A56,O1_Community_Attributes!$A$1:$A$500,0))="","",INDEX(O1_Community_Attributes!$Z$1:$Z$500,MATCH($A56,O1_Community_Attributes!$A$1:$A$500,0))),""))</f>
        <v/>
      </c>
      <c r="R56" s="8" t="str">
        <f aca="false">IF($A56="","",IFERROR(IF(INDEX(O1_Community_Attributes!$BK$1:$BK$500,MATCH($A56,O1_Community_Attributes!$A$1:$A$500,0))="","",INDEX(O1_Community_Attributes!$BK$1:$BK$500,MATCH($A56,O1_Community_Attributes!$A$1:$A$500,0))),""))</f>
        <v/>
      </c>
      <c r="S56" s="8" t="str">
        <f aca="false">IF(OR($C56="",$M56=""),"",$M56/$C56)</f>
        <v/>
      </c>
      <c r="T56" s="8" t="str">
        <f aca="false">IF($C56="","",IF(AND($M56="",$P56=""),"",IF($M56="","B",IF(ABS($S56-1)&lt;=0.3,"A",IF(OR($S56&gt;2,$S56&lt;0.5),"C","B")))))</f>
        <v/>
      </c>
    </row>
    <row r="57" customFormat="false" ht="15" hidden="false" customHeight="true" outlineLevel="0" collapsed="false">
      <c r="H57" s="8" t="str">
        <f aca="false">IF(C57="","",IF(C57&lt;1,"yes","no"))</f>
        <v/>
      </c>
      <c r="I57" s="8" t="str">
        <f aca="false">IF(C57="","",IF(C57&lt;2.6,"r75",IF(C57&lt;5.2,"r110",IF(C57&lt;9.9,"r150",IF(C57&lt;19.8,"r210","r300")))))</f>
        <v/>
      </c>
      <c r="M57" s="8" t="str">
        <f aca="false">IF($A57="","",IFERROR(IF(INDEX(O1_Community_Attributes!$V$1:$V$500,MATCH($A57,O1_Community_Attributes!$A$1:$A$500,0))="","",INDEX(O1_Community_Attributes!$V$1:$V$500,MATCH($A57,O1_Community_Attributes!$A$1:$A$500,0))),""))</f>
        <v/>
      </c>
      <c r="N57" s="8" t="str">
        <f aca="false">IF($A57="","",IFERROR(IF(INDEX(O1_Community_Attributes!$W$1:$W$500,MATCH($A57,O1_Community_Attributes!$A$1:$A$500,0))="","",INDEX(O1_Community_Attributes!$W$1:$W$500,MATCH($A57,O1_Community_Attributes!$A$1:$A$500,0))),""))</f>
        <v/>
      </c>
      <c r="O57" s="8" t="str">
        <f aca="false">IF($A57="","",IFERROR(IF(INDEX(O1_Community_Attributes!$X$1:$X$500,MATCH($A57,O1_Community_Attributes!$A$1:$A$500,0))="","",INDEX(O1_Community_Attributes!$X$1:$X$500,MATCH($A57,O1_Community_Attributes!$A$1:$A$500,0))),""))</f>
        <v/>
      </c>
      <c r="P57" s="8" t="str">
        <f aca="false">IF($A57="","",IFERROR(IF(INDEX(O1_Community_Attributes!$Y$1:$Y$500,MATCH($A57,O1_Community_Attributes!$A$1:$A$500,0))="","",INDEX(O1_Community_Attributes!$Y$1:$Y$500,MATCH($A57,O1_Community_Attributes!$A$1:$A$500,0))),""))</f>
        <v/>
      </c>
      <c r="Q57" s="8" t="str">
        <f aca="false">IF($A57="","",IFERROR(IF(INDEX(O1_Community_Attributes!$Z$1:$Z$500,MATCH($A57,O1_Community_Attributes!$A$1:$A$500,0))="","",INDEX(O1_Community_Attributes!$Z$1:$Z$500,MATCH($A57,O1_Community_Attributes!$A$1:$A$500,0))),""))</f>
        <v/>
      </c>
      <c r="R57" s="8" t="str">
        <f aca="false">IF($A57="","",IFERROR(IF(INDEX(O1_Community_Attributes!$BK$1:$BK$500,MATCH($A57,O1_Community_Attributes!$A$1:$A$500,0))="","",INDEX(O1_Community_Attributes!$BK$1:$BK$500,MATCH($A57,O1_Community_Attributes!$A$1:$A$500,0))),""))</f>
        <v/>
      </c>
      <c r="S57" s="8" t="str">
        <f aca="false">IF(OR($C57="",$M57=""),"",$M57/$C57)</f>
        <v/>
      </c>
      <c r="T57" s="8" t="str">
        <f aca="false">IF($C57="","",IF(AND($M57="",$P57=""),"",IF($M57="","B",IF(ABS($S57-1)&lt;=0.3,"A",IF(OR($S57&gt;2,$S57&lt;0.5),"C","B")))))</f>
        <v/>
      </c>
    </row>
    <row r="58" customFormat="false" ht="15" hidden="false" customHeight="true" outlineLevel="0" collapsed="false">
      <c r="H58" s="8" t="str">
        <f aca="false">IF(C58="","",IF(C58&lt;1,"yes","no"))</f>
        <v/>
      </c>
      <c r="I58" s="8" t="str">
        <f aca="false">IF(C58="","",IF(C58&lt;2.6,"r75",IF(C58&lt;5.2,"r110",IF(C58&lt;9.9,"r150",IF(C58&lt;19.8,"r210","r300")))))</f>
        <v/>
      </c>
      <c r="M58" s="8" t="str">
        <f aca="false">IF($A58="","",IFERROR(IF(INDEX(O1_Community_Attributes!$V$1:$V$500,MATCH($A58,O1_Community_Attributes!$A$1:$A$500,0))="","",INDEX(O1_Community_Attributes!$V$1:$V$500,MATCH($A58,O1_Community_Attributes!$A$1:$A$500,0))),""))</f>
        <v/>
      </c>
      <c r="N58" s="8" t="str">
        <f aca="false">IF($A58="","",IFERROR(IF(INDEX(O1_Community_Attributes!$W$1:$W$500,MATCH($A58,O1_Community_Attributes!$A$1:$A$500,0))="","",INDEX(O1_Community_Attributes!$W$1:$W$500,MATCH($A58,O1_Community_Attributes!$A$1:$A$500,0))),""))</f>
        <v/>
      </c>
      <c r="O58" s="8" t="str">
        <f aca="false">IF($A58="","",IFERROR(IF(INDEX(O1_Community_Attributes!$X$1:$X$500,MATCH($A58,O1_Community_Attributes!$A$1:$A$500,0))="","",INDEX(O1_Community_Attributes!$X$1:$X$500,MATCH($A58,O1_Community_Attributes!$A$1:$A$500,0))),""))</f>
        <v/>
      </c>
      <c r="P58" s="8" t="str">
        <f aca="false">IF($A58="","",IFERROR(IF(INDEX(O1_Community_Attributes!$Y$1:$Y$500,MATCH($A58,O1_Community_Attributes!$A$1:$A$500,0))="","",INDEX(O1_Community_Attributes!$Y$1:$Y$500,MATCH($A58,O1_Community_Attributes!$A$1:$A$500,0))),""))</f>
        <v/>
      </c>
      <c r="Q58" s="8" t="str">
        <f aca="false">IF($A58="","",IFERROR(IF(INDEX(O1_Community_Attributes!$Z$1:$Z$500,MATCH($A58,O1_Community_Attributes!$A$1:$A$500,0))="","",INDEX(O1_Community_Attributes!$Z$1:$Z$500,MATCH($A58,O1_Community_Attributes!$A$1:$A$500,0))),""))</f>
        <v/>
      </c>
      <c r="R58" s="8" t="str">
        <f aca="false">IF($A58="","",IFERROR(IF(INDEX(O1_Community_Attributes!$BK$1:$BK$500,MATCH($A58,O1_Community_Attributes!$A$1:$A$500,0))="","",INDEX(O1_Community_Attributes!$BK$1:$BK$500,MATCH($A58,O1_Community_Attributes!$A$1:$A$500,0))),""))</f>
        <v/>
      </c>
      <c r="S58" s="8" t="str">
        <f aca="false">IF(OR($C58="",$M58=""),"",$M58/$C58)</f>
        <v/>
      </c>
      <c r="T58" s="8" t="str">
        <f aca="false">IF($C58="","",IF(AND($M58="",$P58=""),"",IF($M58="","B",IF(ABS($S58-1)&lt;=0.3,"A",IF(OR($S58&gt;2,$S58&lt;0.5),"C","B")))))</f>
        <v/>
      </c>
    </row>
    <row r="59" customFormat="false" ht="15" hidden="false" customHeight="true" outlineLevel="0" collapsed="false">
      <c r="H59" s="8" t="str">
        <f aca="false">IF(C59="","",IF(C59&lt;1,"yes","no"))</f>
        <v/>
      </c>
      <c r="I59" s="8" t="str">
        <f aca="false">IF(C59="","",IF(C59&lt;2.6,"r75",IF(C59&lt;5.2,"r110",IF(C59&lt;9.9,"r150",IF(C59&lt;19.8,"r210","r300")))))</f>
        <v/>
      </c>
      <c r="M59" s="8" t="str">
        <f aca="false">IF($A59="","",IFERROR(IF(INDEX(O1_Community_Attributes!$V$1:$V$500,MATCH($A59,O1_Community_Attributes!$A$1:$A$500,0))="","",INDEX(O1_Community_Attributes!$V$1:$V$500,MATCH($A59,O1_Community_Attributes!$A$1:$A$500,0))),""))</f>
        <v/>
      </c>
      <c r="N59" s="8" t="str">
        <f aca="false">IF($A59="","",IFERROR(IF(INDEX(O1_Community_Attributes!$W$1:$W$500,MATCH($A59,O1_Community_Attributes!$A$1:$A$500,0))="","",INDEX(O1_Community_Attributes!$W$1:$W$500,MATCH($A59,O1_Community_Attributes!$A$1:$A$500,0))),""))</f>
        <v/>
      </c>
      <c r="O59" s="8" t="str">
        <f aca="false">IF($A59="","",IFERROR(IF(INDEX(O1_Community_Attributes!$X$1:$X$500,MATCH($A59,O1_Community_Attributes!$A$1:$A$500,0))="","",INDEX(O1_Community_Attributes!$X$1:$X$500,MATCH($A59,O1_Community_Attributes!$A$1:$A$500,0))),""))</f>
        <v/>
      </c>
      <c r="P59" s="8" t="str">
        <f aca="false">IF($A59="","",IFERROR(IF(INDEX(O1_Community_Attributes!$Y$1:$Y$500,MATCH($A59,O1_Community_Attributes!$A$1:$A$500,0))="","",INDEX(O1_Community_Attributes!$Y$1:$Y$500,MATCH($A59,O1_Community_Attributes!$A$1:$A$500,0))),""))</f>
        <v/>
      </c>
      <c r="Q59" s="8" t="str">
        <f aca="false">IF($A59="","",IFERROR(IF(INDEX(O1_Community_Attributes!$Z$1:$Z$500,MATCH($A59,O1_Community_Attributes!$A$1:$A$500,0))="","",INDEX(O1_Community_Attributes!$Z$1:$Z$500,MATCH($A59,O1_Community_Attributes!$A$1:$A$500,0))),""))</f>
        <v/>
      </c>
      <c r="R59" s="8" t="str">
        <f aca="false">IF($A59="","",IFERROR(IF(INDEX(O1_Community_Attributes!$BK$1:$BK$500,MATCH($A59,O1_Community_Attributes!$A$1:$A$500,0))="","",INDEX(O1_Community_Attributes!$BK$1:$BK$500,MATCH($A59,O1_Community_Attributes!$A$1:$A$500,0))),""))</f>
        <v/>
      </c>
      <c r="S59" s="8" t="str">
        <f aca="false">IF(OR($C59="",$M59=""),"",$M59/$C59)</f>
        <v/>
      </c>
      <c r="T59" s="8" t="str">
        <f aca="false">IF($C59="","",IF(AND($M59="",$P59=""),"",IF($M59="","B",IF(ABS($S59-1)&lt;=0.3,"A",IF(OR($S59&gt;2,$S59&lt;0.5),"C","B")))))</f>
        <v/>
      </c>
    </row>
    <row r="60" customFormat="false" ht="15" hidden="false" customHeight="true" outlineLevel="0" collapsed="false">
      <c r="H60" s="8" t="str">
        <f aca="false">IF(C60="","",IF(C60&lt;1,"yes","no"))</f>
        <v/>
      </c>
      <c r="I60" s="8" t="str">
        <f aca="false">IF(C60="","",IF(C60&lt;2.6,"r75",IF(C60&lt;5.2,"r110",IF(C60&lt;9.9,"r150",IF(C60&lt;19.8,"r210","r300")))))</f>
        <v/>
      </c>
      <c r="M60" s="8" t="str">
        <f aca="false">IF($A60="","",IFERROR(IF(INDEX(O1_Community_Attributes!$V$1:$V$500,MATCH($A60,O1_Community_Attributes!$A$1:$A$500,0))="","",INDEX(O1_Community_Attributes!$V$1:$V$500,MATCH($A60,O1_Community_Attributes!$A$1:$A$500,0))),""))</f>
        <v/>
      </c>
      <c r="N60" s="8" t="str">
        <f aca="false">IF($A60="","",IFERROR(IF(INDEX(O1_Community_Attributes!$W$1:$W$500,MATCH($A60,O1_Community_Attributes!$A$1:$A$500,0))="","",INDEX(O1_Community_Attributes!$W$1:$W$500,MATCH($A60,O1_Community_Attributes!$A$1:$A$500,0))),""))</f>
        <v/>
      </c>
      <c r="O60" s="8" t="str">
        <f aca="false">IF($A60="","",IFERROR(IF(INDEX(O1_Community_Attributes!$X$1:$X$500,MATCH($A60,O1_Community_Attributes!$A$1:$A$500,0))="","",INDEX(O1_Community_Attributes!$X$1:$X$500,MATCH($A60,O1_Community_Attributes!$A$1:$A$500,0))),""))</f>
        <v/>
      </c>
      <c r="P60" s="8" t="str">
        <f aca="false">IF($A60="","",IFERROR(IF(INDEX(O1_Community_Attributes!$Y$1:$Y$500,MATCH($A60,O1_Community_Attributes!$A$1:$A$500,0))="","",INDEX(O1_Community_Attributes!$Y$1:$Y$500,MATCH($A60,O1_Community_Attributes!$A$1:$A$500,0))),""))</f>
        <v/>
      </c>
      <c r="Q60" s="8" t="str">
        <f aca="false">IF($A60="","",IFERROR(IF(INDEX(O1_Community_Attributes!$Z$1:$Z$500,MATCH($A60,O1_Community_Attributes!$A$1:$A$500,0))="","",INDEX(O1_Community_Attributes!$Z$1:$Z$500,MATCH($A60,O1_Community_Attributes!$A$1:$A$500,0))),""))</f>
        <v/>
      </c>
      <c r="R60" s="8" t="str">
        <f aca="false">IF($A60="","",IFERROR(IF(INDEX(O1_Community_Attributes!$BK$1:$BK$500,MATCH($A60,O1_Community_Attributes!$A$1:$A$500,0))="","",INDEX(O1_Community_Attributes!$BK$1:$BK$500,MATCH($A60,O1_Community_Attributes!$A$1:$A$500,0))),""))</f>
        <v/>
      </c>
      <c r="S60" s="8" t="str">
        <f aca="false">IF(OR($C60="",$M60=""),"",$M60/$C60)</f>
        <v/>
      </c>
      <c r="T60" s="8" t="str">
        <f aca="false">IF($C60="","",IF(AND($M60="",$P60=""),"",IF($M60="","B",IF(ABS($S60-1)&lt;=0.3,"A",IF(OR($S60&gt;2,$S60&lt;0.5),"C","B")))))</f>
        <v/>
      </c>
    </row>
    <row r="61" customFormat="false" ht="15" hidden="false" customHeight="true" outlineLevel="0" collapsed="false">
      <c r="H61" s="8" t="str">
        <f aca="false">IF(C61="","",IF(C61&lt;1,"yes","no"))</f>
        <v/>
      </c>
      <c r="I61" s="8" t="str">
        <f aca="false">IF(C61="","",IF(C61&lt;2.6,"r75",IF(C61&lt;5.2,"r110",IF(C61&lt;9.9,"r150",IF(C61&lt;19.8,"r210","r300")))))</f>
        <v/>
      </c>
      <c r="M61" s="8" t="str">
        <f aca="false">IF($A61="","",IFERROR(IF(INDEX(O1_Community_Attributes!$V$1:$V$500,MATCH($A61,O1_Community_Attributes!$A$1:$A$500,0))="","",INDEX(O1_Community_Attributes!$V$1:$V$500,MATCH($A61,O1_Community_Attributes!$A$1:$A$500,0))),""))</f>
        <v/>
      </c>
      <c r="N61" s="8" t="str">
        <f aca="false">IF($A61="","",IFERROR(IF(INDEX(O1_Community_Attributes!$W$1:$W$500,MATCH($A61,O1_Community_Attributes!$A$1:$A$500,0))="","",INDEX(O1_Community_Attributes!$W$1:$W$500,MATCH($A61,O1_Community_Attributes!$A$1:$A$500,0))),""))</f>
        <v/>
      </c>
      <c r="O61" s="8" t="str">
        <f aca="false">IF($A61="","",IFERROR(IF(INDEX(O1_Community_Attributes!$X$1:$X$500,MATCH($A61,O1_Community_Attributes!$A$1:$A$500,0))="","",INDEX(O1_Community_Attributes!$X$1:$X$500,MATCH($A61,O1_Community_Attributes!$A$1:$A$500,0))),""))</f>
        <v/>
      </c>
      <c r="P61" s="8" t="str">
        <f aca="false">IF($A61="","",IFERROR(IF(INDEX(O1_Community_Attributes!$Y$1:$Y$500,MATCH($A61,O1_Community_Attributes!$A$1:$A$500,0))="","",INDEX(O1_Community_Attributes!$Y$1:$Y$500,MATCH($A61,O1_Community_Attributes!$A$1:$A$500,0))),""))</f>
        <v/>
      </c>
      <c r="Q61" s="8" t="str">
        <f aca="false">IF($A61="","",IFERROR(IF(INDEX(O1_Community_Attributes!$Z$1:$Z$500,MATCH($A61,O1_Community_Attributes!$A$1:$A$500,0))="","",INDEX(O1_Community_Attributes!$Z$1:$Z$500,MATCH($A61,O1_Community_Attributes!$A$1:$A$500,0))),""))</f>
        <v/>
      </c>
      <c r="R61" s="8" t="str">
        <f aca="false">IF($A61="","",IFERROR(IF(INDEX(O1_Community_Attributes!$BK$1:$BK$500,MATCH($A61,O1_Community_Attributes!$A$1:$A$500,0))="","",INDEX(O1_Community_Attributes!$BK$1:$BK$500,MATCH($A61,O1_Community_Attributes!$A$1:$A$500,0))),""))</f>
        <v/>
      </c>
      <c r="S61" s="8" t="str">
        <f aca="false">IF(OR($C61="",$M61=""),"",$M61/$C61)</f>
        <v/>
      </c>
      <c r="T61" s="8" t="str">
        <f aca="false">IF($C61="","",IF(AND($M61="",$P61=""),"",IF($M61="","B",IF(ABS($S61-1)&lt;=0.3,"A",IF(OR($S61&gt;2,$S61&lt;0.5),"C","B")))))</f>
        <v/>
      </c>
    </row>
    <row r="62" customFormat="false" ht="15" hidden="false" customHeight="true" outlineLevel="0" collapsed="false">
      <c r="H62" s="8" t="str">
        <f aca="false">IF(C62="","",IF(C62&lt;1,"yes","no"))</f>
        <v/>
      </c>
      <c r="I62" s="8" t="str">
        <f aca="false">IF(C62="","",IF(C62&lt;2.6,"r75",IF(C62&lt;5.2,"r110",IF(C62&lt;9.9,"r150",IF(C62&lt;19.8,"r210","r300")))))</f>
        <v/>
      </c>
      <c r="M62" s="8" t="str">
        <f aca="false">IF($A62="","",IFERROR(IF(INDEX(O1_Community_Attributes!$V$1:$V$500,MATCH($A62,O1_Community_Attributes!$A$1:$A$500,0))="","",INDEX(O1_Community_Attributes!$V$1:$V$500,MATCH($A62,O1_Community_Attributes!$A$1:$A$500,0))),""))</f>
        <v/>
      </c>
      <c r="N62" s="8" t="str">
        <f aca="false">IF($A62="","",IFERROR(IF(INDEX(O1_Community_Attributes!$W$1:$W$500,MATCH($A62,O1_Community_Attributes!$A$1:$A$500,0))="","",INDEX(O1_Community_Attributes!$W$1:$W$500,MATCH($A62,O1_Community_Attributes!$A$1:$A$500,0))),""))</f>
        <v/>
      </c>
      <c r="O62" s="8" t="str">
        <f aca="false">IF($A62="","",IFERROR(IF(INDEX(O1_Community_Attributes!$X$1:$X$500,MATCH($A62,O1_Community_Attributes!$A$1:$A$500,0))="","",INDEX(O1_Community_Attributes!$X$1:$X$500,MATCH($A62,O1_Community_Attributes!$A$1:$A$500,0))),""))</f>
        <v/>
      </c>
      <c r="P62" s="8" t="str">
        <f aca="false">IF($A62="","",IFERROR(IF(INDEX(O1_Community_Attributes!$Y$1:$Y$500,MATCH($A62,O1_Community_Attributes!$A$1:$A$500,0))="","",INDEX(O1_Community_Attributes!$Y$1:$Y$500,MATCH($A62,O1_Community_Attributes!$A$1:$A$500,0))),""))</f>
        <v/>
      </c>
      <c r="Q62" s="8" t="str">
        <f aca="false">IF($A62="","",IFERROR(IF(INDEX(O1_Community_Attributes!$Z$1:$Z$500,MATCH($A62,O1_Community_Attributes!$A$1:$A$500,0))="","",INDEX(O1_Community_Attributes!$Z$1:$Z$500,MATCH($A62,O1_Community_Attributes!$A$1:$A$500,0))),""))</f>
        <v/>
      </c>
      <c r="R62" s="8" t="str">
        <f aca="false">IF($A62="","",IFERROR(IF(INDEX(O1_Community_Attributes!$BK$1:$BK$500,MATCH($A62,O1_Community_Attributes!$A$1:$A$500,0))="","",INDEX(O1_Community_Attributes!$BK$1:$BK$500,MATCH($A62,O1_Community_Attributes!$A$1:$A$500,0))),""))</f>
        <v/>
      </c>
      <c r="S62" s="8" t="str">
        <f aca="false">IF(OR($C62="",$M62=""),"",$M62/$C62)</f>
        <v/>
      </c>
      <c r="T62" s="8" t="str">
        <f aca="false">IF($C62="","",IF(AND($M62="",$P62=""),"",IF($M62="","B",IF(ABS($S62-1)&lt;=0.3,"A",IF(OR($S62&gt;2,$S62&lt;0.5),"C","B")))))</f>
        <v/>
      </c>
    </row>
    <row r="63" customFormat="false" ht="15" hidden="false" customHeight="true" outlineLevel="0" collapsed="false">
      <c r="H63" s="8" t="str">
        <f aca="false">IF(C63="","",IF(C63&lt;1,"yes","no"))</f>
        <v/>
      </c>
      <c r="I63" s="8" t="str">
        <f aca="false">IF(C63="","",IF(C63&lt;2.6,"r75",IF(C63&lt;5.2,"r110",IF(C63&lt;9.9,"r150",IF(C63&lt;19.8,"r210","r300")))))</f>
        <v/>
      </c>
      <c r="M63" s="8" t="str">
        <f aca="false">IF($A63="","",IFERROR(IF(INDEX(O1_Community_Attributes!$V$1:$V$500,MATCH($A63,O1_Community_Attributes!$A$1:$A$500,0))="","",INDEX(O1_Community_Attributes!$V$1:$V$500,MATCH($A63,O1_Community_Attributes!$A$1:$A$500,0))),""))</f>
        <v/>
      </c>
      <c r="N63" s="8" t="str">
        <f aca="false">IF($A63="","",IFERROR(IF(INDEX(O1_Community_Attributes!$W$1:$W$500,MATCH($A63,O1_Community_Attributes!$A$1:$A$500,0))="","",INDEX(O1_Community_Attributes!$W$1:$W$500,MATCH($A63,O1_Community_Attributes!$A$1:$A$500,0))),""))</f>
        <v/>
      </c>
      <c r="O63" s="8" t="str">
        <f aca="false">IF($A63="","",IFERROR(IF(INDEX(O1_Community_Attributes!$X$1:$X$500,MATCH($A63,O1_Community_Attributes!$A$1:$A$500,0))="","",INDEX(O1_Community_Attributes!$X$1:$X$500,MATCH($A63,O1_Community_Attributes!$A$1:$A$500,0))),""))</f>
        <v/>
      </c>
      <c r="P63" s="8" t="str">
        <f aca="false">IF($A63="","",IFERROR(IF(INDEX(O1_Community_Attributes!$Y$1:$Y$500,MATCH($A63,O1_Community_Attributes!$A$1:$A$500,0))="","",INDEX(O1_Community_Attributes!$Y$1:$Y$500,MATCH($A63,O1_Community_Attributes!$A$1:$A$500,0))),""))</f>
        <v/>
      </c>
      <c r="Q63" s="8" t="str">
        <f aca="false">IF($A63="","",IFERROR(IF(INDEX(O1_Community_Attributes!$Z$1:$Z$500,MATCH($A63,O1_Community_Attributes!$A$1:$A$500,0))="","",INDEX(O1_Community_Attributes!$Z$1:$Z$500,MATCH($A63,O1_Community_Attributes!$A$1:$A$500,0))),""))</f>
        <v/>
      </c>
      <c r="R63" s="8" t="str">
        <f aca="false">IF($A63="","",IFERROR(IF(INDEX(O1_Community_Attributes!$BK$1:$BK$500,MATCH($A63,O1_Community_Attributes!$A$1:$A$500,0))="","",INDEX(O1_Community_Attributes!$BK$1:$BK$500,MATCH($A63,O1_Community_Attributes!$A$1:$A$500,0))),""))</f>
        <v/>
      </c>
      <c r="S63" s="8" t="str">
        <f aca="false">IF(OR($C63="",$M63=""),"",$M63/$C63)</f>
        <v/>
      </c>
      <c r="T63" s="8" t="str">
        <f aca="false">IF($C63="","",IF(AND($M63="",$P63=""),"",IF($M63="","B",IF(ABS($S63-1)&lt;=0.3,"A",IF(OR($S63&gt;2,$S63&lt;0.5),"C","B")))))</f>
        <v/>
      </c>
    </row>
    <row r="64" customFormat="false" ht="15" hidden="false" customHeight="true" outlineLevel="0" collapsed="false">
      <c r="H64" s="8" t="str">
        <f aca="false">IF(C64="","",IF(C64&lt;1,"yes","no"))</f>
        <v/>
      </c>
      <c r="I64" s="8" t="str">
        <f aca="false">IF(C64="","",IF(C64&lt;2.6,"r75",IF(C64&lt;5.2,"r110",IF(C64&lt;9.9,"r150",IF(C64&lt;19.8,"r210","r300")))))</f>
        <v/>
      </c>
      <c r="M64" s="8" t="str">
        <f aca="false">IF($A64="","",IFERROR(IF(INDEX(O1_Community_Attributes!$V$1:$V$500,MATCH($A64,O1_Community_Attributes!$A$1:$A$500,0))="","",INDEX(O1_Community_Attributes!$V$1:$V$500,MATCH($A64,O1_Community_Attributes!$A$1:$A$500,0))),""))</f>
        <v/>
      </c>
      <c r="N64" s="8" t="str">
        <f aca="false">IF($A64="","",IFERROR(IF(INDEX(O1_Community_Attributes!$W$1:$W$500,MATCH($A64,O1_Community_Attributes!$A$1:$A$500,0))="","",INDEX(O1_Community_Attributes!$W$1:$W$500,MATCH($A64,O1_Community_Attributes!$A$1:$A$500,0))),""))</f>
        <v/>
      </c>
      <c r="O64" s="8" t="str">
        <f aca="false">IF($A64="","",IFERROR(IF(INDEX(O1_Community_Attributes!$X$1:$X$500,MATCH($A64,O1_Community_Attributes!$A$1:$A$500,0))="","",INDEX(O1_Community_Attributes!$X$1:$X$500,MATCH($A64,O1_Community_Attributes!$A$1:$A$500,0))),""))</f>
        <v/>
      </c>
      <c r="P64" s="8" t="str">
        <f aca="false">IF($A64="","",IFERROR(IF(INDEX(O1_Community_Attributes!$Y$1:$Y$500,MATCH($A64,O1_Community_Attributes!$A$1:$A$500,0))="","",INDEX(O1_Community_Attributes!$Y$1:$Y$500,MATCH($A64,O1_Community_Attributes!$A$1:$A$500,0))),""))</f>
        <v/>
      </c>
      <c r="Q64" s="8" t="str">
        <f aca="false">IF($A64="","",IFERROR(IF(INDEX(O1_Community_Attributes!$Z$1:$Z$500,MATCH($A64,O1_Community_Attributes!$A$1:$A$500,0))="","",INDEX(O1_Community_Attributes!$Z$1:$Z$500,MATCH($A64,O1_Community_Attributes!$A$1:$A$500,0))),""))</f>
        <v/>
      </c>
      <c r="R64" s="8" t="str">
        <f aca="false">IF($A64="","",IFERROR(IF(INDEX(O1_Community_Attributes!$BK$1:$BK$500,MATCH($A64,O1_Community_Attributes!$A$1:$A$500,0))="","",INDEX(O1_Community_Attributes!$BK$1:$BK$500,MATCH($A64,O1_Community_Attributes!$A$1:$A$500,0))),""))</f>
        <v/>
      </c>
      <c r="S64" s="8" t="str">
        <f aca="false">IF(OR($C64="",$M64=""),"",$M64/$C64)</f>
        <v/>
      </c>
      <c r="T64" s="8" t="str">
        <f aca="false">IF($C64="","",IF(AND($M64="",$P64=""),"",IF($M64="","B",IF(ABS($S64-1)&lt;=0.3,"A",IF(OR($S64&gt;2,$S64&lt;0.5),"C","B")))))</f>
        <v/>
      </c>
    </row>
    <row r="65" customFormat="false" ht="15" hidden="false" customHeight="true" outlineLevel="0" collapsed="false">
      <c r="H65" s="8" t="str">
        <f aca="false">IF(C65="","",IF(C65&lt;1,"yes","no"))</f>
        <v/>
      </c>
      <c r="I65" s="8" t="str">
        <f aca="false">IF(C65="","",IF(C65&lt;2.6,"r75",IF(C65&lt;5.2,"r110",IF(C65&lt;9.9,"r150",IF(C65&lt;19.8,"r210","r300")))))</f>
        <v/>
      </c>
      <c r="M65" s="8" t="str">
        <f aca="false">IF($A65="","",IFERROR(IF(INDEX(O1_Community_Attributes!$V$1:$V$500,MATCH($A65,O1_Community_Attributes!$A$1:$A$500,0))="","",INDEX(O1_Community_Attributes!$V$1:$V$500,MATCH($A65,O1_Community_Attributes!$A$1:$A$500,0))),""))</f>
        <v/>
      </c>
      <c r="N65" s="8" t="str">
        <f aca="false">IF($A65="","",IFERROR(IF(INDEX(O1_Community_Attributes!$W$1:$W$500,MATCH($A65,O1_Community_Attributes!$A$1:$A$500,0))="","",INDEX(O1_Community_Attributes!$W$1:$W$500,MATCH($A65,O1_Community_Attributes!$A$1:$A$500,0))),""))</f>
        <v/>
      </c>
      <c r="O65" s="8" t="str">
        <f aca="false">IF($A65="","",IFERROR(IF(INDEX(O1_Community_Attributes!$X$1:$X$500,MATCH($A65,O1_Community_Attributes!$A$1:$A$500,0))="","",INDEX(O1_Community_Attributes!$X$1:$X$500,MATCH($A65,O1_Community_Attributes!$A$1:$A$500,0))),""))</f>
        <v/>
      </c>
      <c r="P65" s="8" t="str">
        <f aca="false">IF($A65="","",IFERROR(IF(INDEX(O1_Community_Attributes!$Y$1:$Y$500,MATCH($A65,O1_Community_Attributes!$A$1:$A$500,0))="","",INDEX(O1_Community_Attributes!$Y$1:$Y$500,MATCH($A65,O1_Community_Attributes!$A$1:$A$500,0))),""))</f>
        <v/>
      </c>
      <c r="Q65" s="8" t="str">
        <f aca="false">IF($A65="","",IFERROR(IF(INDEX(O1_Community_Attributes!$Z$1:$Z$500,MATCH($A65,O1_Community_Attributes!$A$1:$A$500,0))="","",INDEX(O1_Community_Attributes!$Z$1:$Z$500,MATCH($A65,O1_Community_Attributes!$A$1:$A$500,0))),""))</f>
        <v/>
      </c>
      <c r="R65" s="8" t="str">
        <f aca="false">IF($A65="","",IFERROR(IF(INDEX(O1_Community_Attributes!$BK$1:$BK$500,MATCH($A65,O1_Community_Attributes!$A$1:$A$500,0))="","",INDEX(O1_Community_Attributes!$BK$1:$BK$500,MATCH($A65,O1_Community_Attributes!$A$1:$A$500,0))),""))</f>
        <v/>
      </c>
      <c r="S65" s="8" t="str">
        <f aca="false">IF(OR($C65="",$M65=""),"",$M65/$C65)</f>
        <v/>
      </c>
      <c r="T65" s="8" t="str">
        <f aca="false">IF($C65="","",IF(AND($M65="",$P65=""),"",IF($M65="","B",IF(ABS($S65-1)&lt;=0.3,"A",IF(OR($S65&gt;2,$S65&lt;0.5),"C","B")))))</f>
        <v/>
      </c>
    </row>
    <row r="66" customFormat="false" ht="15" hidden="false" customHeight="true" outlineLevel="0" collapsed="false">
      <c r="H66" s="8" t="str">
        <f aca="false">IF(C66="","",IF(C66&lt;1,"yes","no"))</f>
        <v/>
      </c>
      <c r="I66" s="8" t="str">
        <f aca="false">IF(C66="","",IF(C66&lt;2.6,"r75",IF(C66&lt;5.2,"r110",IF(C66&lt;9.9,"r150",IF(C66&lt;19.8,"r210","r300")))))</f>
        <v/>
      </c>
      <c r="M66" s="8" t="str">
        <f aca="false">IF($A66="","",IFERROR(IF(INDEX(O1_Community_Attributes!$V$1:$V$500,MATCH($A66,O1_Community_Attributes!$A$1:$A$500,0))="","",INDEX(O1_Community_Attributes!$V$1:$V$500,MATCH($A66,O1_Community_Attributes!$A$1:$A$500,0))),""))</f>
        <v/>
      </c>
      <c r="N66" s="8" t="str">
        <f aca="false">IF($A66="","",IFERROR(IF(INDEX(O1_Community_Attributes!$W$1:$W$500,MATCH($A66,O1_Community_Attributes!$A$1:$A$500,0))="","",INDEX(O1_Community_Attributes!$W$1:$W$500,MATCH($A66,O1_Community_Attributes!$A$1:$A$500,0))),""))</f>
        <v/>
      </c>
      <c r="O66" s="8" t="str">
        <f aca="false">IF($A66="","",IFERROR(IF(INDEX(O1_Community_Attributes!$X$1:$X$500,MATCH($A66,O1_Community_Attributes!$A$1:$A$500,0))="","",INDEX(O1_Community_Attributes!$X$1:$X$500,MATCH($A66,O1_Community_Attributes!$A$1:$A$500,0))),""))</f>
        <v/>
      </c>
      <c r="P66" s="8" t="str">
        <f aca="false">IF($A66="","",IFERROR(IF(INDEX(O1_Community_Attributes!$Y$1:$Y$500,MATCH($A66,O1_Community_Attributes!$A$1:$A$500,0))="","",INDEX(O1_Community_Attributes!$Y$1:$Y$500,MATCH($A66,O1_Community_Attributes!$A$1:$A$500,0))),""))</f>
        <v/>
      </c>
      <c r="Q66" s="8" t="str">
        <f aca="false">IF($A66="","",IFERROR(IF(INDEX(O1_Community_Attributes!$Z$1:$Z$500,MATCH($A66,O1_Community_Attributes!$A$1:$A$500,0))="","",INDEX(O1_Community_Attributes!$Z$1:$Z$500,MATCH($A66,O1_Community_Attributes!$A$1:$A$500,0))),""))</f>
        <v/>
      </c>
      <c r="R66" s="8" t="str">
        <f aca="false">IF($A66="","",IFERROR(IF(INDEX(O1_Community_Attributes!$BK$1:$BK$500,MATCH($A66,O1_Community_Attributes!$A$1:$A$500,0))="","",INDEX(O1_Community_Attributes!$BK$1:$BK$500,MATCH($A66,O1_Community_Attributes!$A$1:$A$500,0))),""))</f>
        <v/>
      </c>
      <c r="S66" s="8" t="str">
        <f aca="false">IF(OR($C66="",$M66=""),"",$M66/$C66)</f>
        <v/>
      </c>
      <c r="T66" s="8" t="str">
        <f aca="false">IF($C66="","",IF(AND($M66="",$P66=""),"",IF($M66="","B",IF(ABS($S66-1)&lt;=0.3,"A",IF(OR($S66&gt;2,$S66&lt;0.5),"C","B")))))</f>
        <v/>
      </c>
    </row>
    <row r="67" customFormat="false" ht="15" hidden="false" customHeight="true" outlineLevel="0" collapsed="false">
      <c r="H67" s="8" t="str">
        <f aca="false">IF(C67="","",IF(C67&lt;1,"yes","no"))</f>
        <v/>
      </c>
      <c r="I67" s="8" t="str">
        <f aca="false">IF(C67="","",IF(C67&lt;2.6,"r75",IF(C67&lt;5.2,"r110",IF(C67&lt;9.9,"r150",IF(C67&lt;19.8,"r210","r300")))))</f>
        <v/>
      </c>
      <c r="M67" s="8" t="str">
        <f aca="false">IF($A67="","",IFERROR(IF(INDEX(O1_Community_Attributes!$V$1:$V$500,MATCH($A67,O1_Community_Attributes!$A$1:$A$500,0))="","",INDEX(O1_Community_Attributes!$V$1:$V$500,MATCH($A67,O1_Community_Attributes!$A$1:$A$500,0))),""))</f>
        <v/>
      </c>
      <c r="N67" s="8" t="str">
        <f aca="false">IF($A67="","",IFERROR(IF(INDEX(O1_Community_Attributes!$W$1:$W$500,MATCH($A67,O1_Community_Attributes!$A$1:$A$500,0))="","",INDEX(O1_Community_Attributes!$W$1:$W$500,MATCH($A67,O1_Community_Attributes!$A$1:$A$500,0))),""))</f>
        <v/>
      </c>
      <c r="O67" s="8" t="str">
        <f aca="false">IF($A67="","",IFERROR(IF(INDEX(O1_Community_Attributes!$X$1:$X$500,MATCH($A67,O1_Community_Attributes!$A$1:$A$500,0))="","",INDEX(O1_Community_Attributes!$X$1:$X$500,MATCH($A67,O1_Community_Attributes!$A$1:$A$500,0))),""))</f>
        <v/>
      </c>
      <c r="P67" s="8" t="str">
        <f aca="false">IF($A67="","",IFERROR(IF(INDEX(O1_Community_Attributes!$Y$1:$Y$500,MATCH($A67,O1_Community_Attributes!$A$1:$A$500,0))="","",INDEX(O1_Community_Attributes!$Y$1:$Y$500,MATCH($A67,O1_Community_Attributes!$A$1:$A$500,0))),""))</f>
        <v/>
      </c>
      <c r="Q67" s="8" t="str">
        <f aca="false">IF($A67="","",IFERROR(IF(INDEX(O1_Community_Attributes!$Z$1:$Z$500,MATCH($A67,O1_Community_Attributes!$A$1:$A$500,0))="","",INDEX(O1_Community_Attributes!$Z$1:$Z$500,MATCH($A67,O1_Community_Attributes!$A$1:$A$500,0))),""))</f>
        <v/>
      </c>
      <c r="R67" s="8" t="str">
        <f aca="false">IF($A67="","",IFERROR(IF(INDEX(O1_Community_Attributes!$BK$1:$BK$500,MATCH($A67,O1_Community_Attributes!$A$1:$A$500,0))="","",INDEX(O1_Community_Attributes!$BK$1:$BK$500,MATCH($A67,O1_Community_Attributes!$A$1:$A$500,0))),""))</f>
        <v/>
      </c>
      <c r="S67" s="8" t="str">
        <f aca="false">IF(OR($C67="",$M67=""),"",$M67/$C67)</f>
        <v/>
      </c>
      <c r="T67" s="8" t="str">
        <f aca="false">IF($C67="","",IF(AND($M67="",$P67=""),"",IF($M67="","B",IF(ABS($S67-1)&lt;=0.3,"A",IF(OR($S67&gt;2,$S67&lt;0.5),"C","B")))))</f>
        <v/>
      </c>
    </row>
    <row r="68" customFormat="false" ht="15" hidden="false" customHeight="true" outlineLevel="0" collapsed="false">
      <c r="H68" s="8" t="str">
        <f aca="false">IF(C68="","",IF(C68&lt;1,"yes","no"))</f>
        <v/>
      </c>
      <c r="I68" s="8" t="str">
        <f aca="false">IF(C68="","",IF(C68&lt;2.6,"r75",IF(C68&lt;5.2,"r110",IF(C68&lt;9.9,"r150",IF(C68&lt;19.8,"r210","r300")))))</f>
        <v/>
      </c>
      <c r="M68" s="8" t="str">
        <f aca="false">IF($A68="","",IFERROR(IF(INDEX(O1_Community_Attributes!$V$1:$V$500,MATCH($A68,O1_Community_Attributes!$A$1:$A$500,0))="","",INDEX(O1_Community_Attributes!$V$1:$V$500,MATCH($A68,O1_Community_Attributes!$A$1:$A$500,0))),""))</f>
        <v/>
      </c>
      <c r="N68" s="8" t="str">
        <f aca="false">IF($A68="","",IFERROR(IF(INDEX(O1_Community_Attributes!$W$1:$W$500,MATCH($A68,O1_Community_Attributes!$A$1:$A$500,0))="","",INDEX(O1_Community_Attributes!$W$1:$W$500,MATCH($A68,O1_Community_Attributes!$A$1:$A$500,0))),""))</f>
        <v/>
      </c>
      <c r="O68" s="8" t="str">
        <f aca="false">IF($A68="","",IFERROR(IF(INDEX(O1_Community_Attributes!$X$1:$X$500,MATCH($A68,O1_Community_Attributes!$A$1:$A$500,0))="","",INDEX(O1_Community_Attributes!$X$1:$X$500,MATCH($A68,O1_Community_Attributes!$A$1:$A$500,0))),""))</f>
        <v/>
      </c>
      <c r="P68" s="8" t="str">
        <f aca="false">IF($A68="","",IFERROR(IF(INDEX(O1_Community_Attributes!$Y$1:$Y$500,MATCH($A68,O1_Community_Attributes!$A$1:$A$500,0))="","",INDEX(O1_Community_Attributes!$Y$1:$Y$500,MATCH($A68,O1_Community_Attributes!$A$1:$A$500,0))),""))</f>
        <v/>
      </c>
      <c r="Q68" s="8" t="str">
        <f aca="false">IF($A68="","",IFERROR(IF(INDEX(O1_Community_Attributes!$Z$1:$Z$500,MATCH($A68,O1_Community_Attributes!$A$1:$A$500,0))="","",INDEX(O1_Community_Attributes!$Z$1:$Z$500,MATCH($A68,O1_Community_Attributes!$A$1:$A$500,0))),""))</f>
        <v/>
      </c>
      <c r="R68" s="8" t="str">
        <f aca="false">IF($A68="","",IFERROR(IF(INDEX(O1_Community_Attributes!$BK$1:$BK$500,MATCH($A68,O1_Community_Attributes!$A$1:$A$500,0))="","",INDEX(O1_Community_Attributes!$BK$1:$BK$500,MATCH($A68,O1_Community_Attributes!$A$1:$A$500,0))),""))</f>
        <v/>
      </c>
      <c r="S68" s="8" t="str">
        <f aca="false">IF(OR($C68="",$M68=""),"",$M68/$C68)</f>
        <v/>
      </c>
      <c r="T68" s="8" t="str">
        <f aca="false">IF($C68="","",IF(AND($M68="",$P68=""),"",IF($M68="","B",IF(ABS($S68-1)&lt;=0.3,"A",IF(OR($S68&gt;2,$S68&lt;0.5),"C","B")))))</f>
        <v/>
      </c>
    </row>
    <row r="69" customFormat="false" ht="15" hidden="false" customHeight="true" outlineLevel="0" collapsed="false">
      <c r="H69" s="8" t="str">
        <f aca="false">IF(C69="","",IF(C69&lt;1,"yes","no"))</f>
        <v/>
      </c>
      <c r="I69" s="8" t="str">
        <f aca="false">IF(C69="","",IF(C69&lt;2.6,"r75",IF(C69&lt;5.2,"r110",IF(C69&lt;9.9,"r150",IF(C69&lt;19.8,"r210","r300")))))</f>
        <v/>
      </c>
      <c r="M69" s="8" t="str">
        <f aca="false">IF($A69="","",IFERROR(IF(INDEX(O1_Community_Attributes!$V$1:$V$500,MATCH($A69,O1_Community_Attributes!$A$1:$A$500,0))="","",INDEX(O1_Community_Attributes!$V$1:$V$500,MATCH($A69,O1_Community_Attributes!$A$1:$A$500,0))),""))</f>
        <v/>
      </c>
      <c r="N69" s="8" t="str">
        <f aca="false">IF($A69="","",IFERROR(IF(INDEX(O1_Community_Attributes!$W$1:$W$500,MATCH($A69,O1_Community_Attributes!$A$1:$A$500,0))="","",INDEX(O1_Community_Attributes!$W$1:$W$500,MATCH($A69,O1_Community_Attributes!$A$1:$A$500,0))),""))</f>
        <v/>
      </c>
      <c r="O69" s="8" t="str">
        <f aca="false">IF($A69="","",IFERROR(IF(INDEX(O1_Community_Attributes!$X$1:$X$500,MATCH($A69,O1_Community_Attributes!$A$1:$A$500,0))="","",INDEX(O1_Community_Attributes!$X$1:$X$500,MATCH($A69,O1_Community_Attributes!$A$1:$A$500,0))),""))</f>
        <v/>
      </c>
      <c r="P69" s="8" t="str">
        <f aca="false">IF($A69="","",IFERROR(IF(INDEX(O1_Community_Attributes!$Y$1:$Y$500,MATCH($A69,O1_Community_Attributes!$A$1:$A$500,0))="","",INDEX(O1_Community_Attributes!$Y$1:$Y$500,MATCH($A69,O1_Community_Attributes!$A$1:$A$500,0))),""))</f>
        <v/>
      </c>
      <c r="Q69" s="8" t="str">
        <f aca="false">IF($A69="","",IFERROR(IF(INDEX(O1_Community_Attributes!$Z$1:$Z$500,MATCH($A69,O1_Community_Attributes!$A$1:$A$500,0))="","",INDEX(O1_Community_Attributes!$Z$1:$Z$500,MATCH($A69,O1_Community_Attributes!$A$1:$A$500,0))),""))</f>
        <v/>
      </c>
      <c r="R69" s="8" t="str">
        <f aca="false">IF($A69="","",IFERROR(IF(INDEX(O1_Community_Attributes!$BK$1:$BK$500,MATCH($A69,O1_Community_Attributes!$A$1:$A$500,0))="","",INDEX(O1_Community_Attributes!$BK$1:$BK$500,MATCH($A69,O1_Community_Attributes!$A$1:$A$500,0))),""))</f>
        <v/>
      </c>
      <c r="S69" s="8" t="str">
        <f aca="false">IF(OR($C69="",$M69=""),"",$M69/$C69)</f>
        <v/>
      </c>
      <c r="T69" s="8" t="str">
        <f aca="false">IF($C69="","",IF(AND($M69="",$P69=""),"",IF($M69="","B",IF(ABS($S69-1)&lt;=0.3,"A",IF(OR($S69&gt;2,$S69&lt;0.5),"C","B")))))</f>
        <v/>
      </c>
    </row>
    <row r="70" customFormat="false" ht="15" hidden="false" customHeight="true" outlineLevel="0" collapsed="false">
      <c r="H70" s="8" t="str">
        <f aca="false">IF(C70="","",IF(C70&lt;1,"yes","no"))</f>
        <v/>
      </c>
      <c r="I70" s="8" t="str">
        <f aca="false">IF(C70="","",IF(C70&lt;2.6,"r75",IF(C70&lt;5.2,"r110",IF(C70&lt;9.9,"r150",IF(C70&lt;19.8,"r210","r300")))))</f>
        <v/>
      </c>
      <c r="M70" s="8" t="str">
        <f aca="false">IF($A70="","",IFERROR(IF(INDEX(O1_Community_Attributes!$V$1:$V$500,MATCH($A70,O1_Community_Attributes!$A$1:$A$500,0))="","",INDEX(O1_Community_Attributes!$V$1:$V$500,MATCH($A70,O1_Community_Attributes!$A$1:$A$500,0))),""))</f>
        <v/>
      </c>
      <c r="N70" s="8" t="str">
        <f aca="false">IF($A70="","",IFERROR(IF(INDEX(O1_Community_Attributes!$W$1:$W$500,MATCH($A70,O1_Community_Attributes!$A$1:$A$500,0))="","",INDEX(O1_Community_Attributes!$W$1:$W$500,MATCH($A70,O1_Community_Attributes!$A$1:$A$500,0))),""))</f>
        <v/>
      </c>
      <c r="O70" s="8" t="str">
        <f aca="false">IF($A70="","",IFERROR(IF(INDEX(O1_Community_Attributes!$X$1:$X$500,MATCH($A70,O1_Community_Attributes!$A$1:$A$500,0))="","",INDEX(O1_Community_Attributes!$X$1:$X$500,MATCH($A70,O1_Community_Attributes!$A$1:$A$500,0))),""))</f>
        <v/>
      </c>
      <c r="P70" s="8" t="str">
        <f aca="false">IF($A70="","",IFERROR(IF(INDEX(O1_Community_Attributes!$Y$1:$Y$500,MATCH($A70,O1_Community_Attributes!$A$1:$A$500,0))="","",INDEX(O1_Community_Attributes!$Y$1:$Y$500,MATCH($A70,O1_Community_Attributes!$A$1:$A$500,0))),""))</f>
        <v/>
      </c>
      <c r="Q70" s="8" t="str">
        <f aca="false">IF($A70="","",IFERROR(IF(INDEX(O1_Community_Attributes!$Z$1:$Z$500,MATCH($A70,O1_Community_Attributes!$A$1:$A$500,0))="","",INDEX(O1_Community_Attributes!$Z$1:$Z$500,MATCH($A70,O1_Community_Attributes!$A$1:$A$500,0))),""))</f>
        <v/>
      </c>
      <c r="R70" s="8" t="str">
        <f aca="false">IF($A70="","",IFERROR(IF(INDEX(O1_Community_Attributes!$BK$1:$BK$500,MATCH($A70,O1_Community_Attributes!$A$1:$A$500,0))="","",INDEX(O1_Community_Attributes!$BK$1:$BK$500,MATCH($A70,O1_Community_Attributes!$A$1:$A$500,0))),""))</f>
        <v/>
      </c>
      <c r="S70" s="8" t="str">
        <f aca="false">IF(OR($C70="",$M70=""),"",$M70/$C70)</f>
        <v/>
      </c>
      <c r="T70" s="8" t="str">
        <f aca="false">IF($C70="","",IF(AND($M70="",$P70=""),"",IF($M70="","B",IF(ABS($S70-1)&lt;=0.3,"A",IF(OR($S70&gt;2,$S70&lt;0.5),"C","B")))))</f>
        <v/>
      </c>
    </row>
    <row r="71" customFormat="false" ht="15" hidden="false" customHeight="true" outlineLevel="0" collapsed="false">
      <c r="H71" s="8" t="str">
        <f aca="false">IF(C71="","",IF(C71&lt;1,"yes","no"))</f>
        <v/>
      </c>
      <c r="I71" s="8" t="str">
        <f aca="false">IF(C71="","",IF(C71&lt;2.6,"r75",IF(C71&lt;5.2,"r110",IF(C71&lt;9.9,"r150",IF(C71&lt;19.8,"r210","r300")))))</f>
        <v/>
      </c>
      <c r="M71" s="8" t="str">
        <f aca="false">IF($A71="","",IFERROR(IF(INDEX(O1_Community_Attributes!$V$1:$V$500,MATCH($A71,O1_Community_Attributes!$A$1:$A$500,0))="","",INDEX(O1_Community_Attributes!$V$1:$V$500,MATCH($A71,O1_Community_Attributes!$A$1:$A$500,0))),""))</f>
        <v/>
      </c>
      <c r="N71" s="8" t="str">
        <f aca="false">IF($A71="","",IFERROR(IF(INDEX(O1_Community_Attributes!$W$1:$W$500,MATCH($A71,O1_Community_Attributes!$A$1:$A$500,0))="","",INDEX(O1_Community_Attributes!$W$1:$W$500,MATCH($A71,O1_Community_Attributes!$A$1:$A$500,0))),""))</f>
        <v/>
      </c>
      <c r="O71" s="8" t="str">
        <f aca="false">IF($A71="","",IFERROR(IF(INDEX(O1_Community_Attributes!$X$1:$X$500,MATCH($A71,O1_Community_Attributes!$A$1:$A$500,0))="","",INDEX(O1_Community_Attributes!$X$1:$X$500,MATCH($A71,O1_Community_Attributes!$A$1:$A$500,0))),""))</f>
        <v/>
      </c>
      <c r="P71" s="8" t="str">
        <f aca="false">IF($A71="","",IFERROR(IF(INDEX(O1_Community_Attributes!$Y$1:$Y$500,MATCH($A71,O1_Community_Attributes!$A$1:$A$500,0))="","",INDEX(O1_Community_Attributes!$Y$1:$Y$500,MATCH($A71,O1_Community_Attributes!$A$1:$A$500,0))),""))</f>
        <v/>
      </c>
      <c r="Q71" s="8" t="str">
        <f aca="false">IF($A71="","",IFERROR(IF(INDEX(O1_Community_Attributes!$Z$1:$Z$500,MATCH($A71,O1_Community_Attributes!$A$1:$A$500,0))="","",INDEX(O1_Community_Attributes!$Z$1:$Z$500,MATCH($A71,O1_Community_Attributes!$A$1:$A$500,0))),""))</f>
        <v/>
      </c>
      <c r="R71" s="8" t="str">
        <f aca="false">IF($A71="","",IFERROR(IF(INDEX(O1_Community_Attributes!$BK$1:$BK$500,MATCH($A71,O1_Community_Attributes!$A$1:$A$500,0))="","",INDEX(O1_Community_Attributes!$BK$1:$BK$500,MATCH($A71,O1_Community_Attributes!$A$1:$A$500,0))),""))</f>
        <v/>
      </c>
      <c r="S71" s="8" t="str">
        <f aca="false">IF(OR($C71="",$M71=""),"",$M71/$C71)</f>
        <v/>
      </c>
      <c r="T71" s="8" t="str">
        <f aca="false">IF($C71="","",IF(AND($M71="",$P71=""),"",IF($M71="","B",IF(ABS($S71-1)&lt;=0.3,"A",IF(OR($S71&gt;2,$S71&lt;0.5),"C","B")))))</f>
        <v/>
      </c>
    </row>
    <row r="72" customFormat="false" ht="15" hidden="false" customHeight="true" outlineLevel="0" collapsed="false">
      <c r="H72" s="8" t="str">
        <f aca="false">IF(C72="","",IF(C72&lt;1,"yes","no"))</f>
        <v/>
      </c>
      <c r="I72" s="8" t="str">
        <f aca="false">IF(C72="","",IF(C72&lt;2.6,"r75",IF(C72&lt;5.2,"r110",IF(C72&lt;9.9,"r150",IF(C72&lt;19.8,"r210","r300")))))</f>
        <v/>
      </c>
      <c r="M72" s="8" t="str">
        <f aca="false">IF($A72="","",IFERROR(IF(INDEX(O1_Community_Attributes!$V$1:$V$500,MATCH($A72,O1_Community_Attributes!$A$1:$A$500,0))="","",INDEX(O1_Community_Attributes!$V$1:$V$500,MATCH($A72,O1_Community_Attributes!$A$1:$A$500,0))),""))</f>
        <v/>
      </c>
      <c r="N72" s="8" t="str">
        <f aca="false">IF($A72="","",IFERROR(IF(INDEX(O1_Community_Attributes!$W$1:$W$500,MATCH($A72,O1_Community_Attributes!$A$1:$A$500,0))="","",INDEX(O1_Community_Attributes!$W$1:$W$500,MATCH($A72,O1_Community_Attributes!$A$1:$A$500,0))),""))</f>
        <v/>
      </c>
      <c r="O72" s="8" t="str">
        <f aca="false">IF($A72="","",IFERROR(IF(INDEX(O1_Community_Attributes!$X$1:$X$500,MATCH($A72,O1_Community_Attributes!$A$1:$A$500,0))="","",INDEX(O1_Community_Attributes!$X$1:$X$500,MATCH($A72,O1_Community_Attributes!$A$1:$A$500,0))),""))</f>
        <v/>
      </c>
      <c r="P72" s="8" t="str">
        <f aca="false">IF($A72="","",IFERROR(IF(INDEX(O1_Community_Attributes!$Y$1:$Y$500,MATCH($A72,O1_Community_Attributes!$A$1:$A$500,0))="","",INDEX(O1_Community_Attributes!$Y$1:$Y$500,MATCH($A72,O1_Community_Attributes!$A$1:$A$500,0))),""))</f>
        <v/>
      </c>
      <c r="Q72" s="8" t="str">
        <f aca="false">IF($A72="","",IFERROR(IF(INDEX(O1_Community_Attributes!$Z$1:$Z$500,MATCH($A72,O1_Community_Attributes!$A$1:$A$500,0))="","",INDEX(O1_Community_Attributes!$Z$1:$Z$500,MATCH($A72,O1_Community_Attributes!$A$1:$A$500,0))),""))</f>
        <v/>
      </c>
      <c r="R72" s="8" t="str">
        <f aca="false">IF($A72="","",IFERROR(IF(INDEX(O1_Community_Attributes!$BK$1:$BK$500,MATCH($A72,O1_Community_Attributes!$A$1:$A$500,0))="","",INDEX(O1_Community_Attributes!$BK$1:$BK$500,MATCH($A72,O1_Community_Attributes!$A$1:$A$500,0))),""))</f>
        <v/>
      </c>
      <c r="S72" s="8" t="str">
        <f aca="false">IF(OR($C72="",$M72=""),"",$M72/$C72)</f>
        <v/>
      </c>
      <c r="T72" s="8" t="str">
        <f aca="false">IF($C72="","",IF(AND($M72="",$P72=""),"",IF($M72="","B",IF(ABS($S72-1)&lt;=0.3,"A",IF(OR($S72&gt;2,$S72&lt;0.5),"C","B")))))</f>
        <v/>
      </c>
    </row>
    <row r="73" customFormat="false" ht="15" hidden="false" customHeight="true" outlineLevel="0" collapsed="false">
      <c r="H73" s="8" t="str">
        <f aca="false">IF(C73="","",IF(C73&lt;1,"yes","no"))</f>
        <v/>
      </c>
      <c r="I73" s="8" t="str">
        <f aca="false">IF(C73="","",IF(C73&lt;2.6,"r75",IF(C73&lt;5.2,"r110",IF(C73&lt;9.9,"r150",IF(C73&lt;19.8,"r210","r300")))))</f>
        <v/>
      </c>
      <c r="M73" s="8" t="str">
        <f aca="false">IF($A73="","",IFERROR(IF(INDEX(O1_Community_Attributes!$V$1:$V$500,MATCH($A73,O1_Community_Attributes!$A$1:$A$500,0))="","",INDEX(O1_Community_Attributes!$V$1:$V$500,MATCH($A73,O1_Community_Attributes!$A$1:$A$500,0))),""))</f>
        <v/>
      </c>
      <c r="N73" s="8" t="str">
        <f aca="false">IF($A73="","",IFERROR(IF(INDEX(O1_Community_Attributes!$W$1:$W$500,MATCH($A73,O1_Community_Attributes!$A$1:$A$500,0))="","",INDEX(O1_Community_Attributes!$W$1:$W$500,MATCH($A73,O1_Community_Attributes!$A$1:$A$500,0))),""))</f>
        <v/>
      </c>
      <c r="O73" s="8" t="str">
        <f aca="false">IF($A73="","",IFERROR(IF(INDEX(O1_Community_Attributes!$X$1:$X$500,MATCH($A73,O1_Community_Attributes!$A$1:$A$500,0))="","",INDEX(O1_Community_Attributes!$X$1:$X$500,MATCH($A73,O1_Community_Attributes!$A$1:$A$500,0))),""))</f>
        <v/>
      </c>
      <c r="P73" s="8" t="str">
        <f aca="false">IF($A73="","",IFERROR(IF(INDEX(O1_Community_Attributes!$Y$1:$Y$500,MATCH($A73,O1_Community_Attributes!$A$1:$A$500,0))="","",INDEX(O1_Community_Attributes!$Y$1:$Y$500,MATCH($A73,O1_Community_Attributes!$A$1:$A$500,0))),""))</f>
        <v/>
      </c>
      <c r="Q73" s="8" t="str">
        <f aca="false">IF($A73="","",IFERROR(IF(INDEX(O1_Community_Attributes!$Z$1:$Z$500,MATCH($A73,O1_Community_Attributes!$A$1:$A$500,0))="","",INDEX(O1_Community_Attributes!$Z$1:$Z$500,MATCH($A73,O1_Community_Attributes!$A$1:$A$500,0))),""))</f>
        <v/>
      </c>
      <c r="R73" s="8" t="str">
        <f aca="false">IF($A73="","",IFERROR(IF(INDEX(O1_Community_Attributes!$BK$1:$BK$500,MATCH($A73,O1_Community_Attributes!$A$1:$A$500,0))="","",INDEX(O1_Community_Attributes!$BK$1:$BK$500,MATCH($A73,O1_Community_Attributes!$A$1:$A$500,0))),""))</f>
        <v/>
      </c>
      <c r="S73" s="8" t="str">
        <f aca="false">IF(OR($C73="",$M73=""),"",$M73/$C73)</f>
        <v/>
      </c>
      <c r="T73" s="8" t="str">
        <f aca="false">IF($C73="","",IF(AND($M73="",$P73=""),"",IF($M73="","B",IF(ABS($S73-1)&lt;=0.3,"A",IF(OR($S73&gt;2,$S73&lt;0.5),"C","B")))))</f>
        <v/>
      </c>
    </row>
    <row r="74" customFormat="false" ht="15" hidden="false" customHeight="true" outlineLevel="0" collapsed="false">
      <c r="H74" s="8" t="str">
        <f aca="false">IF(C74="","",IF(C74&lt;1,"yes","no"))</f>
        <v/>
      </c>
      <c r="I74" s="8" t="str">
        <f aca="false">IF(C74="","",IF(C74&lt;2.6,"r75",IF(C74&lt;5.2,"r110",IF(C74&lt;9.9,"r150",IF(C74&lt;19.8,"r210","r300")))))</f>
        <v/>
      </c>
      <c r="M74" s="8" t="str">
        <f aca="false">IF($A74="","",IFERROR(IF(INDEX(O1_Community_Attributes!$V$1:$V$500,MATCH($A74,O1_Community_Attributes!$A$1:$A$500,0))="","",INDEX(O1_Community_Attributes!$V$1:$V$500,MATCH($A74,O1_Community_Attributes!$A$1:$A$500,0))),""))</f>
        <v/>
      </c>
      <c r="N74" s="8" t="str">
        <f aca="false">IF($A74="","",IFERROR(IF(INDEX(O1_Community_Attributes!$W$1:$W$500,MATCH($A74,O1_Community_Attributes!$A$1:$A$500,0))="","",INDEX(O1_Community_Attributes!$W$1:$W$500,MATCH($A74,O1_Community_Attributes!$A$1:$A$500,0))),""))</f>
        <v/>
      </c>
      <c r="O74" s="8" t="str">
        <f aca="false">IF($A74="","",IFERROR(IF(INDEX(O1_Community_Attributes!$X$1:$X$500,MATCH($A74,O1_Community_Attributes!$A$1:$A$500,0))="","",INDEX(O1_Community_Attributes!$X$1:$X$500,MATCH($A74,O1_Community_Attributes!$A$1:$A$500,0))),""))</f>
        <v/>
      </c>
      <c r="P74" s="8" t="str">
        <f aca="false">IF($A74="","",IFERROR(IF(INDEX(O1_Community_Attributes!$Y$1:$Y$500,MATCH($A74,O1_Community_Attributes!$A$1:$A$500,0))="","",INDEX(O1_Community_Attributes!$Y$1:$Y$500,MATCH($A74,O1_Community_Attributes!$A$1:$A$500,0))),""))</f>
        <v/>
      </c>
      <c r="Q74" s="8" t="str">
        <f aca="false">IF($A74="","",IFERROR(IF(INDEX(O1_Community_Attributes!$Z$1:$Z$500,MATCH($A74,O1_Community_Attributes!$A$1:$A$500,0))="","",INDEX(O1_Community_Attributes!$Z$1:$Z$500,MATCH($A74,O1_Community_Attributes!$A$1:$A$500,0))),""))</f>
        <v/>
      </c>
      <c r="R74" s="8" t="str">
        <f aca="false">IF($A74="","",IFERROR(IF(INDEX(O1_Community_Attributes!$BK$1:$BK$500,MATCH($A74,O1_Community_Attributes!$A$1:$A$500,0))="","",INDEX(O1_Community_Attributes!$BK$1:$BK$500,MATCH($A74,O1_Community_Attributes!$A$1:$A$500,0))),""))</f>
        <v/>
      </c>
      <c r="S74" s="8" t="str">
        <f aca="false">IF(OR($C74="",$M74=""),"",$M74/$C74)</f>
        <v/>
      </c>
      <c r="T74" s="8" t="str">
        <f aca="false">IF($C74="","",IF(AND($M74="",$P74=""),"",IF($M74="","B",IF(ABS($S74-1)&lt;=0.3,"A",IF(OR($S74&gt;2,$S74&lt;0.5),"C","B")))))</f>
        <v/>
      </c>
    </row>
    <row r="75" customFormat="false" ht="15" hidden="false" customHeight="true" outlineLevel="0" collapsed="false">
      <c r="H75" s="8" t="str">
        <f aca="false">IF(C75="","",IF(C75&lt;1,"yes","no"))</f>
        <v/>
      </c>
      <c r="I75" s="8" t="str">
        <f aca="false">IF(C75="","",IF(C75&lt;2.6,"r75",IF(C75&lt;5.2,"r110",IF(C75&lt;9.9,"r150",IF(C75&lt;19.8,"r210","r300")))))</f>
        <v/>
      </c>
      <c r="M75" s="8" t="str">
        <f aca="false">IF($A75="","",IFERROR(IF(INDEX(O1_Community_Attributes!$V$1:$V$500,MATCH($A75,O1_Community_Attributes!$A$1:$A$500,0))="","",INDEX(O1_Community_Attributes!$V$1:$V$500,MATCH($A75,O1_Community_Attributes!$A$1:$A$500,0))),""))</f>
        <v/>
      </c>
      <c r="N75" s="8" t="str">
        <f aca="false">IF($A75="","",IFERROR(IF(INDEX(O1_Community_Attributes!$W$1:$W$500,MATCH($A75,O1_Community_Attributes!$A$1:$A$500,0))="","",INDEX(O1_Community_Attributes!$W$1:$W$500,MATCH($A75,O1_Community_Attributes!$A$1:$A$500,0))),""))</f>
        <v/>
      </c>
      <c r="O75" s="8" t="str">
        <f aca="false">IF($A75="","",IFERROR(IF(INDEX(O1_Community_Attributes!$X$1:$X$500,MATCH($A75,O1_Community_Attributes!$A$1:$A$500,0))="","",INDEX(O1_Community_Attributes!$X$1:$X$500,MATCH($A75,O1_Community_Attributes!$A$1:$A$500,0))),""))</f>
        <v/>
      </c>
      <c r="P75" s="8" t="str">
        <f aca="false">IF($A75="","",IFERROR(IF(INDEX(O1_Community_Attributes!$Y$1:$Y$500,MATCH($A75,O1_Community_Attributes!$A$1:$A$500,0))="","",INDEX(O1_Community_Attributes!$Y$1:$Y$500,MATCH($A75,O1_Community_Attributes!$A$1:$A$500,0))),""))</f>
        <v/>
      </c>
      <c r="Q75" s="8" t="str">
        <f aca="false">IF($A75="","",IFERROR(IF(INDEX(O1_Community_Attributes!$Z$1:$Z$500,MATCH($A75,O1_Community_Attributes!$A$1:$A$500,0))="","",INDEX(O1_Community_Attributes!$Z$1:$Z$500,MATCH($A75,O1_Community_Attributes!$A$1:$A$500,0))),""))</f>
        <v/>
      </c>
      <c r="R75" s="8" t="str">
        <f aca="false">IF($A75="","",IFERROR(IF(INDEX(O1_Community_Attributes!$BK$1:$BK$500,MATCH($A75,O1_Community_Attributes!$A$1:$A$500,0))="","",INDEX(O1_Community_Attributes!$BK$1:$BK$500,MATCH($A75,O1_Community_Attributes!$A$1:$A$500,0))),""))</f>
        <v/>
      </c>
      <c r="S75" s="8" t="str">
        <f aca="false">IF(OR($C75="",$M75=""),"",$M75/$C75)</f>
        <v/>
      </c>
      <c r="T75" s="8" t="str">
        <f aca="false">IF($C75="","",IF(AND($M75="",$P75=""),"",IF($M75="","B",IF(ABS($S75-1)&lt;=0.3,"A",IF(OR($S75&gt;2,$S75&lt;0.5),"C","B")))))</f>
        <v/>
      </c>
    </row>
    <row r="76" customFormat="false" ht="15" hidden="false" customHeight="true" outlineLevel="0" collapsed="false">
      <c r="H76" s="8" t="str">
        <f aca="false">IF(C76="","",IF(C76&lt;1,"yes","no"))</f>
        <v/>
      </c>
      <c r="I76" s="8" t="str">
        <f aca="false">IF(C76="","",IF(C76&lt;2.6,"r75",IF(C76&lt;5.2,"r110",IF(C76&lt;9.9,"r150",IF(C76&lt;19.8,"r210","r300")))))</f>
        <v/>
      </c>
      <c r="M76" s="8" t="str">
        <f aca="false">IF($A76="","",IFERROR(IF(INDEX(O1_Community_Attributes!$V$1:$V$500,MATCH($A76,O1_Community_Attributes!$A$1:$A$500,0))="","",INDEX(O1_Community_Attributes!$V$1:$V$500,MATCH($A76,O1_Community_Attributes!$A$1:$A$500,0))),""))</f>
        <v/>
      </c>
      <c r="N76" s="8" t="str">
        <f aca="false">IF($A76="","",IFERROR(IF(INDEX(O1_Community_Attributes!$W$1:$W$500,MATCH($A76,O1_Community_Attributes!$A$1:$A$500,0))="","",INDEX(O1_Community_Attributes!$W$1:$W$500,MATCH($A76,O1_Community_Attributes!$A$1:$A$500,0))),""))</f>
        <v/>
      </c>
      <c r="O76" s="8" t="str">
        <f aca="false">IF($A76="","",IFERROR(IF(INDEX(O1_Community_Attributes!$X$1:$X$500,MATCH($A76,O1_Community_Attributes!$A$1:$A$500,0))="","",INDEX(O1_Community_Attributes!$X$1:$X$500,MATCH($A76,O1_Community_Attributes!$A$1:$A$500,0))),""))</f>
        <v/>
      </c>
      <c r="P76" s="8" t="str">
        <f aca="false">IF($A76="","",IFERROR(IF(INDEX(O1_Community_Attributes!$Y$1:$Y$500,MATCH($A76,O1_Community_Attributes!$A$1:$A$500,0))="","",INDEX(O1_Community_Attributes!$Y$1:$Y$500,MATCH($A76,O1_Community_Attributes!$A$1:$A$500,0))),""))</f>
        <v/>
      </c>
      <c r="Q76" s="8" t="str">
        <f aca="false">IF($A76="","",IFERROR(IF(INDEX(O1_Community_Attributes!$Z$1:$Z$500,MATCH($A76,O1_Community_Attributes!$A$1:$A$500,0))="","",INDEX(O1_Community_Attributes!$Z$1:$Z$500,MATCH($A76,O1_Community_Attributes!$A$1:$A$500,0))),""))</f>
        <v/>
      </c>
      <c r="R76" s="8" t="str">
        <f aca="false">IF($A76="","",IFERROR(IF(INDEX(O1_Community_Attributes!$BK$1:$BK$500,MATCH($A76,O1_Community_Attributes!$A$1:$A$500,0))="","",INDEX(O1_Community_Attributes!$BK$1:$BK$500,MATCH($A76,O1_Community_Attributes!$A$1:$A$500,0))),""))</f>
        <v/>
      </c>
      <c r="S76" s="8" t="str">
        <f aca="false">IF(OR($C76="",$M76=""),"",$M76/$C76)</f>
        <v/>
      </c>
      <c r="T76" s="8" t="str">
        <f aca="false">IF($C76="","",IF(AND($M76="",$P76=""),"",IF($M76="","B",IF(ABS($S76-1)&lt;=0.3,"A",IF(OR($S76&gt;2,$S76&lt;0.5),"C","B")))))</f>
        <v/>
      </c>
    </row>
    <row r="77" customFormat="false" ht="15" hidden="false" customHeight="true" outlineLevel="0" collapsed="false">
      <c r="H77" s="8" t="str">
        <f aca="false">IF(C77="","",IF(C77&lt;1,"yes","no"))</f>
        <v/>
      </c>
      <c r="I77" s="8" t="str">
        <f aca="false">IF(C77="","",IF(C77&lt;2.6,"r75",IF(C77&lt;5.2,"r110",IF(C77&lt;9.9,"r150",IF(C77&lt;19.8,"r210","r300")))))</f>
        <v/>
      </c>
      <c r="M77" s="8" t="str">
        <f aca="false">IF($A77="","",IFERROR(IF(INDEX(O1_Community_Attributes!$V$1:$V$500,MATCH($A77,O1_Community_Attributes!$A$1:$A$500,0))="","",INDEX(O1_Community_Attributes!$V$1:$V$500,MATCH($A77,O1_Community_Attributes!$A$1:$A$500,0))),""))</f>
        <v/>
      </c>
      <c r="N77" s="8" t="str">
        <f aca="false">IF($A77="","",IFERROR(IF(INDEX(O1_Community_Attributes!$W$1:$W$500,MATCH($A77,O1_Community_Attributes!$A$1:$A$500,0))="","",INDEX(O1_Community_Attributes!$W$1:$W$500,MATCH($A77,O1_Community_Attributes!$A$1:$A$500,0))),""))</f>
        <v/>
      </c>
      <c r="O77" s="8" t="str">
        <f aca="false">IF($A77="","",IFERROR(IF(INDEX(O1_Community_Attributes!$X$1:$X$500,MATCH($A77,O1_Community_Attributes!$A$1:$A$500,0))="","",INDEX(O1_Community_Attributes!$X$1:$X$500,MATCH($A77,O1_Community_Attributes!$A$1:$A$500,0))),""))</f>
        <v/>
      </c>
      <c r="P77" s="8" t="str">
        <f aca="false">IF($A77="","",IFERROR(IF(INDEX(O1_Community_Attributes!$Y$1:$Y$500,MATCH($A77,O1_Community_Attributes!$A$1:$A$500,0))="","",INDEX(O1_Community_Attributes!$Y$1:$Y$500,MATCH($A77,O1_Community_Attributes!$A$1:$A$500,0))),""))</f>
        <v/>
      </c>
      <c r="Q77" s="8" t="str">
        <f aca="false">IF($A77="","",IFERROR(IF(INDEX(O1_Community_Attributes!$Z$1:$Z$500,MATCH($A77,O1_Community_Attributes!$A$1:$A$500,0))="","",INDEX(O1_Community_Attributes!$Z$1:$Z$500,MATCH($A77,O1_Community_Attributes!$A$1:$A$500,0))),""))</f>
        <v/>
      </c>
      <c r="R77" s="8" t="str">
        <f aca="false">IF($A77="","",IFERROR(IF(INDEX(O1_Community_Attributes!$BK$1:$BK$500,MATCH($A77,O1_Community_Attributes!$A$1:$A$500,0))="","",INDEX(O1_Community_Attributes!$BK$1:$BK$500,MATCH($A77,O1_Community_Attributes!$A$1:$A$500,0))),""))</f>
        <v/>
      </c>
      <c r="S77" s="8" t="str">
        <f aca="false">IF(OR($C77="",$M77=""),"",$M77/$C77)</f>
        <v/>
      </c>
      <c r="T77" s="8" t="str">
        <f aca="false">IF($C77="","",IF(AND($M77="",$P77=""),"",IF($M77="","B",IF(ABS($S77-1)&lt;=0.3,"A",IF(OR($S77&gt;2,$S77&lt;0.5),"C","B")))))</f>
        <v/>
      </c>
    </row>
    <row r="78" customFormat="false" ht="15" hidden="false" customHeight="true" outlineLevel="0" collapsed="false">
      <c r="H78" s="8" t="str">
        <f aca="false">IF(C78="","",IF(C78&lt;1,"yes","no"))</f>
        <v/>
      </c>
      <c r="I78" s="8" t="str">
        <f aca="false">IF(C78="","",IF(C78&lt;2.6,"r75",IF(C78&lt;5.2,"r110",IF(C78&lt;9.9,"r150",IF(C78&lt;19.8,"r210","r300")))))</f>
        <v/>
      </c>
      <c r="M78" s="8" t="str">
        <f aca="false">IF($A78="","",IFERROR(IF(INDEX(O1_Community_Attributes!$V$1:$V$500,MATCH($A78,O1_Community_Attributes!$A$1:$A$500,0))="","",INDEX(O1_Community_Attributes!$V$1:$V$500,MATCH($A78,O1_Community_Attributes!$A$1:$A$500,0))),""))</f>
        <v/>
      </c>
      <c r="N78" s="8" t="str">
        <f aca="false">IF($A78="","",IFERROR(IF(INDEX(O1_Community_Attributes!$W$1:$W$500,MATCH($A78,O1_Community_Attributes!$A$1:$A$500,0))="","",INDEX(O1_Community_Attributes!$W$1:$W$500,MATCH($A78,O1_Community_Attributes!$A$1:$A$500,0))),""))</f>
        <v/>
      </c>
      <c r="O78" s="8" t="str">
        <f aca="false">IF($A78="","",IFERROR(IF(INDEX(O1_Community_Attributes!$X$1:$X$500,MATCH($A78,O1_Community_Attributes!$A$1:$A$500,0))="","",INDEX(O1_Community_Attributes!$X$1:$X$500,MATCH($A78,O1_Community_Attributes!$A$1:$A$500,0))),""))</f>
        <v/>
      </c>
      <c r="P78" s="8" t="str">
        <f aca="false">IF($A78="","",IFERROR(IF(INDEX(O1_Community_Attributes!$Y$1:$Y$500,MATCH($A78,O1_Community_Attributes!$A$1:$A$500,0))="","",INDEX(O1_Community_Attributes!$Y$1:$Y$500,MATCH($A78,O1_Community_Attributes!$A$1:$A$500,0))),""))</f>
        <v/>
      </c>
      <c r="Q78" s="8" t="str">
        <f aca="false">IF($A78="","",IFERROR(IF(INDEX(O1_Community_Attributes!$Z$1:$Z$500,MATCH($A78,O1_Community_Attributes!$A$1:$A$500,0))="","",INDEX(O1_Community_Attributes!$Z$1:$Z$500,MATCH($A78,O1_Community_Attributes!$A$1:$A$500,0))),""))</f>
        <v/>
      </c>
      <c r="R78" s="8" t="str">
        <f aca="false">IF($A78="","",IFERROR(IF(INDEX(O1_Community_Attributes!$BK$1:$BK$500,MATCH($A78,O1_Community_Attributes!$A$1:$A$500,0))="","",INDEX(O1_Community_Attributes!$BK$1:$BK$500,MATCH($A78,O1_Community_Attributes!$A$1:$A$500,0))),""))</f>
        <v/>
      </c>
      <c r="S78" s="8" t="str">
        <f aca="false">IF(OR($C78="",$M78=""),"",$M78/$C78)</f>
        <v/>
      </c>
      <c r="T78" s="8" t="str">
        <f aca="false">IF($C78="","",IF(AND($M78="",$P78=""),"",IF($M78="","B",IF(ABS($S78-1)&lt;=0.3,"A",IF(OR($S78&gt;2,$S78&lt;0.5),"C","B")))))</f>
        <v/>
      </c>
    </row>
    <row r="79" customFormat="false" ht="15" hidden="false" customHeight="true" outlineLevel="0" collapsed="false">
      <c r="H79" s="8" t="str">
        <f aca="false">IF(C79="","",IF(C79&lt;1,"yes","no"))</f>
        <v/>
      </c>
      <c r="I79" s="8" t="str">
        <f aca="false">IF(C79="","",IF(C79&lt;2.6,"r75",IF(C79&lt;5.2,"r110",IF(C79&lt;9.9,"r150",IF(C79&lt;19.8,"r210","r300")))))</f>
        <v/>
      </c>
      <c r="M79" s="8" t="str">
        <f aca="false">IF($A79="","",IFERROR(IF(INDEX(O1_Community_Attributes!$V$1:$V$500,MATCH($A79,O1_Community_Attributes!$A$1:$A$500,0))="","",INDEX(O1_Community_Attributes!$V$1:$V$500,MATCH($A79,O1_Community_Attributes!$A$1:$A$500,0))),""))</f>
        <v/>
      </c>
      <c r="N79" s="8" t="str">
        <f aca="false">IF($A79="","",IFERROR(IF(INDEX(O1_Community_Attributes!$W$1:$W$500,MATCH($A79,O1_Community_Attributes!$A$1:$A$500,0))="","",INDEX(O1_Community_Attributes!$W$1:$W$500,MATCH($A79,O1_Community_Attributes!$A$1:$A$500,0))),""))</f>
        <v/>
      </c>
      <c r="O79" s="8" t="str">
        <f aca="false">IF($A79="","",IFERROR(IF(INDEX(O1_Community_Attributes!$X$1:$X$500,MATCH($A79,O1_Community_Attributes!$A$1:$A$500,0))="","",INDEX(O1_Community_Attributes!$X$1:$X$500,MATCH($A79,O1_Community_Attributes!$A$1:$A$500,0))),""))</f>
        <v/>
      </c>
      <c r="P79" s="8" t="str">
        <f aca="false">IF($A79="","",IFERROR(IF(INDEX(O1_Community_Attributes!$Y$1:$Y$500,MATCH($A79,O1_Community_Attributes!$A$1:$A$500,0))="","",INDEX(O1_Community_Attributes!$Y$1:$Y$500,MATCH($A79,O1_Community_Attributes!$A$1:$A$500,0))),""))</f>
        <v/>
      </c>
      <c r="Q79" s="8" t="str">
        <f aca="false">IF($A79="","",IFERROR(IF(INDEX(O1_Community_Attributes!$Z$1:$Z$500,MATCH($A79,O1_Community_Attributes!$A$1:$A$500,0))="","",INDEX(O1_Community_Attributes!$Z$1:$Z$500,MATCH($A79,O1_Community_Attributes!$A$1:$A$500,0))),""))</f>
        <v/>
      </c>
      <c r="R79" s="8" t="str">
        <f aca="false">IF($A79="","",IFERROR(IF(INDEX(O1_Community_Attributes!$BK$1:$BK$500,MATCH($A79,O1_Community_Attributes!$A$1:$A$500,0))="","",INDEX(O1_Community_Attributes!$BK$1:$BK$500,MATCH($A79,O1_Community_Attributes!$A$1:$A$500,0))),""))</f>
        <v/>
      </c>
      <c r="S79" s="8" t="str">
        <f aca="false">IF(OR($C79="",$M79=""),"",$M79/$C79)</f>
        <v/>
      </c>
      <c r="T79" s="8" t="str">
        <f aca="false">IF($C79="","",IF(AND($M79="",$P79=""),"",IF($M79="","B",IF(ABS($S79-1)&lt;=0.3,"A",IF(OR($S79&gt;2,$S79&lt;0.5),"C","B")))))</f>
        <v/>
      </c>
    </row>
    <row r="80" customFormat="false" ht="15" hidden="false" customHeight="true" outlineLevel="0" collapsed="false">
      <c r="H80" s="8" t="str">
        <f aca="false">IF(C80="","",IF(C80&lt;1,"yes","no"))</f>
        <v/>
      </c>
      <c r="I80" s="8" t="str">
        <f aca="false">IF(C80="","",IF(C80&lt;2.6,"r75",IF(C80&lt;5.2,"r110",IF(C80&lt;9.9,"r150",IF(C80&lt;19.8,"r210","r300")))))</f>
        <v/>
      </c>
      <c r="M80" s="8" t="str">
        <f aca="false">IF($A80="","",IFERROR(IF(INDEX(O1_Community_Attributes!$V$1:$V$500,MATCH($A80,O1_Community_Attributes!$A$1:$A$500,0))="","",INDEX(O1_Community_Attributes!$V$1:$V$500,MATCH($A80,O1_Community_Attributes!$A$1:$A$500,0))),""))</f>
        <v/>
      </c>
      <c r="N80" s="8" t="str">
        <f aca="false">IF($A80="","",IFERROR(IF(INDEX(O1_Community_Attributes!$W$1:$W$500,MATCH($A80,O1_Community_Attributes!$A$1:$A$500,0))="","",INDEX(O1_Community_Attributes!$W$1:$W$500,MATCH($A80,O1_Community_Attributes!$A$1:$A$500,0))),""))</f>
        <v/>
      </c>
      <c r="O80" s="8" t="str">
        <f aca="false">IF($A80="","",IFERROR(IF(INDEX(O1_Community_Attributes!$X$1:$X$500,MATCH($A80,O1_Community_Attributes!$A$1:$A$500,0))="","",INDEX(O1_Community_Attributes!$X$1:$X$500,MATCH($A80,O1_Community_Attributes!$A$1:$A$500,0))),""))</f>
        <v/>
      </c>
      <c r="P80" s="8" t="str">
        <f aca="false">IF($A80="","",IFERROR(IF(INDEX(O1_Community_Attributes!$Y$1:$Y$500,MATCH($A80,O1_Community_Attributes!$A$1:$A$500,0))="","",INDEX(O1_Community_Attributes!$Y$1:$Y$500,MATCH($A80,O1_Community_Attributes!$A$1:$A$500,0))),""))</f>
        <v/>
      </c>
      <c r="Q80" s="8" t="str">
        <f aca="false">IF($A80="","",IFERROR(IF(INDEX(O1_Community_Attributes!$Z$1:$Z$500,MATCH($A80,O1_Community_Attributes!$A$1:$A$500,0))="","",INDEX(O1_Community_Attributes!$Z$1:$Z$500,MATCH($A80,O1_Community_Attributes!$A$1:$A$500,0))),""))</f>
        <v/>
      </c>
      <c r="R80" s="8" t="str">
        <f aca="false">IF($A80="","",IFERROR(IF(INDEX(O1_Community_Attributes!$BK$1:$BK$500,MATCH($A80,O1_Community_Attributes!$A$1:$A$500,0))="","",INDEX(O1_Community_Attributes!$BK$1:$BK$500,MATCH($A80,O1_Community_Attributes!$A$1:$A$500,0))),""))</f>
        <v/>
      </c>
      <c r="S80" s="8" t="str">
        <f aca="false">IF(OR($C80="",$M80=""),"",$M80/$C80)</f>
        <v/>
      </c>
      <c r="T80" s="8" t="str">
        <f aca="false">IF($C80="","",IF(AND($M80="",$P80=""),"",IF($M80="","B",IF(ABS($S80-1)&lt;=0.3,"A",IF(OR($S80&gt;2,$S80&lt;0.5),"C","B")))))</f>
        <v/>
      </c>
    </row>
    <row r="81" customFormat="false" ht="15" hidden="false" customHeight="true" outlineLevel="0" collapsed="false">
      <c r="H81" s="8" t="str">
        <f aca="false">IF(C81="","",IF(C81&lt;1,"yes","no"))</f>
        <v/>
      </c>
      <c r="I81" s="8" t="str">
        <f aca="false">IF(C81="","",IF(C81&lt;2.6,"r75",IF(C81&lt;5.2,"r110",IF(C81&lt;9.9,"r150",IF(C81&lt;19.8,"r210","r300")))))</f>
        <v/>
      </c>
      <c r="M81" s="8" t="str">
        <f aca="false">IF($A81="","",IFERROR(IF(INDEX(O1_Community_Attributes!$V$1:$V$500,MATCH($A81,O1_Community_Attributes!$A$1:$A$500,0))="","",INDEX(O1_Community_Attributes!$V$1:$V$500,MATCH($A81,O1_Community_Attributes!$A$1:$A$500,0))),""))</f>
        <v/>
      </c>
      <c r="N81" s="8" t="str">
        <f aca="false">IF($A81="","",IFERROR(IF(INDEX(O1_Community_Attributes!$W$1:$W$500,MATCH($A81,O1_Community_Attributes!$A$1:$A$500,0))="","",INDEX(O1_Community_Attributes!$W$1:$W$500,MATCH($A81,O1_Community_Attributes!$A$1:$A$500,0))),""))</f>
        <v/>
      </c>
      <c r="O81" s="8" t="str">
        <f aca="false">IF($A81="","",IFERROR(IF(INDEX(O1_Community_Attributes!$X$1:$X$500,MATCH($A81,O1_Community_Attributes!$A$1:$A$500,0))="","",INDEX(O1_Community_Attributes!$X$1:$X$500,MATCH($A81,O1_Community_Attributes!$A$1:$A$500,0))),""))</f>
        <v/>
      </c>
      <c r="P81" s="8" t="str">
        <f aca="false">IF($A81="","",IFERROR(IF(INDEX(O1_Community_Attributes!$Y$1:$Y$500,MATCH($A81,O1_Community_Attributes!$A$1:$A$500,0))="","",INDEX(O1_Community_Attributes!$Y$1:$Y$500,MATCH($A81,O1_Community_Attributes!$A$1:$A$500,0))),""))</f>
        <v/>
      </c>
      <c r="Q81" s="8" t="str">
        <f aca="false">IF($A81="","",IFERROR(IF(INDEX(O1_Community_Attributes!$Z$1:$Z$500,MATCH($A81,O1_Community_Attributes!$A$1:$A$500,0))="","",INDEX(O1_Community_Attributes!$Z$1:$Z$500,MATCH($A81,O1_Community_Attributes!$A$1:$A$500,0))),""))</f>
        <v/>
      </c>
      <c r="R81" s="8" t="str">
        <f aca="false">IF($A81="","",IFERROR(IF(INDEX(O1_Community_Attributes!$BK$1:$BK$500,MATCH($A81,O1_Community_Attributes!$A$1:$A$500,0))="","",INDEX(O1_Community_Attributes!$BK$1:$BK$500,MATCH($A81,O1_Community_Attributes!$A$1:$A$500,0))),""))</f>
        <v/>
      </c>
      <c r="S81" s="8" t="str">
        <f aca="false">IF(OR($C81="",$M81=""),"",$M81/$C81)</f>
        <v/>
      </c>
      <c r="T81" s="8" t="str">
        <f aca="false">IF($C81="","",IF(AND($M81="",$P81=""),"",IF($M81="","B",IF(ABS($S81-1)&lt;=0.3,"A",IF(OR($S81&gt;2,$S81&lt;0.5),"C","B")))))</f>
        <v/>
      </c>
    </row>
    <row r="82" customFormat="false" ht="15" hidden="false" customHeight="true" outlineLevel="0" collapsed="false">
      <c r="H82" s="8" t="str">
        <f aca="false">IF(C82="","",IF(C82&lt;1,"yes","no"))</f>
        <v/>
      </c>
      <c r="I82" s="8" t="str">
        <f aca="false">IF(C82="","",IF(C82&lt;2.6,"r75",IF(C82&lt;5.2,"r110",IF(C82&lt;9.9,"r150",IF(C82&lt;19.8,"r210","r300")))))</f>
        <v/>
      </c>
      <c r="M82" s="8" t="str">
        <f aca="false">IF($A82="","",IFERROR(IF(INDEX(O1_Community_Attributes!$V$1:$V$500,MATCH($A82,O1_Community_Attributes!$A$1:$A$500,0))="","",INDEX(O1_Community_Attributes!$V$1:$V$500,MATCH($A82,O1_Community_Attributes!$A$1:$A$500,0))),""))</f>
        <v/>
      </c>
      <c r="N82" s="8" t="str">
        <f aca="false">IF($A82="","",IFERROR(IF(INDEX(O1_Community_Attributes!$W$1:$W$500,MATCH($A82,O1_Community_Attributes!$A$1:$A$500,0))="","",INDEX(O1_Community_Attributes!$W$1:$W$500,MATCH($A82,O1_Community_Attributes!$A$1:$A$500,0))),""))</f>
        <v/>
      </c>
      <c r="O82" s="8" t="str">
        <f aca="false">IF($A82="","",IFERROR(IF(INDEX(O1_Community_Attributes!$X$1:$X$500,MATCH($A82,O1_Community_Attributes!$A$1:$A$500,0))="","",INDEX(O1_Community_Attributes!$X$1:$X$500,MATCH($A82,O1_Community_Attributes!$A$1:$A$500,0))),""))</f>
        <v/>
      </c>
      <c r="P82" s="8" t="str">
        <f aca="false">IF($A82="","",IFERROR(IF(INDEX(O1_Community_Attributes!$Y$1:$Y$500,MATCH($A82,O1_Community_Attributes!$A$1:$A$500,0))="","",INDEX(O1_Community_Attributes!$Y$1:$Y$500,MATCH($A82,O1_Community_Attributes!$A$1:$A$500,0))),""))</f>
        <v/>
      </c>
      <c r="Q82" s="8" t="str">
        <f aca="false">IF($A82="","",IFERROR(IF(INDEX(O1_Community_Attributes!$Z$1:$Z$500,MATCH($A82,O1_Community_Attributes!$A$1:$A$500,0))="","",INDEX(O1_Community_Attributes!$Z$1:$Z$500,MATCH($A82,O1_Community_Attributes!$A$1:$A$500,0))),""))</f>
        <v/>
      </c>
      <c r="R82" s="8" t="str">
        <f aca="false">IF($A82="","",IFERROR(IF(INDEX(O1_Community_Attributes!$BK$1:$BK$500,MATCH($A82,O1_Community_Attributes!$A$1:$A$500,0))="","",INDEX(O1_Community_Attributes!$BK$1:$BK$500,MATCH($A82,O1_Community_Attributes!$A$1:$A$500,0))),""))</f>
        <v/>
      </c>
      <c r="S82" s="8" t="str">
        <f aca="false">IF(OR($C82="",$M82=""),"",$M82/$C82)</f>
        <v/>
      </c>
      <c r="T82" s="8" t="str">
        <f aca="false">IF($C82="","",IF(AND($M82="",$P82=""),"",IF($M82="","B",IF(ABS($S82-1)&lt;=0.3,"A",IF(OR($S82&gt;2,$S82&lt;0.5),"C","B")))))</f>
        <v/>
      </c>
    </row>
    <row r="83" customFormat="false" ht="15" hidden="false" customHeight="true" outlineLevel="0" collapsed="false">
      <c r="H83" s="8" t="str">
        <f aca="false">IF(C83="","",IF(C83&lt;1,"yes","no"))</f>
        <v/>
      </c>
      <c r="I83" s="8" t="str">
        <f aca="false">IF(C83="","",IF(C83&lt;2.6,"r75",IF(C83&lt;5.2,"r110",IF(C83&lt;9.9,"r150",IF(C83&lt;19.8,"r210","r300")))))</f>
        <v/>
      </c>
      <c r="M83" s="8" t="str">
        <f aca="false">IF($A83="","",IFERROR(IF(INDEX(O1_Community_Attributes!$V$1:$V$500,MATCH($A83,O1_Community_Attributes!$A$1:$A$500,0))="","",INDEX(O1_Community_Attributes!$V$1:$V$500,MATCH($A83,O1_Community_Attributes!$A$1:$A$500,0))),""))</f>
        <v/>
      </c>
      <c r="N83" s="8" t="str">
        <f aca="false">IF($A83="","",IFERROR(IF(INDEX(O1_Community_Attributes!$W$1:$W$500,MATCH($A83,O1_Community_Attributes!$A$1:$A$500,0))="","",INDEX(O1_Community_Attributes!$W$1:$W$500,MATCH($A83,O1_Community_Attributes!$A$1:$A$500,0))),""))</f>
        <v/>
      </c>
      <c r="O83" s="8" t="str">
        <f aca="false">IF($A83="","",IFERROR(IF(INDEX(O1_Community_Attributes!$X$1:$X$500,MATCH($A83,O1_Community_Attributes!$A$1:$A$500,0))="","",INDEX(O1_Community_Attributes!$X$1:$X$500,MATCH($A83,O1_Community_Attributes!$A$1:$A$500,0))),""))</f>
        <v/>
      </c>
      <c r="P83" s="8" t="str">
        <f aca="false">IF($A83="","",IFERROR(IF(INDEX(O1_Community_Attributes!$Y$1:$Y$500,MATCH($A83,O1_Community_Attributes!$A$1:$A$500,0))="","",INDEX(O1_Community_Attributes!$Y$1:$Y$500,MATCH($A83,O1_Community_Attributes!$A$1:$A$500,0))),""))</f>
        <v/>
      </c>
      <c r="Q83" s="8" t="str">
        <f aca="false">IF($A83="","",IFERROR(IF(INDEX(O1_Community_Attributes!$Z$1:$Z$500,MATCH($A83,O1_Community_Attributes!$A$1:$A$500,0))="","",INDEX(O1_Community_Attributes!$Z$1:$Z$500,MATCH($A83,O1_Community_Attributes!$A$1:$A$500,0))),""))</f>
        <v/>
      </c>
      <c r="R83" s="8" t="str">
        <f aca="false">IF($A83="","",IFERROR(IF(INDEX(O1_Community_Attributes!$BK$1:$BK$500,MATCH($A83,O1_Community_Attributes!$A$1:$A$500,0))="","",INDEX(O1_Community_Attributes!$BK$1:$BK$500,MATCH($A83,O1_Community_Attributes!$A$1:$A$500,0))),""))</f>
        <v/>
      </c>
      <c r="S83" s="8" t="str">
        <f aca="false">IF(OR($C83="",$M83=""),"",$M83/$C83)</f>
        <v/>
      </c>
      <c r="T83" s="8" t="str">
        <f aca="false">IF($C83="","",IF(AND($M83="",$P83=""),"",IF($M83="","B",IF(ABS($S83-1)&lt;=0.3,"A",IF(OR($S83&gt;2,$S83&lt;0.5),"C","B")))))</f>
        <v/>
      </c>
    </row>
    <row r="84" customFormat="false" ht="15" hidden="false" customHeight="true" outlineLevel="0" collapsed="false">
      <c r="H84" s="8" t="str">
        <f aca="false">IF(C84="","",IF(C84&lt;1,"yes","no"))</f>
        <v/>
      </c>
      <c r="I84" s="8" t="str">
        <f aca="false">IF(C84="","",IF(C84&lt;2.6,"r75",IF(C84&lt;5.2,"r110",IF(C84&lt;9.9,"r150",IF(C84&lt;19.8,"r210","r300")))))</f>
        <v/>
      </c>
      <c r="M84" s="8" t="str">
        <f aca="false">IF($A84="","",IFERROR(IF(INDEX(O1_Community_Attributes!$V$1:$V$500,MATCH($A84,O1_Community_Attributes!$A$1:$A$500,0))="","",INDEX(O1_Community_Attributes!$V$1:$V$500,MATCH($A84,O1_Community_Attributes!$A$1:$A$500,0))),""))</f>
        <v/>
      </c>
      <c r="N84" s="8" t="str">
        <f aca="false">IF($A84="","",IFERROR(IF(INDEX(O1_Community_Attributes!$W$1:$W$500,MATCH($A84,O1_Community_Attributes!$A$1:$A$500,0))="","",INDEX(O1_Community_Attributes!$W$1:$W$500,MATCH($A84,O1_Community_Attributes!$A$1:$A$500,0))),""))</f>
        <v/>
      </c>
      <c r="O84" s="8" t="str">
        <f aca="false">IF($A84="","",IFERROR(IF(INDEX(O1_Community_Attributes!$X$1:$X$500,MATCH($A84,O1_Community_Attributes!$A$1:$A$500,0))="","",INDEX(O1_Community_Attributes!$X$1:$X$500,MATCH($A84,O1_Community_Attributes!$A$1:$A$500,0))),""))</f>
        <v/>
      </c>
      <c r="P84" s="8" t="str">
        <f aca="false">IF($A84="","",IFERROR(IF(INDEX(O1_Community_Attributes!$Y$1:$Y$500,MATCH($A84,O1_Community_Attributes!$A$1:$A$500,0))="","",INDEX(O1_Community_Attributes!$Y$1:$Y$500,MATCH($A84,O1_Community_Attributes!$A$1:$A$500,0))),""))</f>
        <v/>
      </c>
      <c r="Q84" s="8" t="str">
        <f aca="false">IF($A84="","",IFERROR(IF(INDEX(O1_Community_Attributes!$Z$1:$Z$500,MATCH($A84,O1_Community_Attributes!$A$1:$A$500,0))="","",INDEX(O1_Community_Attributes!$Z$1:$Z$500,MATCH($A84,O1_Community_Attributes!$A$1:$A$500,0))),""))</f>
        <v/>
      </c>
      <c r="R84" s="8" t="str">
        <f aca="false">IF($A84="","",IFERROR(IF(INDEX(O1_Community_Attributes!$BK$1:$BK$500,MATCH($A84,O1_Community_Attributes!$A$1:$A$500,0))="","",INDEX(O1_Community_Attributes!$BK$1:$BK$500,MATCH($A84,O1_Community_Attributes!$A$1:$A$500,0))),""))</f>
        <v/>
      </c>
      <c r="S84" s="8" t="str">
        <f aca="false">IF(OR($C84="",$M84=""),"",$M84/$C84)</f>
        <v/>
      </c>
      <c r="T84" s="8" t="str">
        <f aca="false">IF($C84="","",IF(AND($M84="",$P84=""),"",IF($M84="","B",IF(ABS($S84-1)&lt;=0.3,"A",IF(OR($S84&gt;2,$S84&lt;0.5),"C","B")))))</f>
        <v/>
      </c>
    </row>
    <row r="85" customFormat="false" ht="15" hidden="false" customHeight="true" outlineLevel="0" collapsed="false">
      <c r="H85" s="8" t="str">
        <f aca="false">IF(C85="","",IF(C85&lt;1,"yes","no"))</f>
        <v/>
      </c>
      <c r="I85" s="8" t="str">
        <f aca="false">IF(C85="","",IF(C85&lt;2.6,"r75",IF(C85&lt;5.2,"r110",IF(C85&lt;9.9,"r150",IF(C85&lt;19.8,"r210","r300")))))</f>
        <v/>
      </c>
      <c r="M85" s="8" t="str">
        <f aca="false">IF($A85="","",IFERROR(IF(INDEX(O1_Community_Attributes!$V$1:$V$500,MATCH($A85,O1_Community_Attributes!$A$1:$A$500,0))="","",INDEX(O1_Community_Attributes!$V$1:$V$500,MATCH($A85,O1_Community_Attributes!$A$1:$A$500,0))),""))</f>
        <v/>
      </c>
      <c r="N85" s="8" t="str">
        <f aca="false">IF($A85="","",IFERROR(IF(INDEX(O1_Community_Attributes!$W$1:$W$500,MATCH($A85,O1_Community_Attributes!$A$1:$A$500,0))="","",INDEX(O1_Community_Attributes!$W$1:$W$500,MATCH($A85,O1_Community_Attributes!$A$1:$A$500,0))),""))</f>
        <v/>
      </c>
      <c r="O85" s="8" t="str">
        <f aca="false">IF($A85="","",IFERROR(IF(INDEX(O1_Community_Attributes!$X$1:$X$500,MATCH($A85,O1_Community_Attributes!$A$1:$A$500,0))="","",INDEX(O1_Community_Attributes!$X$1:$X$500,MATCH($A85,O1_Community_Attributes!$A$1:$A$500,0))),""))</f>
        <v/>
      </c>
      <c r="P85" s="8" t="str">
        <f aca="false">IF($A85="","",IFERROR(IF(INDEX(O1_Community_Attributes!$Y$1:$Y$500,MATCH($A85,O1_Community_Attributes!$A$1:$A$500,0))="","",INDEX(O1_Community_Attributes!$Y$1:$Y$500,MATCH($A85,O1_Community_Attributes!$A$1:$A$500,0))),""))</f>
        <v/>
      </c>
      <c r="Q85" s="8" t="str">
        <f aca="false">IF($A85="","",IFERROR(IF(INDEX(O1_Community_Attributes!$Z$1:$Z$500,MATCH($A85,O1_Community_Attributes!$A$1:$A$500,0))="","",INDEX(O1_Community_Attributes!$Z$1:$Z$500,MATCH($A85,O1_Community_Attributes!$A$1:$A$500,0))),""))</f>
        <v/>
      </c>
      <c r="R85" s="8" t="str">
        <f aca="false">IF($A85="","",IFERROR(IF(INDEX(O1_Community_Attributes!$BK$1:$BK$500,MATCH($A85,O1_Community_Attributes!$A$1:$A$500,0))="","",INDEX(O1_Community_Attributes!$BK$1:$BK$500,MATCH($A85,O1_Community_Attributes!$A$1:$A$500,0))),""))</f>
        <v/>
      </c>
      <c r="S85" s="8" t="str">
        <f aca="false">IF(OR($C85="",$M85=""),"",$M85/$C85)</f>
        <v/>
      </c>
      <c r="T85" s="8" t="str">
        <f aca="false">IF($C85="","",IF(AND($M85="",$P85=""),"",IF($M85="","B",IF(ABS($S85-1)&lt;=0.3,"A",IF(OR($S85&gt;2,$S85&lt;0.5),"C","B")))))</f>
        <v/>
      </c>
    </row>
    <row r="86" customFormat="false" ht="15" hidden="false" customHeight="true" outlineLevel="0" collapsed="false">
      <c r="H86" s="8" t="str">
        <f aca="false">IF(C86="","",IF(C86&lt;1,"yes","no"))</f>
        <v/>
      </c>
      <c r="I86" s="8" t="str">
        <f aca="false">IF(C86="","",IF(C86&lt;2.6,"r75",IF(C86&lt;5.2,"r110",IF(C86&lt;9.9,"r150",IF(C86&lt;19.8,"r210","r300")))))</f>
        <v/>
      </c>
      <c r="M86" s="8" t="str">
        <f aca="false">IF($A86="","",IFERROR(IF(INDEX(O1_Community_Attributes!$V$1:$V$500,MATCH($A86,O1_Community_Attributes!$A$1:$A$500,0))="","",INDEX(O1_Community_Attributes!$V$1:$V$500,MATCH($A86,O1_Community_Attributes!$A$1:$A$500,0))),""))</f>
        <v/>
      </c>
      <c r="N86" s="8" t="str">
        <f aca="false">IF($A86="","",IFERROR(IF(INDEX(O1_Community_Attributes!$W$1:$W$500,MATCH($A86,O1_Community_Attributes!$A$1:$A$500,0))="","",INDEX(O1_Community_Attributes!$W$1:$W$500,MATCH($A86,O1_Community_Attributes!$A$1:$A$500,0))),""))</f>
        <v/>
      </c>
      <c r="O86" s="8" t="str">
        <f aca="false">IF($A86="","",IFERROR(IF(INDEX(O1_Community_Attributes!$X$1:$X$500,MATCH($A86,O1_Community_Attributes!$A$1:$A$500,0))="","",INDEX(O1_Community_Attributes!$X$1:$X$500,MATCH($A86,O1_Community_Attributes!$A$1:$A$500,0))),""))</f>
        <v/>
      </c>
      <c r="P86" s="8" t="str">
        <f aca="false">IF($A86="","",IFERROR(IF(INDEX(O1_Community_Attributes!$Y$1:$Y$500,MATCH($A86,O1_Community_Attributes!$A$1:$A$500,0))="","",INDEX(O1_Community_Attributes!$Y$1:$Y$500,MATCH($A86,O1_Community_Attributes!$A$1:$A$500,0))),""))</f>
        <v/>
      </c>
      <c r="Q86" s="8" t="str">
        <f aca="false">IF($A86="","",IFERROR(IF(INDEX(O1_Community_Attributes!$Z$1:$Z$500,MATCH($A86,O1_Community_Attributes!$A$1:$A$500,0))="","",INDEX(O1_Community_Attributes!$Z$1:$Z$500,MATCH($A86,O1_Community_Attributes!$A$1:$A$500,0))),""))</f>
        <v/>
      </c>
      <c r="R86" s="8" t="str">
        <f aca="false">IF($A86="","",IFERROR(IF(INDEX(O1_Community_Attributes!$BK$1:$BK$500,MATCH($A86,O1_Community_Attributes!$A$1:$A$500,0))="","",INDEX(O1_Community_Attributes!$BK$1:$BK$500,MATCH($A86,O1_Community_Attributes!$A$1:$A$500,0))),""))</f>
        <v/>
      </c>
      <c r="S86" s="8" t="str">
        <f aca="false">IF(OR($C86="",$M86=""),"",$M86/$C86)</f>
        <v/>
      </c>
      <c r="T86" s="8" t="str">
        <f aca="false">IF($C86="","",IF(AND($M86="",$P86=""),"",IF($M86="","B",IF(ABS($S86-1)&lt;=0.3,"A",IF(OR($S86&gt;2,$S86&lt;0.5),"C","B")))))</f>
        <v/>
      </c>
    </row>
    <row r="87" customFormat="false" ht="15" hidden="false" customHeight="true" outlineLevel="0" collapsed="false">
      <c r="H87" s="8" t="str">
        <f aca="false">IF(C87="","",IF(C87&lt;1,"yes","no"))</f>
        <v/>
      </c>
      <c r="I87" s="8" t="str">
        <f aca="false">IF(C87="","",IF(C87&lt;2.6,"r75",IF(C87&lt;5.2,"r110",IF(C87&lt;9.9,"r150",IF(C87&lt;19.8,"r210","r300")))))</f>
        <v/>
      </c>
      <c r="M87" s="8" t="str">
        <f aca="false">IF($A87="","",IFERROR(IF(INDEX(O1_Community_Attributes!$V$1:$V$500,MATCH($A87,O1_Community_Attributes!$A$1:$A$500,0))="","",INDEX(O1_Community_Attributes!$V$1:$V$500,MATCH($A87,O1_Community_Attributes!$A$1:$A$500,0))),""))</f>
        <v/>
      </c>
      <c r="N87" s="8" t="str">
        <f aca="false">IF($A87="","",IFERROR(IF(INDEX(O1_Community_Attributes!$W$1:$W$500,MATCH($A87,O1_Community_Attributes!$A$1:$A$500,0))="","",INDEX(O1_Community_Attributes!$W$1:$W$500,MATCH($A87,O1_Community_Attributes!$A$1:$A$500,0))),""))</f>
        <v/>
      </c>
      <c r="O87" s="8" t="str">
        <f aca="false">IF($A87="","",IFERROR(IF(INDEX(O1_Community_Attributes!$X$1:$X$500,MATCH($A87,O1_Community_Attributes!$A$1:$A$500,0))="","",INDEX(O1_Community_Attributes!$X$1:$X$500,MATCH($A87,O1_Community_Attributes!$A$1:$A$500,0))),""))</f>
        <v/>
      </c>
      <c r="P87" s="8" t="str">
        <f aca="false">IF($A87="","",IFERROR(IF(INDEX(O1_Community_Attributes!$Y$1:$Y$500,MATCH($A87,O1_Community_Attributes!$A$1:$A$500,0))="","",INDEX(O1_Community_Attributes!$Y$1:$Y$500,MATCH($A87,O1_Community_Attributes!$A$1:$A$500,0))),""))</f>
        <v/>
      </c>
      <c r="Q87" s="8" t="str">
        <f aca="false">IF($A87="","",IFERROR(IF(INDEX(O1_Community_Attributes!$Z$1:$Z$500,MATCH($A87,O1_Community_Attributes!$A$1:$A$500,0))="","",INDEX(O1_Community_Attributes!$Z$1:$Z$500,MATCH($A87,O1_Community_Attributes!$A$1:$A$500,0))),""))</f>
        <v/>
      </c>
      <c r="R87" s="8" t="str">
        <f aca="false">IF($A87="","",IFERROR(IF(INDEX(O1_Community_Attributes!$BK$1:$BK$500,MATCH($A87,O1_Community_Attributes!$A$1:$A$500,0))="","",INDEX(O1_Community_Attributes!$BK$1:$BK$500,MATCH($A87,O1_Community_Attributes!$A$1:$A$500,0))),""))</f>
        <v/>
      </c>
      <c r="S87" s="8" t="str">
        <f aca="false">IF(OR($C87="",$M87=""),"",$M87/$C87)</f>
        <v/>
      </c>
      <c r="T87" s="8" t="str">
        <f aca="false">IF($C87="","",IF(AND($M87="",$P87=""),"",IF($M87="","B",IF(ABS($S87-1)&lt;=0.3,"A",IF(OR($S87&gt;2,$S87&lt;0.5),"C","B")))))</f>
        <v/>
      </c>
    </row>
    <row r="88" customFormat="false" ht="15" hidden="false" customHeight="true" outlineLevel="0" collapsed="false">
      <c r="H88" s="8" t="str">
        <f aca="false">IF(C88="","",IF(C88&lt;1,"yes","no"))</f>
        <v/>
      </c>
      <c r="I88" s="8" t="str">
        <f aca="false">IF(C88="","",IF(C88&lt;2.6,"r75",IF(C88&lt;5.2,"r110",IF(C88&lt;9.9,"r150",IF(C88&lt;19.8,"r210","r300")))))</f>
        <v/>
      </c>
      <c r="M88" s="8" t="str">
        <f aca="false">IF($A88="","",IFERROR(IF(INDEX(O1_Community_Attributes!$V$1:$V$500,MATCH($A88,O1_Community_Attributes!$A$1:$A$500,0))="","",INDEX(O1_Community_Attributes!$V$1:$V$500,MATCH($A88,O1_Community_Attributes!$A$1:$A$500,0))),""))</f>
        <v/>
      </c>
      <c r="N88" s="8" t="str">
        <f aca="false">IF($A88="","",IFERROR(IF(INDEX(O1_Community_Attributes!$W$1:$W$500,MATCH($A88,O1_Community_Attributes!$A$1:$A$500,0))="","",INDEX(O1_Community_Attributes!$W$1:$W$500,MATCH($A88,O1_Community_Attributes!$A$1:$A$500,0))),""))</f>
        <v/>
      </c>
      <c r="O88" s="8" t="str">
        <f aca="false">IF($A88="","",IFERROR(IF(INDEX(O1_Community_Attributes!$X$1:$X$500,MATCH($A88,O1_Community_Attributes!$A$1:$A$500,0))="","",INDEX(O1_Community_Attributes!$X$1:$X$500,MATCH($A88,O1_Community_Attributes!$A$1:$A$500,0))),""))</f>
        <v/>
      </c>
      <c r="P88" s="8" t="str">
        <f aca="false">IF($A88="","",IFERROR(IF(INDEX(O1_Community_Attributes!$Y$1:$Y$500,MATCH($A88,O1_Community_Attributes!$A$1:$A$500,0))="","",INDEX(O1_Community_Attributes!$Y$1:$Y$500,MATCH($A88,O1_Community_Attributes!$A$1:$A$500,0))),""))</f>
        <v/>
      </c>
      <c r="Q88" s="8" t="str">
        <f aca="false">IF($A88="","",IFERROR(IF(INDEX(O1_Community_Attributes!$Z$1:$Z$500,MATCH($A88,O1_Community_Attributes!$A$1:$A$500,0))="","",INDEX(O1_Community_Attributes!$Z$1:$Z$500,MATCH($A88,O1_Community_Attributes!$A$1:$A$500,0))),""))</f>
        <v/>
      </c>
      <c r="R88" s="8" t="str">
        <f aca="false">IF($A88="","",IFERROR(IF(INDEX(O1_Community_Attributes!$BK$1:$BK$500,MATCH($A88,O1_Community_Attributes!$A$1:$A$500,0))="","",INDEX(O1_Community_Attributes!$BK$1:$BK$500,MATCH($A88,O1_Community_Attributes!$A$1:$A$500,0))),""))</f>
        <v/>
      </c>
      <c r="S88" s="8" t="str">
        <f aca="false">IF(OR($C88="",$M88=""),"",$M88/$C88)</f>
        <v/>
      </c>
      <c r="T88" s="8" t="str">
        <f aca="false">IF($C88="","",IF(AND($M88="",$P88=""),"",IF($M88="","B",IF(ABS($S88-1)&lt;=0.3,"A",IF(OR($S88&gt;2,$S88&lt;0.5),"C","B")))))</f>
        <v/>
      </c>
    </row>
    <row r="89" customFormat="false" ht="15" hidden="false" customHeight="true" outlineLevel="0" collapsed="false">
      <c r="H89" s="8" t="str">
        <f aca="false">IF(C89="","",IF(C89&lt;1,"yes","no"))</f>
        <v/>
      </c>
      <c r="I89" s="8" t="str">
        <f aca="false">IF(C89="","",IF(C89&lt;2.6,"r75",IF(C89&lt;5.2,"r110",IF(C89&lt;9.9,"r150",IF(C89&lt;19.8,"r210","r300")))))</f>
        <v/>
      </c>
      <c r="M89" s="8" t="str">
        <f aca="false">IF($A89="","",IFERROR(IF(INDEX(O1_Community_Attributes!$V$1:$V$500,MATCH($A89,O1_Community_Attributes!$A$1:$A$500,0))="","",INDEX(O1_Community_Attributes!$V$1:$V$500,MATCH($A89,O1_Community_Attributes!$A$1:$A$500,0))),""))</f>
        <v/>
      </c>
      <c r="N89" s="8" t="str">
        <f aca="false">IF($A89="","",IFERROR(IF(INDEX(O1_Community_Attributes!$W$1:$W$500,MATCH($A89,O1_Community_Attributes!$A$1:$A$500,0))="","",INDEX(O1_Community_Attributes!$W$1:$W$500,MATCH($A89,O1_Community_Attributes!$A$1:$A$500,0))),""))</f>
        <v/>
      </c>
      <c r="O89" s="8" t="str">
        <f aca="false">IF($A89="","",IFERROR(IF(INDEX(O1_Community_Attributes!$X$1:$X$500,MATCH($A89,O1_Community_Attributes!$A$1:$A$500,0))="","",INDEX(O1_Community_Attributes!$X$1:$X$500,MATCH($A89,O1_Community_Attributes!$A$1:$A$500,0))),""))</f>
        <v/>
      </c>
      <c r="P89" s="8" t="str">
        <f aca="false">IF($A89="","",IFERROR(IF(INDEX(O1_Community_Attributes!$Y$1:$Y$500,MATCH($A89,O1_Community_Attributes!$A$1:$A$500,0))="","",INDEX(O1_Community_Attributes!$Y$1:$Y$500,MATCH($A89,O1_Community_Attributes!$A$1:$A$500,0))),""))</f>
        <v/>
      </c>
      <c r="Q89" s="8" t="str">
        <f aca="false">IF($A89="","",IFERROR(IF(INDEX(O1_Community_Attributes!$Z$1:$Z$500,MATCH($A89,O1_Community_Attributes!$A$1:$A$500,0))="","",INDEX(O1_Community_Attributes!$Z$1:$Z$500,MATCH($A89,O1_Community_Attributes!$A$1:$A$500,0))),""))</f>
        <v/>
      </c>
      <c r="R89" s="8" t="str">
        <f aca="false">IF($A89="","",IFERROR(IF(INDEX(O1_Community_Attributes!$BK$1:$BK$500,MATCH($A89,O1_Community_Attributes!$A$1:$A$500,0))="","",INDEX(O1_Community_Attributes!$BK$1:$BK$500,MATCH($A89,O1_Community_Attributes!$A$1:$A$500,0))),""))</f>
        <v/>
      </c>
      <c r="S89" s="8" t="str">
        <f aca="false">IF(OR($C89="",$M89=""),"",$M89/$C89)</f>
        <v/>
      </c>
      <c r="T89" s="8" t="str">
        <f aca="false">IF($C89="","",IF(AND($M89="",$P89=""),"",IF($M89="","B",IF(ABS($S89-1)&lt;=0.3,"A",IF(OR($S89&gt;2,$S89&lt;0.5),"C","B")))))</f>
        <v/>
      </c>
    </row>
    <row r="90" customFormat="false" ht="15" hidden="false" customHeight="true" outlineLevel="0" collapsed="false">
      <c r="H90" s="8" t="str">
        <f aca="false">IF(C90="","",IF(C90&lt;1,"yes","no"))</f>
        <v/>
      </c>
      <c r="I90" s="8" t="str">
        <f aca="false">IF(C90="","",IF(C90&lt;2.6,"r75",IF(C90&lt;5.2,"r110",IF(C90&lt;9.9,"r150",IF(C90&lt;19.8,"r210","r300")))))</f>
        <v/>
      </c>
      <c r="M90" s="8" t="str">
        <f aca="false">IF($A90="","",IFERROR(IF(INDEX(O1_Community_Attributes!$V$1:$V$500,MATCH($A90,O1_Community_Attributes!$A$1:$A$500,0))="","",INDEX(O1_Community_Attributes!$V$1:$V$500,MATCH($A90,O1_Community_Attributes!$A$1:$A$500,0))),""))</f>
        <v/>
      </c>
      <c r="N90" s="8" t="str">
        <f aca="false">IF($A90="","",IFERROR(IF(INDEX(O1_Community_Attributes!$W$1:$W$500,MATCH($A90,O1_Community_Attributes!$A$1:$A$500,0))="","",INDEX(O1_Community_Attributes!$W$1:$W$500,MATCH($A90,O1_Community_Attributes!$A$1:$A$500,0))),""))</f>
        <v/>
      </c>
      <c r="O90" s="8" t="str">
        <f aca="false">IF($A90="","",IFERROR(IF(INDEX(O1_Community_Attributes!$X$1:$X$500,MATCH($A90,O1_Community_Attributes!$A$1:$A$500,0))="","",INDEX(O1_Community_Attributes!$X$1:$X$500,MATCH($A90,O1_Community_Attributes!$A$1:$A$500,0))),""))</f>
        <v/>
      </c>
      <c r="P90" s="8" t="str">
        <f aca="false">IF($A90="","",IFERROR(IF(INDEX(O1_Community_Attributes!$Y$1:$Y$500,MATCH($A90,O1_Community_Attributes!$A$1:$A$500,0))="","",INDEX(O1_Community_Attributes!$Y$1:$Y$500,MATCH($A90,O1_Community_Attributes!$A$1:$A$500,0))),""))</f>
        <v/>
      </c>
      <c r="Q90" s="8" t="str">
        <f aca="false">IF($A90="","",IFERROR(IF(INDEX(O1_Community_Attributes!$Z$1:$Z$500,MATCH($A90,O1_Community_Attributes!$A$1:$A$500,0))="","",INDEX(O1_Community_Attributes!$Z$1:$Z$500,MATCH($A90,O1_Community_Attributes!$A$1:$A$500,0))),""))</f>
        <v/>
      </c>
      <c r="R90" s="8" t="str">
        <f aca="false">IF($A90="","",IFERROR(IF(INDEX(O1_Community_Attributes!$BK$1:$BK$500,MATCH($A90,O1_Community_Attributes!$A$1:$A$500,0))="","",INDEX(O1_Community_Attributes!$BK$1:$BK$500,MATCH($A90,O1_Community_Attributes!$A$1:$A$500,0))),""))</f>
        <v/>
      </c>
      <c r="S90" s="8" t="str">
        <f aca="false">IF(OR($C90="",$M90=""),"",$M90/$C90)</f>
        <v/>
      </c>
      <c r="T90" s="8" t="str">
        <f aca="false">IF($C90="","",IF(AND($M90="",$P90=""),"",IF($M90="","B",IF(ABS($S90-1)&lt;=0.3,"A",IF(OR($S90&gt;2,$S90&lt;0.5),"C","B")))))</f>
        <v/>
      </c>
    </row>
    <row r="91" customFormat="false" ht="15" hidden="false" customHeight="true" outlineLevel="0" collapsed="false">
      <c r="H91" s="8" t="str">
        <f aca="false">IF(C91="","",IF(C91&lt;1,"yes","no"))</f>
        <v/>
      </c>
      <c r="I91" s="8" t="str">
        <f aca="false">IF(C91="","",IF(C91&lt;2.6,"r75",IF(C91&lt;5.2,"r110",IF(C91&lt;9.9,"r150",IF(C91&lt;19.8,"r210","r300")))))</f>
        <v/>
      </c>
      <c r="M91" s="8" t="str">
        <f aca="false">IF($A91="","",IFERROR(IF(INDEX(O1_Community_Attributes!$V$1:$V$500,MATCH($A91,O1_Community_Attributes!$A$1:$A$500,0))="","",INDEX(O1_Community_Attributes!$V$1:$V$500,MATCH($A91,O1_Community_Attributes!$A$1:$A$500,0))),""))</f>
        <v/>
      </c>
      <c r="N91" s="8" t="str">
        <f aca="false">IF($A91="","",IFERROR(IF(INDEX(O1_Community_Attributes!$W$1:$W$500,MATCH($A91,O1_Community_Attributes!$A$1:$A$500,0))="","",INDEX(O1_Community_Attributes!$W$1:$W$500,MATCH($A91,O1_Community_Attributes!$A$1:$A$500,0))),""))</f>
        <v/>
      </c>
      <c r="O91" s="8" t="str">
        <f aca="false">IF($A91="","",IFERROR(IF(INDEX(O1_Community_Attributes!$X$1:$X$500,MATCH($A91,O1_Community_Attributes!$A$1:$A$500,0))="","",INDEX(O1_Community_Attributes!$X$1:$X$500,MATCH($A91,O1_Community_Attributes!$A$1:$A$500,0))),""))</f>
        <v/>
      </c>
      <c r="P91" s="8" t="str">
        <f aca="false">IF($A91="","",IFERROR(IF(INDEX(O1_Community_Attributes!$Y$1:$Y$500,MATCH($A91,O1_Community_Attributes!$A$1:$A$500,0))="","",INDEX(O1_Community_Attributes!$Y$1:$Y$500,MATCH($A91,O1_Community_Attributes!$A$1:$A$500,0))),""))</f>
        <v/>
      </c>
      <c r="Q91" s="8" t="str">
        <f aca="false">IF($A91="","",IFERROR(IF(INDEX(O1_Community_Attributes!$Z$1:$Z$500,MATCH($A91,O1_Community_Attributes!$A$1:$A$500,0))="","",INDEX(O1_Community_Attributes!$Z$1:$Z$500,MATCH($A91,O1_Community_Attributes!$A$1:$A$500,0))),""))</f>
        <v/>
      </c>
      <c r="R91" s="8" t="str">
        <f aca="false">IF($A91="","",IFERROR(IF(INDEX(O1_Community_Attributes!$BK$1:$BK$500,MATCH($A91,O1_Community_Attributes!$A$1:$A$500,0))="","",INDEX(O1_Community_Attributes!$BK$1:$BK$500,MATCH($A91,O1_Community_Attributes!$A$1:$A$500,0))),""))</f>
        <v/>
      </c>
      <c r="S91" s="8" t="str">
        <f aca="false">IF(OR($C91="",$M91=""),"",$M91/$C91)</f>
        <v/>
      </c>
      <c r="T91" s="8" t="str">
        <f aca="false">IF($C91="","",IF(AND($M91="",$P91=""),"",IF($M91="","B",IF(ABS($S91-1)&lt;=0.3,"A",IF(OR($S91&gt;2,$S91&lt;0.5),"C","B")))))</f>
        <v/>
      </c>
    </row>
    <row r="92" customFormat="false" ht="15" hidden="false" customHeight="true" outlineLevel="0" collapsed="false">
      <c r="H92" s="8" t="str">
        <f aca="false">IF(C92="","",IF(C92&lt;1,"yes","no"))</f>
        <v/>
      </c>
      <c r="I92" s="8" t="str">
        <f aca="false">IF(C92="","",IF(C92&lt;2.6,"r75",IF(C92&lt;5.2,"r110",IF(C92&lt;9.9,"r150",IF(C92&lt;19.8,"r210","r300")))))</f>
        <v/>
      </c>
      <c r="M92" s="8" t="str">
        <f aca="false">IF($A92="","",IFERROR(IF(INDEX(O1_Community_Attributes!$V$1:$V$500,MATCH($A92,O1_Community_Attributes!$A$1:$A$500,0))="","",INDEX(O1_Community_Attributes!$V$1:$V$500,MATCH($A92,O1_Community_Attributes!$A$1:$A$500,0))),""))</f>
        <v/>
      </c>
      <c r="N92" s="8" t="str">
        <f aca="false">IF($A92="","",IFERROR(IF(INDEX(O1_Community_Attributes!$W$1:$W$500,MATCH($A92,O1_Community_Attributes!$A$1:$A$500,0))="","",INDEX(O1_Community_Attributes!$W$1:$W$500,MATCH($A92,O1_Community_Attributes!$A$1:$A$500,0))),""))</f>
        <v/>
      </c>
      <c r="O92" s="8" t="str">
        <f aca="false">IF($A92="","",IFERROR(IF(INDEX(O1_Community_Attributes!$X$1:$X$500,MATCH($A92,O1_Community_Attributes!$A$1:$A$500,0))="","",INDEX(O1_Community_Attributes!$X$1:$X$500,MATCH($A92,O1_Community_Attributes!$A$1:$A$500,0))),""))</f>
        <v/>
      </c>
      <c r="P92" s="8" t="str">
        <f aca="false">IF($A92="","",IFERROR(IF(INDEX(O1_Community_Attributes!$Y$1:$Y$500,MATCH($A92,O1_Community_Attributes!$A$1:$A$500,0))="","",INDEX(O1_Community_Attributes!$Y$1:$Y$500,MATCH($A92,O1_Community_Attributes!$A$1:$A$500,0))),""))</f>
        <v/>
      </c>
      <c r="Q92" s="8" t="str">
        <f aca="false">IF($A92="","",IFERROR(IF(INDEX(O1_Community_Attributes!$Z$1:$Z$500,MATCH($A92,O1_Community_Attributes!$A$1:$A$500,0))="","",INDEX(O1_Community_Attributes!$Z$1:$Z$500,MATCH($A92,O1_Community_Attributes!$A$1:$A$500,0))),""))</f>
        <v/>
      </c>
      <c r="R92" s="8" t="str">
        <f aca="false">IF($A92="","",IFERROR(IF(INDEX(O1_Community_Attributes!$BK$1:$BK$500,MATCH($A92,O1_Community_Attributes!$A$1:$A$500,0))="","",INDEX(O1_Community_Attributes!$BK$1:$BK$500,MATCH($A92,O1_Community_Attributes!$A$1:$A$500,0))),""))</f>
        <v/>
      </c>
      <c r="S92" s="8" t="str">
        <f aca="false">IF(OR($C92="",$M92=""),"",$M92/$C92)</f>
        <v/>
      </c>
      <c r="T92" s="8" t="str">
        <f aca="false">IF($C92="","",IF(AND($M92="",$P92=""),"",IF($M92="","B",IF(ABS($S92-1)&lt;=0.3,"A",IF(OR($S92&gt;2,$S92&lt;0.5),"C","B")))))</f>
        <v/>
      </c>
    </row>
    <row r="93" customFormat="false" ht="15" hidden="false" customHeight="true" outlineLevel="0" collapsed="false">
      <c r="H93" s="8" t="str">
        <f aca="false">IF(C93="","",IF(C93&lt;1,"yes","no"))</f>
        <v/>
      </c>
      <c r="I93" s="8" t="str">
        <f aca="false">IF(C93="","",IF(C93&lt;2.6,"r75",IF(C93&lt;5.2,"r110",IF(C93&lt;9.9,"r150",IF(C93&lt;19.8,"r210","r300")))))</f>
        <v/>
      </c>
      <c r="M93" s="8" t="str">
        <f aca="false">IF($A93="","",IFERROR(IF(INDEX(O1_Community_Attributes!$V$1:$V$500,MATCH($A93,O1_Community_Attributes!$A$1:$A$500,0))="","",INDEX(O1_Community_Attributes!$V$1:$V$500,MATCH($A93,O1_Community_Attributes!$A$1:$A$500,0))),""))</f>
        <v/>
      </c>
      <c r="N93" s="8" t="str">
        <f aca="false">IF($A93="","",IFERROR(IF(INDEX(O1_Community_Attributes!$W$1:$W$500,MATCH($A93,O1_Community_Attributes!$A$1:$A$500,0))="","",INDEX(O1_Community_Attributes!$W$1:$W$500,MATCH($A93,O1_Community_Attributes!$A$1:$A$500,0))),""))</f>
        <v/>
      </c>
      <c r="O93" s="8" t="str">
        <f aca="false">IF($A93="","",IFERROR(IF(INDEX(O1_Community_Attributes!$X$1:$X$500,MATCH($A93,O1_Community_Attributes!$A$1:$A$500,0))="","",INDEX(O1_Community_Attributes!$X$1:$X$500,MATCH($A93,O1_Community_Attributes!$A$1:$A$500,0))),""))</f>
        <v/>
      </c>
      <c r="P93" s="8" t="str">
        <f aca="false">IF($A93="","",IFERROR(IF(INDEX(O1_Community_Attributes!$Y$1:$Y$500,MATCH($A93,O1_Community_Attributes!$A$1:$A$500,0))="","",INDEX(O1_Community_Attributes!$Y$1:$Y$500,MATCH($A93,O1_Community_Attributes!$A$1:$A$500,0))),""))</f>
        <v/>
      </c>
      <c r="Q93" s="8" t="str">
        <f aca="false">IF($A93="","",IFERROR(IF(INDEX(O1_Community_Attributes!$Z$1:$Z$500,MATCH($A93,O1_Community_Attributes!$A$1:$A$500,0))="","",INDEX(O1_Community_Attributes!$Z$1:$Z$500,MATCH($A93,O1_Community_Attributes!$A$1:$A$500,0))),""))</f>
        <v/>
      </c>
      <c r="R93" s="8" t="str">
        <f aca="false">IF($A93="","",IFERROR(IF(INDEX(O1_Community_Attributes!$BK$1:$BK$500,MATCH($A93,O1_Community_Attributes!$A$1:$A$500,0))="","",INDEX(O1_Community_Attributes!$BK$1:$BK$500,MATCH($A93,O1_Community_Attributes!$A$1:$A$500,0))),""))</f>
        <v/>
      </c>
      <c r="S93" s="8" t="str">
        <f aca="false">IF(OR($C93="",$M93=""),"",$M93/$C93)</f>
        <v/>
      </c>
      <c r="T93" s="8" t="str">
        <f aca="false">IF($C93="","",IF(AND($M93="",$P93=""),"",IF($M93="","B",IF(ABS($S93-1)&lt;=0.3,"A",IF(OR($S93&gt;2,$S93&lt;0.5),"C","B")))))</f>
        <v/>
      </c>
    </row>
    <row r="94" customFormat="false" ht="15" hidden="false" customHeight="true" outlineLevel="0" collapsed="false">
      <c r="H94" s="8" t="str">
        <f aca="false">IF(C94="","",IF(C94&lt;1,"yes","no"))</f>
        <v/>
      </c>
      <c r="I94" s="8" t="str">
        <f aca="false">IF(C94="","",IF(C94&lt;2.6,"r75",IF(C94&lt;5.2,"r110",IF(C94&lt;9.9,"r150",IF(C94&lt;19.8,"r210","r300")))))</f>
        <v/>
      </c>
      <c r="M94" s="8" t="str">
        <f aca="false">IF($A94="","",IFERROR(IF(INDEX(O1_Community_Attributes!$V$1:$V$500,MATCH($A94,O1_Community_Attributes!$A$1:$A$500,0))="","",INDEX(O1_Community_Attributes!$V$1:$V$500,MATCH($A94,O1_Community_Attributes!$A$1:$A$500,0))),""))</f>
        <v/>
      </c>
      <c r="N94" s="8" t="str">
        <f aca="false">IF($A94="","",IFERROR(IF(INDEX(O1_Community_Attributes!$W$1:$W$500,MATCH($A94,O1_Community_Attributes!$A$1:$A$500,0))="","",INDEX(O1_Community_Attributes!$W$1:$W$500,MATCH($A94,O1_Community_Attributes!$A$1:$A$500,0))),""))</f>
        <v/>
      </c>
      <c r="O94" s="8" t="str">
        <f aca="false">IF($A94="","",IFERROR(IF(INDEX(O1_Community_Attributes!$X$1:$X$500,MATCH($A94,O1_Community_Attributes!$A$1:$A$500,0))="","",INDEX(O1_Community_Attributes!$X$1:$X$500,MATCH($A94,O1_Community_Attributes!$A$1:$A$500,0))),""))</f>
        <v/>
      </c>
      <c r="P94" s="8" t="str">
        <f aca="false">IF($A94="","",IFERROR(IF(INDEX(O1_Community_Attributes!$Y$1:$Y$500,MATCH($A94,O1_Community_Attributes!$A$1:$A$500,0))="","",INDEX(O1_Community_Attributes!$Y$1:$Y$500,MATCH($A94,O1_Community_Attributes!$A$1:$A$500,0))),""))</f>
        <v/>
      </c>
      <c r="Q94" s="8" t="str">
        <f aca="false">IF($A94="","",IFERROR(IF(INDEX(O1_Community_Attributes!$Z$1:$Z$500,MATCH($A94,O1_Community_Attributes!$A$1:$A$500,0))="","",INDEX(O1_Community_Attributes!$Z$1:$Z$500,MATCH($A94,O1_Community_Attributes!$A$1:$A$500,0))),""))</f>
        <v/>
      </c>
      <c r="R94" s="8" t="str">
        <f aca="false">IF($A94="","",IFERROR(IF(INDEX(O1_Community_Attributes!$BK$1:$BK$500,MATCH($A94,O1_Community_Attributes!$A$1:$A$500,0))="","",INDEX(O1_Community_Attributes!$BK$1:$BK$500,MATCH($A94,O1_Community_Attributes!$A$1:$A$500,0))),""))</f>
        <v/>
      </c>
      <c r="S94" s="8" t="str">
        <f aca="false">IF(OR($C94="",$M94=""),"",$M94/$C94)</f>
        <v/>
      </c>
      <c r="T94" s="8" t="str">
        <f aca="false">IF($C94="","",IF(AND($M94="",$P94=""),"",IF($M94="","B",IF(ABS($S94-1)&lt;=0.3,"A",IF(OR($S94&gt;2,$S94&lt;0.5),"C","B")))))</f>
        <v/>
      </c>
    </row>
    <row r="95" customFormat="false" ht="15" hidden="false" customHeight="true" outlineLevel="0" collapsed="false">
      <c r="H95" s="8" t="str">
        <f aca="false">IF(C95="","",IF(C95&lt;1,"yes","no"))</f>
        <v/>
      </c>
      <c r="I95" s="8" t="str">
        <f aca="false">IF(C95="","",IF(C95&lt;2.6,"r75",IF(C95&lt;5.2,"r110",IF(C95&lt;9.9,"r150",IF(C95&lt;19.8,"r210","r300")))))</f>
        <v/>
      </c>
      <c r="M95" s="8" t="str">
        <f aca="false">IF($A95="","",IFERROR(IF(INDEX(O1_Community_Attributes!$V$1:$V$500,MATCH($A95,O1_Community_Attributes!$A$1:$A$500,0))="","",INDEX(O1_Community_Attributes!$V$1:$V$500,MATCH($A95,O1_Community_Attributes!$A$1:$A$500,0))),""))</f>
        <v/>
      </c>
      <c r="N95" s="8" t="str">
        <f aca="false">IF($A95="","",IFERROR(IF(INDEX(O1_Community_Attributes!$W$1:$W$500,MATCH($A95,O1_Community_Attributes!$A$1:$A$500,0))="","",INDEX(O1_Community_Attributes!$W$1:$W$500,MATCH($A95,O1_Community_Attributes!$A$1:$A$500,0))),""))</f>
        <v/>
      </c>
      <c r="O95" s="8" t="str">
        <f aca="false">IF($A95="","",IFERROR(IF(INDEX(O1_Community_Attributes!$X$1:$X$500,MATCH($A95,O1_Community_Attributes!$A$1:$A$500,0))="","",INDEX(O1_Community_Attributes!$X$1:$X$500,MATCH($A95,O1_Community_Attributes!$A$1:$A$500,0))),""))</f>
        <v/>
      </c>
      <c r="P95" s="8" t="str">
        <f aca="false">IF($A95="","",IFERROR(IF(INDEX(O1_Community_Attributes!$Y$1:$Y$500,MATCH($A95,O1_Community_Attributes!$A$1:$A$500,0))="","",INDEX(O1_Community_Attributes!$Y$1:$Y$500,MATCH($A95,O1_Community_Attributes!$A$1:$A$500,0))),""))</f>
        <v/>
      </c>
      <c r="Q95" s="8" t="str">
        <f aca="false">IF($A95="","",IFERROR(IF(INDEX(O1_Community_Attributes!$Z$1:$Z$500,MATCH($A95,O1_Community_Attributes!$A$1:$A$500,0))="","",INDEX(O1_Community_Attributes!$Z$1:$Z$500,MATCH($A95,O1_Community_Attributes!$A$1:$A$500,0))),""))</f>
        <v/>
      </c>
      <c r="R95" s="8" t="str">
        <f aca="false">IF($A95="","",IFERROR(IF(INDEX(O1_Community_Attributes!$BK$1:$BK$500,MATCH($A95,O1_Community_Attributes!$A$1:$A$500,0))="","",INDEX(O1_Community_Attributes!$BK$1:$BK$500,MATCH($A95,O1_Community_Attributes!$A$1:$A$500,0))),""))</f>
        <v/>
      </c>
      <c r="S95" s="8" t="str">
        <f aca="false">IF(OR($C95="",$M95=""),"",$M95/$C95)</f>
        <v/>
      </c>
      <c r="T95" s="8" t="str">
        <f aca="false">IF($C95="","",IF(AND($M95="",$P95=""),"",IF($M95="","B",IF(ABS($S95-1)&lt;=0.3,"A",IF(OR($S95&gt;2,$S95&lt;0.5),"C","B")))))</f>
        <v/>
      </c>
    </row>
    <row r="96" customFormat="false" ht="15" hidden="false" customHeight="true" outlineLevel="0" collapsed="false">
      <c r="H96" s="8" t="str">
        <f aca="false">IF(C96="","",IF(C96&lt;1,"yes","no"))</f>
        <v/>
      </c>
      <c r="I96" s="8" t="str">
        <f aca="false">IF(C96="","",IF(C96&lt;2.6,"r75",IF(C96&lt;5.2,"r110",IF(C96&lt;9.9,"r150",IF(C96&lt;19.8,"r210","r300")))))</f>
        <v/>
      </c>
      <c r="M96" s="8" t="str">
        <f aca="false">IF($A96="","",IFERROR(IF(INDEX(O1_Community_Attributes!$V$1:$V$500,MATCH($A96,O1_Community_Attributes!$A$1:$A$500,0))="","",INDEX(O1_Community_Attributes!$V$1:$V$500,MATCH($A96,O1_Community_Attributes!$A$1:$A$500,0))),""))</f>
        <v/>
      </c>
      <c r="N96" s="8" t="str">
        <f aca="false">IF($A96="","",IFERROR(IF(INDEX(O1_Community_Attributes!$W$1:$W$500,MATCH($A96,O1_Community_Attributes!$A$1:$A$500,0))="","",INDEX(O1_Community_Attributes!$W$1:$W$500,MATCH($A96,O1_Community_Attributes!$A$1:$A$500,0))),""))</f>
        <v/>
      </c>
      <c r="O96" s="8" t="str">
        <f aca="false">IF($A96="","",IFERROR(IF(INDEX(O1_Community_Attributes!$X$1:$X$500,MATCH($A96,O1_Community_Attributes!$A$1:$A$500,0))="","",INDEX(O1_Community_Attributes!$X$1:$X$500,MATCH($A96,O1_Community_Attributes!$A$1:$A$500,0))),""))</f>
        <v/>
      </c>
      <c r="P96" s="8" t="str">
        <f aca="false">IF($A96="","",IFERROR(IF(INDEX(O1_Community_Attributes!$Y$1:$Y$500,MATCH($A96,O1_Community_Attributes!$A$1:$A$500,0))="","",INDEX(O1_Community_Attributes!$Y$1:$Y$500,MATCH($A96,O1_Community_Attributes!$A$1:$A$500,0))),""))</f>
        <v/>
      </c>
      <c r="Q96" s="8" t="str">
        <f aca="false">IF($A96="","",IFERROR(IF(INDEX(O1_Community_Attributes!$Z$1:$Z$500,MATCH($A96,O1_Community_Attributes!$A$1:$A$500,0))="","",INDEX(O1_Community_Attributes!$Z$1:$Z$500,MATCH($A96,O1_Community_Attributes!$A$1:$A$500,0))),""))</f>
        <v/>
      </c>
      <c r="R96" s="8" t="str">
        <f aca="false">IF($A96="","",IFERROR(IF(INDEX(O1_Community_Attributes!$BK$1:$BK$500,MATCH($A96,O1_Community_Attributes!$A$1:$A$500,0))="","",INDEX(O1_Community_Attributes!$BK$1:$BK$500,MATCH($A96,O1_Community_Attributes!$A$1:$A$500,0))),""))</f>
        <v/>
      </c>
      <c r="S96" s="8" t="str">
        <f aca="false">IF(OR($C96="",$M96=""),"",$M96/$C96)</f>
        <v/>
      </c>
      <c r="T96" s="8" t="str">
        <f aca="false">IF($C96="","",IF(AND($M96="",$P96=""),"",IF($M96="","B",IF(ABS($S96-1)&lt;=0.3,"A",IF(OR($S96&gt;2,$S96&lt;0.5),"C","B")))))</f>
        <v/>
      </c>
    </row>
    <row r="97" customFormat="false" ht="15" hidden="false" customHeight="true" outlineLevel="0" collapsed="false">
      <c r="H97" s="8" t="str">
        <f aca="false">IF(C97="","",IF(C97&lt;1,"yes","no"))</f>
        <v/>
      </c>
      <c r="I97" s="8" t="str">
        <f aca="false">IF(C97="","",IF(C97&lt;2.6,"r75",IF(C97&lt;5.2,"r110",IF(C97&lt;9.9,"r150",IF(C97&lt;19.8,"r210","r300")))))</f>
        <v/>
      </c>
      <c r="M97" s="8" t="str">
        <f aca="false">IF($A97="","",IFERROR(IF(INDEX(O1_Community_Attributes!$V$1:$V$500,MATCH($A97,O1_Community_Attributes!$A$1:$A$500,0))="","",INDEX(O1_Community_Attributes!$V$1:$V$500,MATCH($A97,O1_Community_Attributes!$A$1:$A$500,0))),""))</f>
        <v/>
      </c>
      <c r="N97" s="8" t="str">
        <f aca="false">IF($A97="","",IFERROR(IF(INDEX(O1_Community_Attributes!$W$1:$W$500,MATCH($A97,O1_Community_Attributes!$A$1:$A$500,0))="","",INDEX(O1_Community_Attributes!$W$1:$W$500,MATCH($A97,O1_Community_Attributes!$A$1:$A$500,0))),""))</f>
        <v/>
      </c>
      <c r="O97" s="8" t="str">
        <f aca="false">IF($A97="","",IFERROR(IF(INDEX(O1_Community_Attributes!$X$1:$X$500,MATCH($A97,O1_Community_Attributes!$A$1:$A$500,0))="","",INDEX(O1_Community_Attributes!$X$1:$X$500,MATCH($A97,O1_Community_Attributes!$A$1:$A$500,0))),""))</f>
        <v/>
      </c>
      <c r="P97" s="8" t="str">
        <f aca="false">IF($A97="","",IFERROR(IF(INDEX(O1_Community_Attributes!$Y$1:$Y$500,MATCH($A97,O1_Community_Attributes!$A$1:$A$500,0))="","",INDEX(O1_Community_Attributes!$Y$1:$Y$500,MATCH($A97,O1_Community_Attributes!$A$1:$A$500,0))),""))</f>
        <v/>
      </c>
      <c r="Q97" s="8" t="str">
        <f aca="false">IF($A97="","",IFERROR(IF(INDEX(O1_Community_Attributes!$Z$1:$Z$500,MATCH($A97,O1_Community_Attributes!$A$1:$A$500,0))="","",INDEX(O1_Community_Attributes!$Z$1:$Z$500,MATCH($A97,O1_Community_Attributes!$A$1:$A$500,0))),""))</f>
        <v/>
      </c>
      <c r="R97" s="8" t="str">
        <f aca="false">IF($A97="","",IFERROR(IF(INDEX(O1_Community_Attributes!$BK$1:$BK$500,MATCH($A97,O1_Community_Attributes!$A$1:$A$500,0))="","",INDEX(O1_Community_Attributes!$BK$1:$BK$500,MATCH($A97,O1_Community_Attributes!$A$1:$A$500,0))),""))</f>
        <v/>
      </c>
      <c r="S97" s="8" t="str">
        <f aca="false">IF(OR($C97="",$M97=""),"",$M97/$C97)</f>
        <v/>
      </c>
      <c r="T97" s="8" t="str">
        <f aca="false">IF($C97="","",IF(AND($M97="",$P97=""),"",IF($M97="","B",IF(ABS($S97-1)&lt;=0.3,"A",IF(OR($S97&gt;2,$S97&lt;0.5),"C","B")))))</f>
        <v/>
      </c>
    </row>
    <row r="98" customFormat="false" ht="15" hidden="false" customHeight="true" outlineLevel="0" collapsed="false">
      <c r="H98" s="8" t="str">
        <f aca="false">IF(C98="","",IF(C98&lt;1,"yes","no"))</f>
        <v/>
      </c>
      <c r="I98" s="8" t="str">
        <f aca="false">IF(C98="","",IF(C98&lt;2.6,"r75",IF(C98&lt;5.2,"r110",IF(C98&lt;9.9,"r150",IF(C98&lt;19.8,"r210","r300")))))</f>
        <v/>
      </c>
      <c r="M98" s="8" t="str">
        <f aca="false">IF($A98="","",IFERROR(IF(INDEX(O1_Community_Attributes!$V$1:$V$500,MATCH($A98,O1_Community_Attributes!$A$1:$A$500,0))="","",INDEX(O1_Community_Attributes!$V$1:$V$500,MATCH($A98,O1_Community_Attributes!$A$1:$A$500,0))),""))</f>
        <v/>
      </c>
      <c r="N98" s="8" t="str">
        <f aca="false">IF($A98="","",IFERROR(IF(INDEX(O1_Community_Attributes!$W$1:$W$500,MATCH($A98,O1_Community_Attributes!$A$1:$A$500,0))="","",INDEX(O1_Community_Attributes!$W$1:$W$500,MATCH($A98,O1_Community_Attributes!$A$1:$A$500,0))),""))</f>
        <v/>
      </c>
      <c r="O98" s="8" t="str">
        <f aca="false">IF($A98="","",IFERROR(IF(INDEX(O1_Community_Attributes!$X$1:$X$500,MATCH($A98,O1_Community_Attributes!$A$1:$A$500,0))="","",INDEX(O1_Community_Attributes!$X$1:$X$500,MATCH($A98,O1_Community_Attributes!$A$1:$A$500,0))),""))</f>
        <v/>
      </c>
      <c r="P98" s="8" t="str">
        <f aca="false">IF($A98="","",IFERROR(IF(INDEX(O1_Community_Attributes!$Y$1:$Y$500,MATCH($A98,O1_Community_Attributes!$A$1:$A$500,0))="","",INDEX(O1_Community_Attributes!$Y$1:$Y$500,MATCH($A98,O1_Community_Attributes!$A$1:$A$500,0))),""))</f>
        <v/>
      </c>
      <c r="Q98" s="8" t="str">
        <f aca="false">IF($A98="","",IFERROR(IF(INDEX(O1_Community_Attributes!$Z$1:$Z$500,MATCH($A98,O1_Community_Attributes!$A$1:$A$500,0))="","",INDEX(O1_Community_Attributes!$Z$1:$Z$500,MATCH($A98,O1_Community_Attributes!$A$1:$A$500,0))),""))</f>
        <v/>
      </c>
      <c r="R98" s="8" t="str">
        <f aca="false">IF($A98="","",IFERROR(IF(INDEX(O1_Community_Attributes!$BK$1:$BK$500,MATCH($A98,O1_Community_Attributes!$A$1:$A$500,0))="","",INDEX(O1_Community_Attributes!$BK$1:$BK$500,MATCH($A98,O1_Community_Attributes!$A$1:$A$500,0))),""))</f>
        <v/>
      </c>
      <c r="S98" s="8" t="str">
        <f aca="false">IF(OR($C98="",$M98=""),"",$M98/$C98)</f>
        <v/>
      </c>
      <c r="T98" s="8" t="str">
        <f aca="false">IF($C98="","",IF(AND($M98="",$P98=""),"",IF($M98="","B",IF(ABS($S98-1)&lt;=0.3,"A",IF(OR($S98&gt;2,$S98&lt;0.5),"C","B")))))</f>
        <v/>
      </c>
    </row>
    <row r="99" customFormat="false" ht="15" hidden="false" customHeight="true" outlineLevel="0" collapsed="false">
      <c r="H99" s="8" t="str">
        <f aca="false">IF(C99="","",IF(C99&lt;1,"yes","no"))</f>
        <v/>
      </c>
      <c r="I99" s="8" t="str">
        <f aca="false">IF(C99="","",IF(C99&lt;2.6,"r75",IF(C99&lt;5.2,"r110",IF(C99&lt;9.9,"r150",IF(C99&lt;19.8,"r210","r300")))))</f>
        <v/>
      </c>
      <c r="M99" s="8" t="str">
        <f aca="false">IF($A99="","",IFERROR(IF(INDEX(O1_Community_Attributes!$V$1:$V$500,MATCH($A99,O1_Community_Attributes!$A$1:$A$500,0))="","",INDEX(O1_Community_Attributes!$V$1:$V$500,MATCH($A99,O1_Community_Attributes!$A$1:$A$500,0))),""))</f>
        <v/>
      </c>
      <c r="N99" s="8" t="str">
        <f aca="false">IF($A99="","",IFERROR(IF(INDEX(O1_Community_Attributes!$W$1:$W$500,MATCH($A99,O1_Community_Attributes!$A$1:$A$500,0))="","",INDEX(O1_Community_Attributes!$W$1:$W$500,MATCH($A99,O1_Community_Attributes!$A$1:$A$500,0))),""))</f>
        <v/>
      </c>
      <c r="O99" s="8" t="str">
        <f aca="false">IF($A99="","",IFERROR(IF(INDEX(O1_Community_Attributes!$X$1:$X$500,MATCH($A99,O1_Community_Attributes!$A$1:$A$500,0))="","",INDEX(O1_Community_Attributes!$X$1:$X$500,MATCH($A99,O1_Community_Attributes!$A$1:$A$500,0))),""))</f>
        <v/>
      </c>
      <c r="P99" s="8" t="str">
        <f aca="false">IF($A99="","",IFERROR(IF(INDEX(O1_Community_Attributes!$Y$1:$Y$500,MATCH($A99,O1_Community_Attributes!$A$1:$A$500,0))="","",INDEX(O1_Community_Attributes!$Y$1:$Y$500,MATCH($A99,O1_Community_Attributes!$A$1:$A$500,0))),""))</f>
        <v/>
      </c>
      <c r="Q99" s="8" t="str">
        <f aca="false">IF($A99="","",IFERROR(IF(INDEX(O1_Community_Attributes!$Z$1:$Z$500,MATCH($A99,O1_Community_Attributes!$A$1:$A$500,0))="","",INDEX(O1_Community_Attributes!$Z$1:$Z$500,MATCH($A99,O1_Community_Attributes!$A$1:$A$500,0))),""))</f>
        <v/>
      </c>
      <c r="R99" s="8" t="str">
        <f aca="false">IF($A99="","",IFERROR(IF(INDEX(O1_Community_Attributes!$BK$1:$BK$500,MATCH($A99,O1_Community_Attributes!$A$1:$A$500,0))="","",INDEX(O1_Community_Attributes!$BK$1:$BK$500,MATCH($A99,O1_Community_Attributes!$A$1:$A$500,0))),""))</f>
        <v/>
      </c>
      <c r="S99" s="8" t="str">
        <f aca="false">IF(OR($C99="",$M99=""),"",$M99/$C99)</f>
        <v/>
      </c>
      <c r="T99" s="8" t="str">
        <f aca="false">IF($C99="","",IF(AND($M99="",$P99=""),"",IF($M99="","B",IF(ABS($S99-1)&lt;=0.3,"A",IF(OR($S99&gt;2,$S99&lt;0.5),"C","B")))))</f>
        <v/>
      </c>
    </row>
    <row r="100" customFormat="false" ht="15" hidden="false" customHeight="true" outlineLevel="0" collapsed="false">
      <c r="H100" s="8" t="str">
        <f aca="false">IF(C100="","",IF(C100&lt;1,"yes","no"))</f>
        <v/>
      </c>
      <c r="I100" s="8" t="str">
        <f aca="false">IF(C100="","",IF(C100&lt;2.6,"r75",IF(C100&lt;5.2,"r110",IF(C100&lt;9.9,"r150",IF(C100&lt;19.8,"r210","r300")))))</f>
        <v/>
      </c>
      <c r="M100" s="8" t="str">
        <f aca="false">IF($A100="","",IFERROR(IF(INDEX(O1_Community_Attributes!$V$1:$V$500,MATCH($A100,O1_Community_Attributes!$A$1:$A$500,0))="","",INDEX(O1_Community_Attributes!$V$1:$V$500,MATCH($A100,O1_Community_Attributes!$A$1:$A$500,0))),""))</f>
        <v/>
      </c>
      <c r="N100" s="8" t="str">
        <f aca="false">IF($A100="","",IFERROR(IF(INDEX(O1_Community_Attributes!$W$1:$W$500,MATCH($A100,O1_Community_Attributes!$A$1:$A$500,0))="","",INDEX(O1_Community_Attributes!$W$1:$W$500,MATCH($A100,O1_Community_Attributes!$A$1:$A$500,0))),""))</f>
        <v/>
      </c>
      <c r="O100" s="8" t="str">
        <f aca="false">IF($A100="","",IFERROR(IF(INDEX(O1_Community_Attributes!$X$1:$X$500,MATCH($A100,O1_Community_Attributes!$A$1:$A$500,0))="","",INDEX(O1_Community_Attributes!$X$1:$X$500,MATCH($A100,O1_Community_Attributes!$A$1:$A$500,0))),""))</f>
        <v/>
      </c>
      <c r="P100" s="8" t="str">
        <f aca="false">IF($A100="","",IFERROR(IF(INDEX(O1_Community_Attributes!$Y$1:$Y$500,MATCH($A100,O1_Community_Attributes!$A$1:$A$500,0))="","",INDEX(O1_Community_Attributes!$Y$1:$Y$500,MATCH($A100,O1_Community_Attributes!$A$1:$A$500,0))),""))</f>
        <v/>
      </c>
      <c r="Q100" s="8" t="str">
        <f aca="false">IF($A100="","",IFERROR(IF(INDEX(O1_Community_Attributes!$Z$1:$Z$500,MATCH($A100,O1_Community_Attributes!$A$1:$A$500,0))="","",INDEX(O1_Community_Attributes!$Z$1:$Z$500,MATCH($A100,O1_Community_Attributes!$A$1:$A$500,0))),""))</f>
        <v/>
      </c>
      <c r="R100" s="8" t="str">
        <f aca="false">IF($A100="","",IFERROR(IF(INDEX(O1_Community_Attributes!$BK$1:$BK$500,MATCH($A100,O1_Community_Attributes!$A$1:$A$500,0))="","",INDEX(O1_Community_Attributes!$BK$1:$BK$500,MATCH($A100,O1_Community_Attributes!$A$1:$A$500,0))),""))</f>
        <v/>
      </c>
      <c r="S100" s="8" t="str">
        <f aca="false">IF(OR($C100="",$M100=""),"",$M100/$C100)</f>
        <v/>
      </c>
      <c r="T100" s="8" t="str">
        <f aca="false">IF($C100="","",IF(AND($M100="",$P100=""),"",IF($M100="","B",IF(ABS($S100-1)&lt;=0.3,"A",IF(OR($S100&gt;2,$S100&lt;0.5),"C","B")))))</f>
        <v/>
      </c>
    </row>
    <row r="101" customFormat="false" ht="15" hidden="false" customHeight="true" outlineLevel="0" collapsed="false">
      <c r="H101" s="8" t="str">
        <f aca="false">IF(C101="","",IF(C101&lt;1,"yes","no"))</f>
        <v/>
      </c>
      <c r="I101" s="8" t="str">
        <f aca="false">IF(C101="","",IF(C101&lt;2.6,"r75",IF(C101&lt;5.2,"r110",IF(C101&lt;9.9,"r150",IF(C101&lt;19.8,"r210","r300")))))</f>
        <v/>
      </c>
      <c r="M101" s="8" t="str">
        <f aca="false">IF($A101="","",IFERROR(IF(INDEX(O1_Community_Attributes!$V$1:$V$500,MATCH($A101,O1_Community_Attributes!$A$1:$A$500,0))="","",INDEX(O1_Community_Attributes!$V$1:$V$500,MATCH($A101,O1_Community_Attributes!$A$1:$A$500,0))),""))</f>
        <v/>
      </c>
      <c r="N101" s="8" t="str">
        <f aca="false">IF($A101="","",IFERROR(IF(INDEX(O1_Community_Attributes!$W$1:$W$500,MATCH($A101,O1_Community_Attributes!$A$1:$A$500,0))="","",INDEX(O1_Community_Attributes!$W$1:$W$500,MATCH($A101,O1_Community_Attributes!$A$1:$A$500,0))),""))</f>
        <v/>
      </c>
      <c r="O101" s="8" t="str">
        <f aca="false">IF($A101="","",IFERROR(IF(INDEX(O1_Community_Attributes!$X$1:$X$500,MATCH($A101,O1_Community_Attributes!$A$1:$A$500,0))="","",INDEX(O1_Community_Attributes!$X$1:$X$500,MATCH($A101,O1_Community_Attributes!$A$1:$A$500,0))),""))</f>
        <v/>
      </c>
      <c r="P101" s="8" t="str">
        <f aca="false">IF($A101="","",IFERROR(IF(INDEX(O1_Community_Attributes!$Y$1:$Y$500,MATCH($A101,O1_Community_Attributes!$A$1:$A$500,0))="","",INDEX(O1_Community_Attributes!$Y$1:$Y$500,MATCH($A101,O1_Community_Attributes!$A$1:$A$500,0))),""))</f>
        <v/>
      </c>
      <c r="Q101" s="8" t="str">
        <f aca="false">IF($A101="","",IFERROR(IF(INDEX(O1_Community_Attributes!$Z$1:$Z$500,MATCH($A101,O1_Community_Attributes!$A$1:$A$500,0))="","",INDEX(O1_Community_Attributes!$Z$1:$Z$500,MATCH($A101,O1_Community_Attributes!$A$1:$A$500,0))),""))</f>
        <v/>
      </c>
      <c r="R101" s="8" t="str">
        <f aca="false">IF($A101="","",IFERROR(IF(INDEX(O1_Community_Attributes!$BK$1:$BK$500,MATCH($A101,O1_Community_Attributes!$A$1:$A$500,0))="","",INDEX(O1_Community_Attributes!$BK$1:$BK$500,MATCH($A101,O1_Community_Attributes!$A$1:$A$500,0))),""))</f>
        <v/>
      </c>
      <c r="S101" s="8" t="str">
        <f aca="false">IF(OR($C101="",$M101=""),"",$M101/$C101)</f>
        <v/>
      </c>
      <c r="T101" s="8" t="str">
        <f aca="false">IF($C101="","",IF(AND($M101="",$P101=""),"",IF($M101="","B",IF(ABS($S101-1)&lt;=0.3,"A",IF(OR($S101&gt;2,$S101&lt;0.5),"C","B")))))</f>
        <v/>
      </c>
    </row>
    <row r="102" customFormat="false" ht="15" hidden="false" customHeight="true" outlineLevel="0" collapsed="false">
      <c r="H102" s="8" t="str">
        <f aca="false">IF(C102="","",IF(C102&lt;1,"yes","no"))</f>
        <v/>
      </c>
      <c r="I102" s="8" t="str">
        <f aca="false">IF(C102="","",IF(C102&lt;2.6,"r75",IF(C102&lt;5.2,"r110",IF(C102&lt;9.9,"r150",IF(C102&lt;19.8,"r210","r300")))))</f>
        <v/>
      </c>
      <c r="M102" s="8" t="str">
        <f aca="false">IF($A102="","",IFERROR(IF(INDEX(O1_Community_Attributes!$V$1:$V$500,MATCH($A102,O1_Community_Attributes!$A$1:$A$500,0))="","",INDEX(O1_Community_Attributes!$V$1:$V$500,MATCH($A102,O1_Community_Attributes!$A$1:$A$500,0))),""))</f>
        <v/>
      </c>
      <c r="N102" s="8" t="str">
        <f aca="false">IF($A102="","",IFERROR(IF(INDEX(O1_Community_Attributes!$W$1:$W$500,MATCH($A102,O1_Community_Attributes!$A$1:$A$500,0))="","",INDEX(O1_Community_Attributes!$W$1:$W$500,MATCH($A102,O1_Community_Attributes!$A$1:$A$500,0))),""))</f>
        <v/>
      </c>
      <c r="O102" s="8" t="str">
        <f aca="false">IF($A102="","",IFERROR(IF(INDEX(O1_Community_Attributes!$X$1:$X$500,MATCH($A102,O1_Community_Attributes!$A$1:$A$500,0))="","",INDEX(O1_Community_Attributes!$X$1:$X$500,MATCH($A102,O1_Community_Attributes!$A$1:$A$500,0))),""))</f>
        <v/>
      </c>
      <c r="P102" s="8" t="str">
        <f aca="false">IF($A102="","",IFERROR(IF(INDEX(O1_Community_Attributes!$Y$1:$Y$500,MATCH($A102,O1_Community_Attributes!$A$1:$A$500,0))="","",INDEX(O1_Community_Attributes!$Y$1:$Y$500,MATCH($A102,O1_Community_Attributes!$A$1:$A$500,0))),""))</f>
        <v/>
      </c>
      <c r="Q102" s="8" t="str">
        <f aca="false">IF($A102="","",IFERROR(IF(INDEX(O1_Community_Attributes!$Z$1:$Z$500,MATCH($A102,O1_Community_Attributes!$A$1:$A$500,0))="","",INDEX(O1_Community_Attributes!$Z$1:$Z$500,MATCH($A102,O1_Community_Attributes!$A$1:$A$500,0))),""))</f>
        <v/>
      </c>
      <c r="R102" s="8" t="str">
        <f aca="false">IF($A102="","",IFERROR(IF(INDEX(O1_Community_Attributes!$BK$1:$BK$500,MATCH($A102,O1_Community_Attributes!$A$1:$A$500,0))="","",INDEX(O1_Community_Attributes!$BK$1:$BK$500,MATCH($A102,O1_Community_Attributes!$A$1:$A$500,0))),""))</f>
        <v/>
      </c>
      <c r="S102" s="8" t="str">
        <f aca="false">IF(OR($C102="",$M102=""),"",$M102/$C102)</f>
        <v/>
      </c>
      <c r="T102" s="8" t="str">
        <f aca="false">IF($C102="","",IF(AND($M102="",$P102=""),"",IF($M102="","B",IF(ABS($S102-1)&lt;=0.3,"A",IF(OR($S102&gt;2,$S102&lt;0.5),"C","B")))))</f>
        <v/>
      </c>
    </row>
    <row r="103" customFormat="false" ht="15" hidden="false" customHeight="true" outlineLevel="0" collapsed="false">
      <c r="H103" s="8" t="str">
        <f aca="false">IF(C103="","",IF(C103&lt;1,"yes","no"))</f>
        <v/>
      </c>
      <c r="I103" s="8" t="str">
        <f aca="false">IF(C103="","",IF(C103&lt;2.6,"r75",IF(C103&lt;5.2,"r110",IF(C103&lt;9.9,"r150",IF(C103&lt;19.8,"r210","r300")))))</f>
        <v/>
      </c>
      <c r="M103" s="8" t="str">
        <f aca="false">IF($A103="","",IFERROR(IF(INDEX(O1_Community_Attributes!$V$1:$V$500,MATCH($A103,O1_Community_Attributes!$A$1:$A$500,0))="","",INDEX(O1_Community_Attributes!$V$1:$V$500,MATCH($A103,O1_Community_Attributes!$A$1:$A$500,0))),""))</f>
        <v/>
      </c>
      <c r="N103" s="8" t="str">
        <f aca="false">IF($A103="","",IFERROR(IF(INDEX(O1_Community_Attributes!$W$1:$W$500,MATCH($A103,O1_Community_Attributes!$A$1:$A$500,0))="","",INDEX(O1_Community_Attributes!$W$1:$W$500,MATCH($A103,O1_Community_Attributes!$A$1:$A$500,0))),""))</f>
        <v/>
      </c>
      <c r="O103" s="8" t="str">
        <f aca="false">IF($A103="","",IFERROR(IF(INDEX(O1_Community_Attributes!$X$1:$X$500,MATCH($A103,O1_Community_Attributes!$A$1:$A$500,0))="","",INDEX(O1_Community_Attributes!$X$1:$X$500,MATCH($A103,O1_Community_Attributes!$A$1:$A$500,0))),""))</f>
        <v/>
      </c>
      <c r="P103" s="8" t="str">
        <f aca="false">IF($A103="","",IFERROR(IF(INDEX(O1_Community_Attributes!$Y$1:$Y$500,MATCH($A103,O1_Community_Attributes!$A$1:$A$500,0))="","",INDEX(O1_Community_Attributes!$Y$1:$Y$500,MATCH($A103,O1_Community_Attributes!$A$1:$A$500,0))),""))</f>
        <v/>
      </c>
      <c r="Q103" s="8" t="str">
        <f aca="false">IF($A103="","",IFERROR(IF(INDEX(O1_Community_Attributes!$Z$1:$Z$500,MATCH($A103,O1_Community_Attributes!$A$1:$A$500,0))="","",INDEX(O1_Community_Attributes!$Z$1:$Z$500,MATCH($A103,O1_Community_Attributes!$A$1:$A$500,0))),""))</f>
        <v/>
      </c>
      <c r="R103" s="8" t="str">
        <f aca="false">IF($A103="","",IFERROR(IF(INDEX(O1_Community_Attributes!$BK$1:$BK$500,MATCH($A103,O1_Community_Attributes!$A$1:$A$500,0))="","",INDEX(O1_Community_Attributes!$BK$1:$BK$500,MATCH($A103,O1_Community_Attributes!$A$1:$A$500,0))),""))</f>
        <v/>
      </c>
      <c r="S103" s="8" t="str">
        <f aca="false">IF(OR($C103="",$M103=""),"",$M103/$C103)</f>
        <v/>
      </c>
      <c r="T103" s="8" t="str">
        <f aca="false">IF($C103="","",IF(AND($M103="",$P103=""),"",IF($M103="","B",IF(ABS($S103-1)&lt;=0.3,"A",IF(OR($S103&gt;2,$S103&lt;0.5),"C","B")))))</f>
        <v/>
      </c>
    </row>
    <row r="104" customFormat="false" ht="15" hidden="false" customHeight="true" outlineLevel="0" collapsed="false">
      <c r="H104" s="8" t="str">
        <f aca="false">IF(C104="","",IF(C104&lt;1,"yes","no"))</f>
        <v/>
      </c>
      <c r="I104" s="8" t="str">
        <f aca="false">IF(C104="","",IF(C104&lt;2.6,"r75",IF(C104&lt;5.2,"r110",IF(C104&lt;9.9,"r150",IF(C104&lt;19.8,"r210","r300")))))</f>
        <v/>
      </c>
      <c r="M104" s="8" t="str">
        <f aca="false">IF($A104="","",IFERROR(IF(INDEX(O1_Community_Attributes!$V$1:$V$500,MATCH($A104,O1_Community_Attributes!$A$1:$A$500,0))="","",INDEX(O1_Community_Attributes!$V$1:$V$500,MATCH($A104,O1_Community_Attributes!$A$1:$A$500,0))),""))</f>
        <v/>
      </c>
      <c r="N104" s="8" t="str">
        <f aca="false">IF($A104="","",IFERROR(IF(INDEX(O1_Community_Attributes!$W$1:$W$500,MATCH($A104,O1_Community_Attributes!$A$1:$A$500,0))="","",INDEX(O1_Community_Attributes!$W$1:$W$500,MATCH($A104,O1_Community_Attributes!$A$1:$A$500,0))),""))</f>
        <v/>
      </c>
      <c r="O104" s="8" t="str">
        <f aca="false">IF($A104="","",IFERROR(IF(INDEX(O1_Community_Attributes!$X$1:$X$500,MATCH($A104,O1_Community_Attributes!$A$1:$A$500,0))="","",INDEX(O1_Community_Attributes!$X$1:$X$500,MATCH($A104,O1_Community_Attributes!$A$1:$A$500,0))),""))</f>
        <v/>
      </c>
      <c r="P104" s="8" t="str">
        <f aca="false">IF($A104="","",IFERROR(IF(INDEX(O1_Community_Attributes!$Y$1:$Y$500,MATCH($A104,O1_Community_Attributes!$A$1:$A$500,0))="","",INDEX(O1_Community_Attributes!$Y$1:$Y$500,MATCH($A104,O1_Community_Attributes!$A$1:$A$500,0))),""))</f>
        <v/>
      </c>
      <c r="Q104" s="8" t="str">
        <f aca="false">IF($A104="","",IFERROR(IF(INDEX(O1_Community_Attributes!$Z$1:$Z$500,MATCH($A104,O1_Community_Attributes!$A$1:$A$500,0))="","",INDEX(O1_Community_Attributes!$Z$1:$Z$500,MATCH($A104,O1_Community_Attributes!$A$1:$A$500,0))),""))</f>
        <v/>
      </c>
      <c r="R104" s="8" t="str">
        <f aca="false">IF($A104="","",IFERROR(IF(INDEX(O1_Community_Attributes!$BK$1:$BK$500,MATCH($A104,O1_Community_Attributes!$A$1:$A$500,0))="","",INDEX(O1_Community_Attributes!$BK$1:$BK$500,MATCH($A104,O1_Community_Attributes!$A$1:$A$500,0))),""))</f>
        <v/>
      </c>
      <c r="S104" s="8" t="str">
        <f aca="false">IF(OR($C104="",$M104=""),"",$M104/$C104)</f>
        <v/>
      </c>
      <c r="T104" s="8" t="str">
        <f aca="false">IF($C104="","",IF(AND($M104="",$P104=""),"",IF($M104="","B",IF(ABS($S104-1)&lt;=0.3,"A",IF(OR($S104&gt;2,$S104&lt;0.5),"C","B")))))</f>
        <v/>
      </c>
    </row>
    <row r="105" customFormat="false" ht="15" hidden="false" customHeight="true" outlineLevel="0" collapsed="false">
      <c r="H105" s="8" t="str">
        <f aca="false">IF(C105="","",IF(C105&lt;1,"yes","no"))</f>
        <v/>
      </c>
      <c r="I105" s="8" t="str">
        <f aca="false">IF(C105="","",IF(C105&lt;2.6,"r75",IF(C105&lt;5.2,"r110",IF(C105&lt;9.9,"r150",IF(C105&lt;19.8,"r210","r300")))))</f>
        <v/>
      </c>
      <c r="M105" s="8" t="str">
        <f aca="false">IF($A105="","",IFERROR(IF(INDEX(O1_Community_Attributes!$V$1:$V$500,MATCH($A105,O1_Community_Attributes!$A$1:$A$500,0))="","",INDEX(O1_Community_Attributes!$V$1:$V$500,MATCH($A105,O1_Community_Attributes!$A$1:$A$500,0))),""))</f>
        <v/>
      </c>
      <c r="N105" s="8" t="str">
        <f aca="false">IF($A105="","",IFERROR(IF(INDEX(O1_Community_Attributes!$W$1:$W$500,MATCH($A105,O1_Community_Attributes!$A$1:$A$500,0))="","",INDEX(O1_Community_Attributes!$W$1:$W$500,MATCH($A105,O1_Community_Attributes!$A$1:$A$500,0))),""))</f>
        <v/>
      </c>
      <c r="O105" s="8" t="str">
        <f aca="false">IF($A105="","",IFERROR(IF(INDEX(O1_Community_Attributes!$X$1:$X$500,MATCH($A105,O1_Community_Attributes!$A$1:$A$500,0))="","",INDEX(O1_Community_Attributes!$X$1:$X$500,MATCH($A105,O1_Community_Attributes!$A$1:$A$500,0))),""))</f>
        <v/>
      </c>
      <c r="P105" s="8" t="str">
        <f aca="false">IF($A105="","",IFERROR(IF(INDEX(O1_Community_Attributes!$Y$1:$Y$500,MATCH($A105,O1_Community_Attributes!$A$1:$A$500,0))="","",INDEX(O1_Community_Attributes!$Y$1:$Y$500,MATCH($A105,O1_Community_Attributes!$A$1:$A$500,0))),""))</f>
        <v/>
      </c>
      <c r="Q105" s="8" t="str">
        <f aca="false">IF($A105="","",IFERROR(IF(INDEX(O1_Community_Attributes!$Z$1:$Z$500,MATCH($A105,O1_Community_Attributes!$A$1:$A$500,0))="","",INDEX(O1_Community_Attributes!$Z$1:$Z$500,MATCH($A105,O1_Community_Attributes!$A$1:$A$500,0))),""))</f>
        <v/>
      </c>
      <c r="R105" s="8" t="str">
        <f aca="false">IF($A105="","",IFERROR(IF(INDEX(O1_Community_Attributes!$BK$1:$BK$500,MATCH($A105,O1_Community_Attributes!$A$1:$A$500,0))="","",INDEX(O1_Community_Attributes!$BK$1:$BK$500,MATCH($A105,O1_Community_Attributes!$A$1:$A$500,0))),""))</f>
        <v/>
      </c>
      <c r="S105" s="8" t="str">
        <f aca="false">IF(OR($C105="",$M105=""),"",$M105/$C105)</f>
        <v/>
      </c>
      <c r="T105" s="8" t="str">
        <f aca="false">IF($C105="","",IF(AND($M105="",$P105=""),"",IF($M105="","B",IF(ABS($S105-1)&lt;=0.3,"A",IF(OR($S105&gt;2,$S105&lt;0.5),"C","B")))))</f>
        <v/>
      </c>
    </row>
    <row r="106" customFormat="false" ht="15" hidden="false" customHeight="true" outlineLevel="0" collapsed="false">
      <c r="H106" s="8" t="str">
        <f aca="false">IF(C106="","",IF(C106&lt;1,"yes","no"))</f>
        <v/>
      </c>
      <c r="I106" s="8" t="str">
        <f aca="false">IF(C106="","",IF(C106&lt;2.6,"r75",IF(C106&lt;5.2,"r110",IF(C106&lt;9.9,"r150",IF(C106&lt;19.8,"r210","r300")))))</f>
        <v/>
      </c>
      <c r="M106" s="8" t="str">
        <f aca="false">IF($A106="","",IFERROR(IF(INDEX(O1_Community_Attributes!$V$1:$V$500,MATCH($A106,O1_Community_Attributes!$A$1:$A$500,0))="","",INDEX(O1_Community_Attributes!$V$1:$V$500,MATCH($A106,O1_Community_Attributes!$A$1:$A$500,0))),""))</f>
        <v/>
      </c>
      <c r="N106" s="8" t="str">
        <f aca="false">IF($A106="","",IFERROR(IF(INDEX(O1_Community_Attributes!$W$1:$W$500,MATCH($A106,O1_Community_Attributes!$A$1:$A$500,0))="","",INDEX(O1_Community_Attributes!$W$1:$W$500,MATCH($A106,O1_Community_Attributes!$A$1:$A$500,0))),""))</f>
        <v/>
      </c>
      <c r="O106" s="8" t="str">
        <f aca="false">IF($A106="","",IFERROR(IF(INDEX(O1_Community_Attributes!$X$1:$X$500,MATCH($A106,O1_Community_Attributes!$A$1:$A$500,0))="","",INDEX(O1_Community_Attributes!$X$1:$X$500,MATCH($A106,O1_Community_Attributes!$A$1:$A$500,0))),""))</f>
        <v/>
      </c>
      <c r="P106" s="8" t="str">
        <f aca="false">IF($A106="","",IFERROR(IF(INDEX(O1_Community_Attributes!$Y$1:$Y$500,MATCH($A106,O1_Community_Attributes!$A$1:$A$500,0))="","",INDEX(O1_Community_Attributes!$Y$1:$Y$500,MATCH($A106,O1_Community_Attributes!$A$1:$A$500,0))),""))</f>
        <v/>
      </c>
      <c r="Q106" s="8" t="str">
        <f aca="false">IF($A106="","",IFERROR(IF(INDEX(O1_Community_Attributes!$Z$1:$Z$500,MATCH($A106,O1_Community_Attributes!$A$1:$A$500,0))="","",INDEX(O1_Community_Attributes!$Z$1:$Z$500,MATCH($A106,O1_Community_Attributes!$A$1:$A$500,0))),""))</f>
        <v/>
      </c>
      <c r="R106" s="8" t="str">
        <f aca="false">IF($A106="","",IFERROR(IF(INDEX(O1_Community_Attributes!$BK$1:$BK$500,MATCH($A106,O1_Community_Attributes!$A$1:$A$500,0))="","",INDEX(O1_Community_Attributes!$BK$1:$BK$500,MATCH($A106,O1_Community_Attributes!$A$1:$A$500,0))),""))</f>
        <v/>
      </c>
      <c r="S106" s="8" t="str">
        <f aca="false">IF(OR($C106="",$M106=""),"",$M106/$C106)</f>
        <v/>
      </c>
      <c r="T106" s="8" t="str">
        <f aca="false">IF($C106="","",IF(AND($M106="",$P106=""),"",IF($M106="","B",IF(ABS($S106-1)&lt;=0.3,"A",IF(OR($S106&gt;2,$S106&lt;0.5),"C","B")))))</f>
        <v/>
      </c>
    </row>
    <row r="107" customFormat="false" ht="15" hidden="false" customHeight="true" outlineLevel="0" collapsed="false">
      <c r="H107" s="8" t="str">
        <f aca="false">IF(C107="","",IF(C107&lt;1,"yes","no"))</f>
        <v/>
      </c>
      <c r="I107" s="8" t="str">
        <f aca="false">IF(C107="","",IF(C107&lt;2.6,"r75",IF(C107&lt;5.2,"r110",IF(C107&lt;9.9,"r150",IF(C107&lt;19.8,"r210","r300")))))</f>
        <v/>
      </c>
      <c r="M107" s="8" t="str">
        <f aca="false">IF($A107="","",IFERROR(IF(INDEX(O1_Community_Attributes!$V$1:$V$500,MATCH($A107,O1_Community_Attributes!$A$1:$A$500,0))="","",INDEX(O1_Community_Attributes!$V$1:$V$500,MATCH($A107,O1_Community_Attributes!$A$1:$A$500,0))),""))</f>
        <v/>
      </c>
      <c r="N107" s="8" t="str">
        <f aca="false">IF($A107="","",IFERROR(IF(INDEX(O1_Community_Attributes!$W$1:$W$500,MATCH($A107,O1_Community_Attributes!$A$1:$A$500,0))="","",INDEX(O1_Community_Attributes!$W$1:$W$500,MATCH($A107,O1_Community_Attributes!$A$1:$A$500,0))),""))</f>
        <v/>
      </c>
      <c r="O107" s="8" t="str">
        <f aca="false">IF($A107="","",IFERROR(IF(INDEX(O1_Community_Attributes!$X$1:$X$500,MATCH($A107,O1_Community_Attributes!$A$1:$A$500,0))="","",INDEX(O1_Community_Attributes!$X$1:$X$500,MATCH($A107,O1_Community_Attributes!$A$1:$A$500,0))),""))</f>
        <v/>
      </c>
      <c r="P107" s="8" t="str">
        <f aca="false">IF($A107="","",IFERROR(IF(INDEX(O1_Community_Attributes!$Y$1:$Y$500,MATCH($A107,O1_Community_Attributes!$A$1:$A$500,0))="","",INDEX(O1_Community_Attributes!$Y$1:$Y$500,MATCH($A107,O1_Community_Attributes!$A$1:$A$500,0))),""))</f>
        <v/>
      </c>
      <c r="Q107" s="8" t="str">
        <f aca="false">IF($A107="","",IFERROR(IF(INDEX(O1_Community_Attributes!$Z$1:$Z$500,MATCH($A107,O1_Community_Attributes!$A$1:$A$500,0))="","",INDEX(O1_Community_Attributes!$Z$1:$Z$500,MATCH($A107,O1_Community_Attributes!$A$1:$A$500,0))),""))</f>
        <v/>
      </c>
      <c r="R107" s="8" t="str">
        <f aca="false">IF($A107="","",IFERROR(IF(INDEX(O1_Community_Attributes!$BK$1:$BK$500,MATCH($A107,O1_Community_Attributes!$A$1:$A$500,0))="","",INDEX(O1_Community_Attributes!$BK$1:$BK$500,MATCH($A107,O1_Community_Attributes!$A$1:$A$500,0))),""))</f>
        <v/>
      </c>
      <c r="S107" s="8" t="str">
        <f aca="false">IF(OR($C107="",$M107=""),"",$M107/$C107)</f>
        <v/>
      </c>
      <c r="T107" s="8" t="str">
        <f aca="false">IF($C107="","",IF(AND($M107="",$P107=""),"",IF($M107="","B",IF(ABS($S107-1)&lt;=0.3,"A",IF(OR($S107&gt;2,$S107&lt;0.5),"C","B")))))</f>
        <v/>
      </c>
    </row>
    <row r="108" customFormat="false" ht="15" hidden="false" customHeight="true" outlineLevel="0" collapsed="false">
      <c r="H108" s="8" t="str">
        <f aca="false">IF(C108="","",IF(C108&lt;1,"yes","no"))</f>
        <v/>
      </c>
      <c r="I108" s="8" t="str">
        <f aca="false">IF(C108="","",IF(C108&lt;2.6,"r75",IF(C108&lt;5.2,"r110",IF(C108&lt;9.9,"r150",IF(C108&lt;19.8,"r210","r300")))))</f>
        <v/>
      </c>
      <c r="M108" s="8" t="str">
        <f aca="false">IF($A108="","",IFERROR(IF(INDEX(O1_Community_Attributes!$V$1:$V$500,MATCH($A108,O1_Community_Attributes!$A$1:$A$500,0))="","",INDEX(O1_Community_Attributes!$V$1:$V$500,MATCH($A108,O1_Community_Attributes!$A$1:$A$500,0))),""))</f>
        <v/>
      </c>
      <c r="N108" s="8" t="str">
        <f aca="false">IF($A108="","",IFERROR(IF(INDEX(O1_Community_Attributes!$W$1:$W$500,MATCH($A108,O1_Community_Attributes!$A$1:$A$500,0))="","",INDEX(O1_Community_Attributes!$W$1:$W$500,MATCH($A108,O1_Community_Attributes!$A$1:$A$500,0))),""))</f>
        <v/>
      </c>
      <c r="O108" s="8" t="str">
        <f aca="false">IF($A108="","",IFERROR(IF(INDEX(O1_Community_Attributes!$X$1:$X$500,MATCH($A108,O1_Community_Attributes!$A$1:$A$500,0))="","",INDEX(O1_Community_Attributes!$X$1:$X$500,MATCH($A108,O1_Community_Attributes!$A$1:$A$500,0))),""))</f>
        <v/>
      </c>
      <c r="P108" s="8" t="str">
        <f aca="false">IF($A108="","",IFERROR(IF(INDEX(O1_Community_Attributes!$Y$1:$Y$500,MATCH($A108,O1_Community_Attributes!$A$1:$A$500,0))="","",INDEX(O1_Community_Attributes!$Y$1:$Y$500,MATCH($A108,O1_Community_Attributes!$A$1:$A$500,0))),""))</f>
        <v/>
      </c>
      <c r="Q108" s="8" t="str">
        <f aca="false">IF($A108="","",IFERROR(IF(INDEX(O1_Community_Attributes!$Z$1:$Z$500,MATCH($A108,O1_Community_Attributes!$A$1:$A$500,0))="","",INDEX(O1_Community_Attributes!$Z$1:$Z$500,MATCH($A108,O1_Community_Attributes!$A$1:$A$500,0))),""))</f>
        <v/>
      </c>
      <c r="R108" s="8" t="str">
        <f aca="false">IF($A108="","",IFERROR(IF(INDEX(O1_Community_Attributes!$BK$1:$BK$500,MATCH($A108,O1_Community_Attributes!$A$1:$A$500,0))="","",INDEX(O1_Community_Attributes!$BK$1:$BK$500,MATCH($A108,O1_Community_Attributes!$A$1:$A$500,0))),""))</f>
        <v/>
      </c>
      <c r="S108" s="8" t="str">
        <f aca="false">IF(OR($C108="",$M108=""),"",$M108/$C108)</f>
        <v/>
      </c>
      <c r="T108" s="8" t="str">
        <f aca="false">IF($C108="","",IF(AND($M108="",$P108=""),"",IF($M108="","B",IF(ABS($S108-1)&lt;=0.3,"A",IF(OR($S108&gt;2,$S108&lt;0.5),"C","B")))))</f>
        <v/>
      </c>
    </row>
    <row r="109" customFormat="false" ht="15" hidden="false" customHeight="true" outlineLevel="0" collapsed="false">
      <c r="H109" s="8" t="str">
        <f aca="false">IF(C109="","",IF(C109&lt;1,"yes","no"))</f>
        <v/>
      </c>
      <c r="I109" s="8" t="str">
        <f aca="false">IF(C109="","",IF(C109&lt;2.6,"r75",IF(C109&lt;5.2,"r110",IF(C109&lt;9.9,"r150",IF(C109&lt;19.8,"r210","r300")))))</f>
        <v/>
      </c>
      <c r="M109" s="8" t="str">
        <f aca="false">IF($A109="","",IFERROR(IF(INDEX(O1_Community_Attributes!$V$1:$V$500,MATCH($A109,O1_Community_Attributes!$A$1:$A$500,0))="","",INDEX(O1_Community_Attributes!$V$1:$V$500,MATCH($A109,O1_Community_Attributes!$A$1:$A$500,0))),""))</f>
        <v/>
      </c>
      <c r="N109" s="8" t="str">
        <f aca="false">IF($A109="","",IFERROR(IF(INDEX(O1_Community_Attributes!$W$1:$W$500,MATCH($A109,O1_Community_Attributes!$A$1:$A$500,0))="","",INDEX(O1_Community_Attributes!$W$1:$W$500,MATCH($A109,O1_Community_Attributes!$A$1:$A$500,0))),""))</f>
        <v/>
      </c>
      <c r="O109" s="8" t="str">
        <f aca="false">IF($A109="","",IFERROR(IF(INDEX(O1_Community_Attributes!$X$1:$X$500,MATCH($A109,O1_Community_Attributes!$A$1:$A$500,0))="","",INDEX(O1_Community_Attributes!$X$1:$X$500,MATCH($A109,O1_Community_Attributes!$A$1:$A$500,0))),""))</f>
        <v/>
      </c>
      <c r="P109" s="8" t="str">
        <f aca="false">IF($A109="","",IFERROR(IF(INDEX(O1_Community_Attributes!$Y$1:$Y$500,MATCH($A109,O1_Community_Attributes!$A$1:$A$500,0))="","",INDEX(O1_Community_Attributes!$Y$1:$Y$500,MATCH($A109,O1_Community_Attributes!$A$1:$A$500,0))),""))</f>
        <v/>
      </c>
      <c r="Q109" s="8" t="str">
        <f aca="false">IF($A109="","",IFERROR(IF(INDEX(O1_Community_Attributes!$Z$1:$Z$500,MATCH($A109,O1_Community_Attributes!$A$1:$A$500,0))="","",INDEX(O1_Community_Attributes!$Z$1:$Z$500,MATCH($A109,O1_Community_Attributes!$A$1:$A$500,0))),""))</f>
        <v/>
      </c>
      <c r="R109" s="8" t="str">
        <f aca="false">IF($A109="","",IFERROR(IF(INDEX(O1_Community_Attributes!$BK$1:$BK$500,MATCH($A109,O1_Community_Attributes!$A$1:$A$500,0))="","",INDEX(O1_Community_Attributes!$BK$1:$BK$500,MATCH($A109,O1_Community_Attributes!$A$1:$A$500,0))),""))</f>
        <v/>
      </c>
      <c r="S109" s="8" t="str">
        <f aca="false">IF(OR($C109="",$M109=""),"",$M109/$C109)</f>
        <v/>
      </c>
      <c r="T109" s="8" t="str">
        <f aca="false">IF($C109="","",IF(AND($M109="",$P109=""),"",IF($M109="","B",IF(ABS($S109-1)&lt;=0.3,"A",IF(OR($S109&gt;2,$S109&lt;0.5),"C","B")))))</f>
        <v/>
      </c>
    </row>
    <row r="110" customFormat="false" ht="15" hidden="false" customHeight="true" outlineLevel="0" collapsed="false">
      <c r="H110" s="8" t="str">
        <f aca="false">IF(C110="","",IF(C110&lt;1,"yes","no"))</f>
        <v/>
      </c>
      <c r="I110" s="8" t="str">
        <f aca="false">IF(C110="","",IF(C110&lt;2.6,"r75",IF(C110&lt;5.2,"r110",IF(C110&lt;9.9,"r150",IF(C110&lt;19.8,"r210","r300")))))</f>
        <v/>
      </c>
      <c r="M110" s="8" t="str">
        <f aca="false">IF($A110="","",IFERROR(IF(INDEX(O1_Community_Attributes!$V$1:$V$500,MATCH($A110,O1_Community_Attributes!$A$1:$A$500,0))="","",INDEX(O1_Community_Attributes!$V$1:$V$500,MATCH($A110,O1_Community_Attributes!$A$1:$A$500,0))),""))</f>
        <v/>
      </c>
      <c r="N110" s="8" t="str">
        <f aca="false">IF($A110="","",IFERROR(IF(INDEX(O1_Community_Attributes!$W$1:$W$500,MATCH($A110,O1_Community_Attributes!$A$1:$A$500,0))="","",INDEX(O1_Community_Attributes!$W$1:$W$500,MATCH($A110,O1_Community_Attributes!$A$1:$A$500,0))),""))</f>
        <v/>
      </c>
      <c r="O110" s="8" t="str">
        <f aca="false">IF($A110="","",IFERROR(IF(INDEX(O1_Community_Attributes!$X$1:$X$500,MATCH($A110,O1_Community_Attributes!$A$1:$A$500,0))="","",INDEX(O1_Community_Attributes!$X$1:$X$500,MATCH($A110,O1_Community_Attributes!$A$1:$A$500,0))),""))</f>
        <v/>
      </c>
      <c r="P110" s="8" t="str">
        <f aca="false">IF($A110="","",IFERROR(IF(INDEX(O1_Community_Attributes!$Y$1:$Y$500,MATCH($A110,O1_Community_Attributes!$A$1:$A$500,0))="","",INDEX(O1_Community_Attributes!$Y$1:$Y$500,MATCH($A110,O1_Community_Attributes!$A$1:$A$500,0))),""))</f>
        <v/>
      </c>
      <c r="Q110" s="8" t="str">
        <f aca="false">IF($A110="","",IFERROR(IF(INDEX(O1_Community_Attributes!$Z$1:$Z$500,MATCH($A110,O1_Community_Attributes!$A$1:$A$500,0))="","",INDEX(O1_Community_Attributes!$Z$1:$Z$500,MATCH($A110,O1_Community_Attributes!$A$1:$A$500,0))),""))</f>
        <v/>
      </c>
      <c r="R110" s="8" t="str">
        <f aca="false">IF($A110="","",IFERROR(IF(INDEX(O1_Community_Attributes!$BK$1:$BK$500,MATCH($A110,O1_Community_Attributes!$A$1:$A$500,0))="","",INDEX(O1_Community_Attributes!$BK$1:$BK$500,MATCH($A110,O1_Community_Attributes!$A$1:$A$500,0))),""))</f>
        <v/>
      </c>
      <c r="S110" s="8" t="str">
        <f aca="false">IF(OR($C110="",$M110=""),"",$M110/$C110)</f>
        <v/>
      </c>
      <c r="T110" s="8" t="str">
        <f aca="false">IF($C110="","",IF(AND($M110="",$P110=""),"",IF($M110="","B",IF(ABS($S110-1)&lt;=0.3,"A",IF(OR($S110&gt;2,$S110&lt;0.5),"C","B")))))</f>
        <v/>
      </c>
    </row>
    <row r="111" customFormat="false" ht="15" hidden="false" customHeight="true" outlineLevel="0" collapsed="false">
      <c r="H111" s="8" t="str">
        <f aca="false">IF(C111="","",IF(C111&lt;1,"yes","no"))</f>
        <v/>
      </c>
      <c r="I111" s="8" t="str">
        <f aca="false">IF(C111="","",IF(C111&lt;2.6,"r75",IF(C111&lt;5.2,"r110",IF(C111&lt;9.9,"r150",IF(C111&lt;19.8,"r210","r300")))))</f>
        <v/>
      </c>
      <c r="M111" s="8" t="str">
        <f aca="false">IF($A111="","",IFERROR(IF(INDEX(O1_Community_Attributes!$V$1:$V$500,MATCH($A111,O1_Community_Attributes!$A$1:$A$500,0))="","",INDEX(O1_Community_Attributes!$V$1:$V$500,MATCH($A111,O1_Community_Attributes!$A$1:$A$500,0))),""))</f>
        <v/>
      </c>
      <c r="N111" s="8" t="str">
        <f aca="false">IF($A111="","",IFERROR(IF(INDEX(O1_Community_Attributes!$W$1:$W$500,MATCH($A111,O1_Community_Attributes!$A$1:$A$500,0))="","",INDEX(O1_Community_Attributes!$W$1:$W$500,MATCH($A111,O1_Community_Attributes!$A$1:$A$500,0))),""))</f>
        <v/>
      </c>
      <c r="O111" s="8" t="str">
        <f aca="false">IF($A111="","",IFERROR(IF(INDEX(O1_Community_Attributes!$X$1:$X$500,MATCH($A111,O1_Community_Attributes!$A$1:$A$500,0))="","",INDEX(O1_Community_Attributes!$X$1:$X$500,MATCH($A111,O1_Community_Attributes!$A$1:$A$500,0))),""))</f>
        <v/>
      </c>
      <c r="P111" s="8" t="str">
        <f aca="false">IF($A111="","",IFERROR(IF(INDEX(O1_Community_Attributes!$Y$1:$Y$500,MATCH($A111,O1_Community_Attributes!$A$1:$A$500,0))="","",INDEX(O1_Community_Attributes!$Y$1:$Y$500,MATCH($A111,O1_Community_Attributes!$A$1:$A$500,0))),""))</f>
        <v/>
      </c>
      <c r="Q111" s="8" t="str">
        <f aca="false">IF($A111="","",IFERROR(IF(INDEX(O1_Community_Attributes!$Z$1:$Z$500,MATCH($A111,O1_Community_Attributes!$A$1:$A$500,0))="","",INDEX(O1_Community_Attributes!$Z$1:$Z$500,MATCH($A111,O1_Community_Attributes!$A$1:$A$500,0))),""))</f>
        <v/>
      </c>
      <c r="R111" s="8" t="str">
        <f aca="false">IF($A111="","",IFERROR(IF(INDEX(O1_Community_Attributes!$BK$1:$BK$500,MATCH($A111,O1_Community_Attributes!$A$1:$A$500,0))="","",INDEX(O1_Community_Attributes!$BK$1:$BK$500,MATCH($A111,O1_Community_Attributes!$A$1:$A$500,0))),""))</f>
        <v/>
      </c>
      <c r="S111" s="8" t="str">
        <f aca="false">IF(OR($C111="",$M111=""),"",$M111/$C111)</f>
        <v/>
      </c>
      <c r="T111" s="8" t="str">
        <f aca="false">IF($C111="","",IF(AND($M111="",$P111=""),"",IF($M111="","B",IF(ABS($S111-1)&lt;=0.3,"A",IF(OR($S111&gt;2,$S111&lt;0.5),"C","B")))))</f>
        <v/>
      </c>
    </row>
    <row r="112" customFormat="false" ht="15" hidden="false" customHeight="true" outlineLevel="0" collapsed="false">
      <c r="H112" s="8" t="str">
        <f aca="false">IF(C112="","",IF(C112&lt;1,"yes","no"))</f>
        <v/>
      </c>
      <c r="I112" s="8" t="str">
        <f aca="false">IF(C112="","",IF(C112&lt;2.6,"r75",IF(C112&lt;5.2,"r110",IF(C112&lt;9.9,"r150",IF(C112&lt;19.8,"r210","r300")))))</f>
        <v/>
      </c>
      <c r="M112" s="8" t="str">
        <f aca="false">IF($A112="","",IFERROR(IF(INDEX(O1_Community_Attributes!$V$1:$V$500,MATCH($A112,O1_Community_Attributes!$A$1:$A$500,0))="","",INDEX(O1_Community_Attributes!$V$1:$V$500,MATCH($A112,O1_Community_Attributes!$A$1:$A$500,0))),""))</f>
        <v/>
      </c>
      <c r="N112" s="8" t="str">
        <f aca="false">IF($A112="","",IFERROR(IF(INDEX(O1_Community_Attributes!$W$1:$W$500,MATCH($A112,O1_Community_Attributes!$A$1:$A$500,0))="","",INDEX(O1_Community_Attributes!$W$1:$W$500,MATCH($A112,O1_Community_Attributes!$A$1:$A$500,0))),""))</f>
        <v/>
      </c>
      <c r="O112" s="8" t="str">
        <f aca="false">IF($A112="","",IFERROR(IF(INDEX(O1_Community_Attributes!$X$1:$X$500,MATCH($A112,O1_Community_Attributes!$A$1:$A$500,0))="","",INDEX(O1_Community_Attributes!$X$1:$X$500,MATCH($A112,O1_Community_Attributes!$A$1:$A$500,0))),""))</f>
        <v/>
      </c>
      <c r="P112" s="8" t="str">
        <f aca="false">IF($A112="","",IFERROR(IF(INDEX(O1_Community_Attributes!$Y$1:$Y$500,MATCH($A112,O1_Community_Attributes!$A$1:$A$500,0))="","",INDEX(O1_Community_Attributes!$Y$1:$Y$500,MATCH($A112,O1_Community_Attributes!$A$1:$A$500,0))),""))</f>
        <v/>
      </c>
      <c r="Q112" s="8" t="str">
        <f aca="false">IF($A112="","",IFERROR(IF(INDEX(O1_Community_Attributes!$Z$1:$Z$500,MATCH($A112,O1_Community_Attributes!$A$1:$A$500,0))="","",INDEX(O1_Community_Attributes!$Z$1:$Z$500,MATCH($A112,O1_Community_Attributes!$A$1:$A$500,0))),""))</f>
        <v/>
      </c>
      <c r="R112" s="8" t="str">
        <f aca="false">IF($A112="","",IFERROR(IF(INDEX(O1_Community_Attributes!$BK$1:$BK$500,MATCH($A112,O1_Community_Attributes!$A$1:$A$500,0))="","",INDEX(O1_Community_Attributes!$BK$1:$BK$500,MATCH($A112,O1_Community_Attributes!$A$1:$A$500,0))),""))</f>
        <v/>
      </c>
      <c r="S112" s="8" t="str">
        <f aca="false">IF(OR($C112="",$M112=""),"",$M112/$C112)</f>
        <v/>
      </c>
      <c r="T112" s="8" t="str">
        <f aca="false">IF($C112="","",IF(AND($M112="",$P112=""),"",IF($M112="","B",IF(ABS($S112-1)&lt;=0.3,"A",IF(OR($S112&gt;2,$S112&lt;0.5),"C","B")))))</f>
        <v/>
      </c>
    </row>
    <row r="113" customFormat="false" ht="15" hidden="false" customHeight="true" outlineLevel="0" collapsed="false">
      <c r="H113" s="8" t="str">
        <f aca="false">IF(C113="","",IF(C113&lt;1,"yes","no"))</f>
        <v/>
      </c>
      <c r="I113" s="8" t="str">
        <f aca="false">IF(C113="","",IF(C113&lt;2.6,"r75",IF(C113&lt;5.2,"r110",IF(C113&lt;9.9,"r150",IF(C113&lt;19.8,"r210","r300")))))</f>
        <v/>
      </c>
      <c r="M113" s="8" t="str">
        <f aca="false">IF($A113="","",IFERROR(IF(INDEX(O1_Community_Attributes!$V$1:$V$500,MATCH($A113,O1_Community_Attributes!$A$1:$A$500,0))="","",INDEX(O1_Community_Attributes!$V$1:$V$500,MATCH($A113,O1_Community_Attributes!$A$1:$A$500,0))),""))</f>
        <v/>
      </c>
      <c r="N113" s="8" t="str">
        <f aca="false">IF($A113="","",IFERROR(IF(INDEX(O1_Community_Attributes!$W$1:$W$500,MATCH($A113,O1_Community_Attributes!$A$1:$A$500,0))="","",INDEX(O1_Community_Attributes!$W$1:$W$500,MATCH($A113,O1_Community_Attributes!$A$1:$A$500,0))),""))</f>
        <v/>
      </c>
      <c r="O113" s="8" t="str">
        <f aca="false">IF($A113="","",IFERROR(IF(INDEX(O1_Community_Attributes!$X$1:$X$500,MATCH($A113,O1_Community_Attributes!$A$1:$A$500,0))="","",INDEX(O1_Community_Attributes!$X$1:$X$500,MATCH($A113,O1_Community_Attributes!$A$1:$A$500,0))),""))</f>
        <v/>
      </c>
      <c r="P113" s="8" t="str">
        <f aca="false">IF($A113="","",IFERROR(IF(INDEX(O1_Community_Attributes!$Y$1:$Y$500,MATCH($A113,O1_Community_Attributes!$A$1:$A$500,0))="","",INDEX(O1_Community_Attributes!$Y$1:$Y$500,MATCH($A113,O1_Community_Attributes!$A$1:$A$500,0))),""))</f>
        <v/>
      </c>
      <c r="Q113" s="8" t="str">
        <f aca="false">IF($A113="","",IFERROR(IF(INDEX(O1_Community_Attributes!$Z$1:$Z$500,MATCH($A113,O1_Community_Attributes!$A$1:$A$500,0))="","",INDEX(O1_Community_Attributes!$Z$1:$Z$500,MATCH($A113,O1_Community_Attributes!$A$1:$A$500,0))),""))</f>
        <v/>
      </c>
      <c r="R113" s="8" t="str">
        <f aca="false">IF($A113="","",IFERROR(IF(INDEX(O1_Community_Attributes!$BK$1:$BK$500,MATCH($A113,O1_Community_Attributes!$A$1:$A$500,0))="","",INDEX(O1_Community_Attributes!$BK$1:$BK$500,MATCH($A113,O1_Community_Attributes!$A$1:$A$500,0))),""))</f>
        <v/>
      </c>
      <c r="S113" s="8" t="str">
        <f aca="false">IF(OR($C113="",$M113=""),"",$M113/$C113)</f>
        <v/>
      </c>
      <c r="T113" s="8" t="str">
        <f aca="false">IF($C113="","",IF(AND($M113="",$P113=""),"",IF($M113="","B",IF(ABS($S113-1)&lt;=0.3,"A",IF(OR($S113&gt;2,$S113&lt;0.5),"C","B")))))</f>
        <v/>
      </c>
    </row>
    <row r="114" customFormat="false" ht="15" hidden="false" customHeight="true" outlineLevel="0" collapsed="false">
      <c r="H114" s="8" t="str">
        <f aca="false">IF(C114="","",IF(C114&lt;1,"yes","no"))</f>
        <v/>
      </c>
      <c r="I114" s="8" t="str">
        <f aca="false">IF(C114="","",IF(C114&lt;2.6,"r75",IF(C114&lt;5.2,"r110",IF(C114&lt;9.9,"r150",IF(C114&lt;19.8,"r210","r300")))))</f>
        <v/>
      </c>
      <c r="M114" s="8" t="str">
        <f aca="false">IF($A114="","",IFERROR(IF(INDEX(O1_Community_Attributes!$V$1:$V$500,MATCH($A114,O1_Community_Attributes!$A$1:$A$500,0))="","",INDEX(O1_Community_Attributes!$V$1:$V$500,MATCH($A114,O1_Community_Attributes!$A$1:$A$500,0))),""))</f>
        <v/>
      </c>
      <c r="N114" s="8" t="str">
        <f aca="false">IF($A114="","",IFERROR(IF(INDEX(O1_Community_Attributes!$W$1:$W$500,MATCH($A114,O1_Community_Attributes!$A$1:$A$500,0))="","",INDEX(O1_Community_Attributes!$W$1:$W$500,MATCH($A114,O1_Community_Attributes!$A$1:$A$500,0))),""))</f>
        <v/>
      </c>
      <c r="O114" s="8" t="str">
        <f aca="false">IF($A114="","",IFERROR(IF(INDEX(O1_Community_Attributes!$X$1:$X$500,MATCH($A114,O1_Community_Attributes!$A$1:$A$500,0))="","",INDEX(O1_Community_Attributes!$X$1:$X$500,MATCH($A114,O1_Community_Attributes!$A$1:$A$500,0))),""))</f>
        <v/>
      </c>
      <c r="P114" s="8" t="str">
        <f aca="false">IF($A114="","",IFERROR(IF(INDEX(O1_Community_Attributes!$Y$1:$Y$500,MATCH($A114,O1_Community_Attributes!$A$1:$A$500,0))="","",INDEX(O1_Community_Attributes!$Y$1:$Y$500,MATCH($A114,O1_Community_Attributes!$A$1:$A$500,0))),""))</f>
        <v/>
      </c>
      <c r="Q114" s="8" t="str">
        <f aca="false">IF($A114="","",IFERROR(IF(INDEX(O1_Community_Attributes!$Z$1:$Z$500,MATCH($A114,O1_Community_Attributes!$A$1:$A$500,0))="","",INDEX(O1_Community_Attributes!$Z$1:$Z$500,MATCH($A114,O1_Community_Attributes!$A$1:$A$500,0))),""))</f>
        <v/>
      </c>
      <c r="R114" s="8" t="str">
        <f aca="false">IF($A114="","",IFERROR(IF(INDEX(O1_Community_Attributes!$BK$1:$BK$500,MATCH($A114,O1_Community_Attributes!$A$1:$A$500,0))="","",INDEX(O1_Community_Attributes!$BK$1:$BK$500,MATCH($A114,O1_Community_Attributes!$A$1:$A$500,0))),""))</f>
        <v/>
      </c>
      <c r="S114" s="8" t="str">
        <f aca="false">IF(OR($C114="",$M114=""),"",$M114/$C114)</f>
        <v/>
      </c>
      <c r="T114" s="8" t="str">
        <f aca="false">IF($C114="","",IF(AND($M114="",$P114=""),"",IF($M114="","B",IF(ABS($S114-1)&lt;=0.3,"A",IF(OR($S114&gt;2,$S114&lt;0.5),"C","B")))))</f>
        <v/>
      </c>
    </row>
    <row r="115" customFormat="false" ht="15" hidden="false" customHeight="true" outlineLevel="0" collapsed="false">
      <c r="H115" s="8" t="str">
        <f aca="false">IF(C115="","",IF(C115&lt;1,"yes","no"))</f>
        <v/>
      </c>
      <c r="I115" s="8" t="str">
        <f aca="false">IF(C115="","",IF(C115&lt;2.6,"r75",IF(C115&lt;5.2,"r110",IF(C115&lt;9.9,"r150",IF(C115&lt;19.8,"r210","r300")))))</f>
        <v/>
      </c>
      <c r="M115" s="8" t="str">
        <f aca="false">IF($A115="","",IFERROR(IF(INDEX(O1_Community_Attributes!$V$1:$V$500,MATCH($A115,O1_Community_Attributes!$A$1:$A$500,0))="","",INDEX(O1_Community_Attributes!$V$1:$V$500,MATCH($A115,O1_Community_Attributes!$A$1:$A$500,0))),""))</f>
        <v/>
      </c>
      <c r="N115" s="8" t="str">
        <f aca="false">IF($A115="","",IFERROR(IF(INDEX(O1_Community_Attributes!$W$1:$W$500,MATCH($A115,O1_Community_Attributes!$A$1:$A$500,0))="","",INDEX(O1_Community_Attributes!$W$1:$W$500,MATCH($A115,O1_Community_Attributes!$A$1:$A$500,0))),""))</f>
        <v/>
      </c>
      <c r="O115" s="8" t="str">
        <f aca="false">IF($A115="","",IFERROR(IF(INDEX(O1_Community_Attributes!$X$1:$X$500,MATCH($A115,O1_Community_Attributes!$A$1:$A$500,0))="","",INDEX(O1_Community_Attributes!$X$1:$X$500,MATCH($A115,O1_Community_Attributes!$A$1:$A$500,0))),""))</f>
        <v/>
      </c>
      <c r="P115" s="8" t="str">
        <f aca="false">IF($A115="","",IFERROR(IF(INDEX(O1_Community_Attributes!$Y$1:$Y$500,MATCH($A115,O1_Community_Attributes!$A$1:$A$500,0))="","",INDEX(O1_Community_Attributes!$Y$1:$Y$500,MATCH($A115,O1_Community_Attributes!$A$1:$A$500,0))),""))</f>
        <v/>
      </c>
      <c r="Q115" s="8" t="str">
        <f aca="false">IF($A115="","",IFERROR(IF(INDEX(O1_Community_Attributes!$Z$1:$Z$500,MATCH($A115,O1_Community_Attributes!$A$1:$A$500,0))="","",INDEX(O1_Community_Attributes!$Z$1:$Z$500,MATCH($A115,O1_Community_Attributes!$A$1:$A$500,0))),""))</f>
        <v/>
      </c>
      <c r="R115" s="8" t="str">
        <f aca="false">IF($A115="","",IFERROR(IF(INDEX(O1_Community_Attributes!$BK$1:$BK$500,MATCH($A115,O1_Community_Attributes!$A$1:$A$500,0))="","",INDEX(O1_Community_Attributes!$BK$1:$BK$500,MATCH($A115,O1_Community_Attributes!$A$1:$A$500,0))),""))</f>
        <v/>
      </c>
      <c r="S115" s="8" t="str">
        <f aca="false">IF(OR($C115="",$M115=""),"",$M115/$C115)</f>
        <v/>
      </c>
      <c r="T115" s="8" t="str">
        <f aca="false">IF($C115="","",IF(AND($M115="",$P115=""),"",IF($M115="","B",IF(ABS($S115-1)&lt;=0.3,"A",IF(OR($S115&gt;2,$S115&lt;0.5),"C","B")))))</f>
        <v/>
      </c>
    </row>
    <row r="116" customFormat="false" ht="15" hidden="false" customHeight="true" outlineLevel="0" collapsed="false">
      <c r="H116" s="8" t="str">
        <f aca="false">IF(C116="","",IF(C116&lt;1,"yes","no"))</f>
        <v/>
      </c>
      <c r="I116" s="8" t="str">
        <f aca="false">IF(C116="","",IF(C116&lt;2.6,"r75",IF(C116&lt;5.2,"r110",IF(C116&lt;9.9,"r150",IF(C116&lt;19.8,"r210","r300")))))</f>
        <v/>
      </c>
      <c r="M116" s="8" t="str">
        <f aca="false">IF($A116="","",IFERROR(IF(INDEX(O1_Community_Attributes!$V$1:$V$500,MATCH($A116,O1_Community_Attributes!$A$1:$A$500,0))="","",INDEX(O1_Community_Attributes!$V$1:$V$500,MATCH($A116,O1_Community_Attributes!$A$1:$A$500,0))),""))</f>
        <v/>
      </c>
      <c r="N116" s="8" t="str">
        <f aca="false">IF($A116="","",IFERROR(IF(INDEX(O1_Community_Attributes!$W$1:$W$500,MATCH($A116,O1_Community_Attributes!$A$1:$A$500,0))="","",INDEX(O1_Community_Attributes!$W$1:$W$500,MATCH($A116,O1_Community_Attributes!$A$1:$A$500,0))),""))</f>
        <v/>
      </c>
      <c r="O116" s="8" t="str">
        <f aca="false">IF($A116="","",IFERROR(IF(INDEX(O1_Community_Attributes!$X$1:$X$500,MATCH($A116,O1_Community_Attributes!$A$1:$A$500,0))="","",INDEX(O1_Community_Attributes!$X$1:$X$500,MATCH($A116,O1_Community_Attributes!$A$1:$A$500,0))),""))</f>
        <v/>
      </c>
      <c r="P116" s="8" t="str">
        <f aca="false">IF($A116="","",IFERROR(IF(INDEX(O1_Community_Attributes!$Y$1:$Y$500,MATCH($A116,O1_Community_Attributes!$A$1:$A$500,0))="","",INDEX(O1_Community_Attributes!$Y$1:$Y$500,MATCH($A116,O1_Community_Attributes!$A$1:$A$500,0))),""))</f>
        <v/>
      </c>
      <c r="Q116" s="8" t="str">
        <f aca="false">IF($A116="","",IFERROR(IF(INDEX(O1_Community_Attributes!$Z$1:$Z$500,MATCH($A116,O1_Community_Attributes!$A$1:$A$500,0))="","",INDEX(O1_Community_Attributes!$Z$1:$Z$500,MATCH($A116,O1_Community_Attributes!$A$1:$A$500,0))),""))</f>
        <v/>
      </c>
      <c r="R116" s="8" t="str">
        <f aca="false">IF($A116="","",IFERROR(IF(INDEX(O1_Community_Attributes!$BK$1:$BK$500,MATCH($A116,O1_Community_Attributes!$A$1:$A$500,0))="","",INDEX(O1_Community_Attributes!$BK$1:$BK$500,MATCH($A116,O1_Community_Attributes!$A$1:$A$500,0))),""))</f>
        <v/>
      </c>
      <c r="S116" s="8" t="str">
        <f aca="false">IF(OR($C116="",$M116=""),"",$M116/$C116)</f>
        <v/>
      </c>
      <c r="T116" s="8" t="str">
        <f aca="false">IF($C116="","",IF(AND($M116="",$P116=""),"",IF($M116="","B",IF(ABS($S116-1)&lt;=0.3,"A",IF(OR($S116&gt;2,$S116&lt;0.5),"C","B")))))</f>
        <v/>
      </c>
    </row>
    <row r="117" customFormat="false" ht="15" hidden="false" customHeight="true" outlineLevel="0" collapsed="false">
      <c r="H117" s="8" t="str">
        <f aca="false">IF(C117="","",IF(C117&lt;1,"yes","no"))</f>
        <v/>
      </c>
      <c r="I117" s="8" t="str">
        <f aca="false">IF(C117="","",IF(C117&lt;2.6,"r75",IF(C117&lt;5.2,"r110",IF(C117&lt;9.9,"r150",IF(C117&lt;19.8,"r210","r300")))))</f>
        <v/>
      </c>
      <c r="M117" s="8" t="str">
        <f aca="false">IF($A117="","",IFERROR(IF(INDEX(O1_Community_Attributes!$V$1:$V$500,MATCH($A117,O1_Community_Attributes!$A$1:$A$500,0))="","",INDEX(O1_Community_Attributes!$V$1:$V$500,MATCH($A117,O1_Community_Attributes!$A$1:$A$500,0))),""))</f>
        <v/>
      </c>
      <c r="N117" s="8" t="str">
        <f aca="false">IF($A117="","",IFERROR(IF(INDEX(O1_Community_Attributes!$W$1:$W$500,MATCH($A117,O1_Community_Attributes!$A$1:$A$500,0))="","",INDEX(O1_Community_Attributes!$W$1:$W$500,MATCH($A117,O1_Community_Attributes!$A$1:$A$500,0))),""))</f>
        <v/>
      </c>
      <c r="O117" s="8" t="str">
        <f aca="false">IF($A117="","",IFERROR(IF(INDEX(O1_Community_Attributes!$X$1:$X$500,MATCH($A117,O1_Community_Attributes!$A$1:$A$500,0))="","",INDEX(O1_Community_Attributes!$X$1:$X$500,MATCH($A117,O1_Community_Attributes!$A$1:$A$500,0))),""))</f>
        <v/>
      </c>
      <c r="P117" s="8" t="str">
        <f aca="false">IF($A117="","",IFERROR(IF(INDEX(O1_Community_Attributes!$Y$1:$Y$500,MATCH($A117,O1_Community_Attributes!$A$1:$A$500,0))="","",INDEX(O1_Community_Attributes!$Y$1:$Y$500,MATCH($A117,O1_Community_Attributes!$A$1:$A$500,0))),""))</f>
        <v/>
      </c>
      <c r="Q117" s="8" t="str">
        <f aca="false">IF($A117="","",IFERROR(IF(INDEX(O1_Community_Attributes!$Z$1:$Z$500,MATCH($A117,O1_Community_Attributes!$A$1:$A$500,0))="","",INDEX(O1_Community_Attributes!$Z$1:$Z$500,MATCH($A117,O1_Community_Attributes!$A$1:$A$500,0))),""))</f>
        <v/>
      </c>
      <c r="R117" s="8" t="str">
        <f aca="false">IF($A117="","",IFERROR(IF(INDEX(O1_Community_Attributes!$BK$1:$BK$500,MATCH($A117,O1_Community_Attributes!$A$1:$A$500,0))="","",INDEX(O1_Community_Attributes!$BK$1:$BK$500,MATCH($A117,O1_Community_Attributes!$A$1:$A$500,0))),""))</f>
        <v/>
      </c>
      <c r="S117" s="8" t="str">
        <f aca="false">IF(OR($C117="",$M117=""),"",$M117/$C117)</f>
        <v/>
      </c>
      <c r="T117" s="8" t="str">
        <f aca="false">IF($C117="","",IF(AND($M117="",$P117=""),"",IF($M117="","B",IF(ABS($S117-1)&lt;=0.3,"A",IF(OR($S117&gt;2,$S117&lt;0.5),"C","B")))))</f>
        <v/>
      </c>
    </row>
    <row r="118" customFormat="false" ht="15" hidden="false" customHeight="true" outlineLevel="0" collapsed="false">
      <c r="H118" s="8" t="str">
        <f aca="false">IF(C118="","",IF(C118&lt;1,"yes","no"))</f>
        <v/>
      </c>
      <c r="I118" s="8" t="str">
        <f aca="false">IF(C118="","",IF(C118&lt;2.6,"r75",IF(C118&lt;5.2,"r110",IF(C118&lt;9.9,"r150",IF(C118&lt;19.8,"r210","r300")))))</f>
        <v/>
      </c>
      <c r="M118" s="8" t="str">
        <f aca="false">IF($A118="","",IFERROR(IF(INDEX(O1_Community_Attributes!$V$1:$V$500,MATCH($A118,O1_Community_Attributes!$A$1:$A$500,0))="","",INDEX(O1_Community_Attributes!$V$1:$V$500,MATCH($A118,O1_Community_Attributes!$A$1:$A$500,0))),""))</f>
        <v/>
      </c>
      <c r="N118" s="8" t="str">
        <f aca="false">IF($A118="","",IFERROR(IF(INDEX(O1_Community_Attributes!$W$1:$W$500,MATCH($A118,O1_Community_Attributes!$A$1:$A$500,0))="","",INDEX(O1_Community_Attributes!$W$1:$W$500,MATCH($A118,O1_Community_Attributes!$A$1:$A$500,0))),""))</f>
        <v/>
      </c>
      <c r="O118" s="8" t="str">
        <f aca="false">IF($A118="","",IFERROR(IF(INDEX(O1_Community_Attributes!$X$1:$X$500,MATCH($A118,O1_Community_Attributes!$A$1:$A$500,0))="","",INDEX(O1_Community_Attributes!$X$1:$X$500,MATCH($A118,O1_Community_Attributes!$A$1:$A$500,0))),""))</f>
        <v/>
      </c>
      <c r="P118" s="8" t="str">
        <f aca="false">IF($A118="","",IFERROR(IF(INDEX(O1_Community_Attributes!$Y$1:$Y$500,MATCH($A118,O1_Community_Attributes!$A$1:$A$500,0))="","",INDEX(O1_Community_Attributes!$Y$1:$Y$500,MATCH($A118,O1_Community_Attributes!$A$1:$A$500,0))),""))</f>
        <v/>
      </c>
      <c r="Q118" s="8" t="str">
        <f aca="false">IF($A118="","",IFERROR(IF(INDEX(O1_Community_Attributes!$Z$1:$Z$500,MATCH($A118,O1_Community_Attributes!$A$1:$A$500,0))="","",INDEX(O1_Community_Attributes!$Z$1:$Z$500,MATCH($A118,O1_Community_Attributes!$A$1:$A$500,0))),""))</f>
        <v/>
      </c>
      <c r="R118" s="8" t="str">
        <f aca="false">IF($A118="","",IFERROR(IF(INDEX(O1_Community_Attributes!$BK$1:$BK$500,MATCH($A118,O1_Community_Attributes!$A$1:$A$500,0))="","",INDEX(O1_Community_Attributes!$BK$1:$BK$500,MATCH($A118,O1_Community_Attributes!$A$1:$A$500,0))),""))</f>
        <v/>
      </c>
      <c r="S118" s="8" t="str">
        <f aca="false">IF(OR($C118="",$M118=""),"",$M118/$C118)</f>
        <v/>
      </c>
      <c r="T118" s="8" t="str">
        <f aca="false">IF($C118="","",IF(AND($M118="",$P118=""),"",IF($M118="","B",IF(ABS($S118-1)&lt;=0.3,"A",IF(OR($S118&gt;2,$S118&lt;0.5),"C","B")))))</f>
        <v/>
      </c>
    </row>
    <row r="119" customFormat="false" ht="15" hidden="false" customHeight="true" outlineLevel="0" collapsed="false">
      <c r="H119" s="8" t="str">
        <f aca="false">IF(C119="","",IF(C119&lt;1,"yes","no"))</f>
        <v/>
      </c>
      <c r="I119" s="8" t="str">
        <f aca="false">IF(C119="","",IF(C119&lt;2.6,"r75",IF(C119&lt;5.2,"r110",IF(C119&lt;9.9,"r150",IF(C119&lt;19.8,"r210","r300")))))</f>
        <v/>
      </c>
      <c r="M119" s="8" t="str">
        <f aca="false">IF($A119="","",IFERROR(IF(INDEX(O1_Community_Attributes!$V$1:$V$500,MATCH($A119,O1_Community_Attributes!$A$1:$A$500,0))="","",INDEX(O1_Community_Attributes!$V$1:$V$500,MATCH($A119,O1_Community_Attributes!$A$1:$A$500,0))),""))</f>
        <v/>
      </c>
      <c r="N119" s="8" t="str">
        <f aca="false">IF($A119="","",IFERROR(IF(INDEX(O1_Community_Attributes!$W$1:$W$500,MATCH($A119,O1_Community_Attributes!$A$1:$A$500,0))="","",INDEX(O1_Community_Attributes!$W$1:$W$500,MATCH($A119,O1_Community_Attributes!$A$1:$A$500,0))),""))</f>
        <v/>
      </c>
      <c r="O119" s="8" t="str">
        <f aca="false">IF($A119="","",IFERROR(IF(INDEX(O1_Community_Attributes!$X$1:$X$500,MATCH($A119,O1_Community_Attributes!$A$1:$A$500,0))="","",INDEX(O1_Community_Attributes!$X$1:$X$500,MATCH($A119,O1_Community_Attributes!$A$1:$A$500,0))),""))</f>
        <v/>
      </c>
      <c r="P119" s="8" t="str">
        <f aca="false">IF($A119="","",IFERROR(IF(INDEX(O1_Community_Attributes!$Y$1:$Y$500,MATCH($A119,O1_Community_Attributes!$A$1:$A$500,0))="","",INDEX(O1_Community_Attributes!$Y$1:$Y$500,MATCH($A119,O1_Community_Attributes!$A$1:$A$500,0))),""))</f>
        <v/>
      </c>
      <c r="Q119" s="8" t="str">
        <f aca="false">IF($A119="","",IFERROR(IF(INDEX(O1_Community_Attributes!$Z$1:$Z$500,MATCH($A119,O1_Community_Attributes!$A$1:$A$500,0))="","",INDEX(O1_Community_Attributes!$Z$1:$Z$500,MATCH($A119,O1_Community_Attributes!$A$1:$A$500,0))),""))</f>
        <v/>
      </c>
      <c r="R119" s="8" t="str">
        <f aca="false">IF($A119="","",IFERROR(IF(INDEX(O1_Community_Attributes!$BK$1:$BK$500,MATCH($A119,O1_Community_Attributes!$A$1:$A$500,0))="","",INDEX(O1_Community_Attributes!$BK$1:$BK$500,MATCH($A119,O1_Community_Attributes!$A$1:$A$500,0))),""))</f>
        <v/>
      </c>
      <c r="S119" s="8" t="str">
        <f aca="false">IF(OR($C119="",$M119=""),"",$M119/$C119)</f>
        <v/>
      </c>
      <c r="T119" s="8" t="str">
        <f aca="false">IF($C119="","",IF(AND($M119="",$P119=""),"",IF($M119="","B",IF(ABS($S119-1)&lt;=0.3,"A",IF(OR($S119&gt;2,$S119&lt;0.5),"C","B")))))</f>
        <v/>
      </c>
    </row>
    <row r="120" customFormat="false" ht="15" hidden="false" customHeight="true" outlineLevel="0" collapsed="false">
      <c r="H120" s="8" t="str">
        <f aca="false">IF(C120="","",IF(C120&lt;1,"yes","no"))</f>
        <v/>
      </c>
      <c r="I120" s="8" t="str">
        <f aca="false">IF(C120="","",IF(C120&lt;2.6,"r75",IF(C120&lt;5.2,"r110",IF(C120&lt;9.9,"r150",IF(C120&lt;19.8,"r210","r300")))))</f>
        <v/>
      </c>
      <c r="M120" s="8" t="str">
        <f aca="false">IF($A120="","",IFERROR(IF(INDEX(O1_Community_Attributes!$V$1:$V$500,MATCH($A120,O1_Community_Attributes!$A$1:$A$500,0))="","",INDEX(O1_Community_Attributes!$V$1:$V$500,MATCH($A120,O1_Community_Attributes!$A$1:$A$500,0))),""))</f>
        <v/>
      </c>
      <c r="N120" s="8" t="str">
        <f aca="false">IF($A120="","",IFERROR(IF(INDEX(O1_Community_Attributes!$W$1:$W$500,MATCH($A120,O1_Community_Attributes!$A$1:$A$500,0))="","",INDEX(O1_Community_Attributes!$W$1:$W$500,MATCH($A120,O1_Community_Attributes!$A$1:$A$500,0))),""))</f>
        <v/>
      </c>
      <c r="O120" s="8" t="str">
        <f aca="false">IF($A120="","",IFERROR(IF(INDEX(O1_Community_Attributes!$X$1:$X$500,MATCH($A120,O1_Community_Attributes!$A$1:$A$500,0))="","",INDEX(O1_Community_Attributes!$X$1:$X$500,MATCH($A120,O1_Community_Attributes!$A$1:$A$500,0))),""))</f>
        <v/>
      </c>
      <c r="P120" s="8" t="str">
        <f aca="false">IF($A120="","",IFERROR(IF(INDEX(O1_Community_Attributes!$Y$1:$Y$500,MATCH($A120,O1_Community_Attributes!$A$1:$A$500,0))="","",INDEX(O1_Community_Attributes!$Y$1:$Y$500,MATCH($A120,O1_Community_Attributes!$A$1:$A$500,0))),""))</f>
        <v/>
      </c>
      <c r="Q120" s="8" t="str">
        <f aca="false">IF($A120="","",IFERROR(IF(INDEX(O1_Community_Attributes!$Z$1:$Z$500,MATCH($A120,O1_Community_Attributes!$A$1:$A$500,0))="","",INDEX(O1_Community_Attributes!$Z$1:$Z$500,MATCH($A120,O1_Community_Attributes!$A$1:$A$500,0))),""))</f>
        <v/>
      </c>
      <c r="R120" s="8" t="str">
        <f aca="false">IF($A120="","",IFERROR(IF(INDEX(O1_Community_Attributes!$BK$1:$BK$500,MATCH($A120,O1_Community_Attributes!$A$1:$A$500,0))="","",INDEX(O1_Community_Attributes!$BK$1:$BK$500,MATCH($A120,O1_Community_Attributes!$A$1:$A$500,0))),""))</f>
        <v/>
      </c>
      <c r="S120" s="8" t="str">
        <f aca="false">IF(OR($C120="",$M120=""),"",$M120/$C120)</f>
        <v/>
      </c>
      <c r="T120" s="8" t="str">
        <f aca="false">IF($C120="","",IF(AND($M120="",$P120=""),"",IF($M120="","B",IF(ABS($S120-1)&lt;=0.3,"A",IF(OR($S120&gt;2,$S120&lt;0.5),"C","B")))))</f>
        <v/>
      </c>
    </row>
    <row r="121" customFormat="false" ht="15" hidden="false" customHeight="true" outlineLevel="0" collapsed="false">
      <c r="H121" s="8" t="str">
        <f aca="false">IF(C121="","",IF(C121&lt;1,"yes","no"))</f>
        <v/>
      </c>
      <c r="I121" s="8" t="str">
        <f aca="false">IF(C121="","",IF(C121&lt;2.6,"r75",IF(C121&lt;5.2,"r110",IF(C121&lt;9.9,"r150",IF(C121&lt;19.8,"r210","r300")))))</f>
        <v/>
      </c>
      <c r="M121" s="8" t="str">
        <f aca="false">IF($A121="","",IFERROR(IF(INDEX(O1_Community_Attributes!$V$1:$V$500,MATCH($A121,O1_Community_Attributes!$A$1:$A$500,0))="","",INDEX(O1_Community_Attributes!$V$1:$V$500,MATCH($A121,O1_Community_Attributes!$A$1:$A$500,0))),""))</f>
        <v/>
      </c>
      <c r="N121" s="8" t="str">
        <f aca="false">IF($A121="","",IFERROR(IF(INDEX(O1_Community_Attributes!$W$1:$W$500,MATCH($A121,O1_Community_Attributes!$A$1:$A$500,0))="","",INDEX(O1_Community_Attributes!$W$1:$W$500,MATCH($A121,O1_Community_Attributes!$A$1:$A$500,0))),""))</f>
        <v/>
      </c>
      <c r="O121" s="8" t="str">
        <f aca="false">IF($A121="","",IFERROR(IF(INDEX(O1_Community_Attributes!$X$1:$X$500,MATCH($A121,O1_Community_Attributes!$A$1:$A$500,0))="","",INDEX(O1_Community_Attributes!$X$1:$X$500,MATCH($A121,O1_Community_Attributes!$A$1:$A$500,0))),""))</f>
        <v/>
      </c>
      <c r="P121" s="8" t="str">
        <f aca="false">IF($A121="","",IFERROR(IF(INDEX(O1_Community_Attributes!$Y$1:$Y$500,MATCH($A121,O1_Community_Attributes!$A$1:$A$500,0))="","",INDEX(O1_Community_Attributes!$Y$1:$Y$500,MATCH($A121,O1_Community_Attributes!$A$1:$A$500,0))),""))</f>
        <v/>
      </c>
      <c r="Q121" s="8" t="str">
        <f aca="false">IF($A121="","",IFERROR(IF(INDEX(O1_Community_Attributes!$Z$1:$Z$500,MATCH($A121,O1_Community_Attributes!$A$1:$A$500,0))="","",INDEX(O1_Community_Attributes!$Z$1:$Z$500,MATCH($A121,O1_Community_Attributes!$A$1:$A$500,0))),""))</f>
        <v/>
      </c>
      <c r="R121" s="8" t="str">
        <f aca="false">IF($A121="","",IFERROR(IF(INDEX(O1_Community_Attributes!$BK$1:$BK$500,MATCH($A121,O1_Community_Attributes!$A$1:$A$500,0))="","",INDEX(O1_Community_Attributes!$BK$1:$BK$500,MATCH($A121,O1_Community_Attributes!$A$1:$A$500,0))),""))</f>
        <v/>
      </c>
      <c r="S121" s="8" t="str">
        <f aca="false">IF(OR($C121="",$M121=""),"",$M121/$C121)</f>
        <v/>
      </c>
      <c r="T121" s="8" t="str">
        <f aca="false">IF($C121="","",IF(AND($M121="",$P121=""),"",IF($M121="","B",IF(ABS($S121-1)&lt;=0.3,"A",IF(OR($S121&gt;2,$S121&lt;0.5),"C","B")))))</f>
        <v/>
      </c>
    </row>
    <row r="122" customFormat="false" ht="15" hidden="false" customHeight="true" outlineLevel="0" collapsed="false">
      <c r="H122" s="8" t="str">
        <f aca="false">IF(C122="","",IF(C122&lt;1,"yes","no"))</f>
        <v/>
      </c>
      <c r="I122" s="8" t="str">
        <f aca="false">IF(C122="","",IF(C122&lt;2.6,"r75",IF(C122&lt;5.2,"r110",IF(C122&lt;9.9,"r150",IF(C122&lt;19.8,"r210","r300")))))</f>
        <v/>
      </c>
      <c r="M122" s="8" t="str">
        <f aca="false">IF($A122="","",IFERROR(IF(INDEX(O1_Community_Attributes!$V$1:$V$500,MATCH($A122,O1_Community_Attributes!$A$1:$A$500,0))="","",INDEX(O1_Community_Attributes!$V$1:$V$500,MATCH($A122,O1_Community_Attributes!$A$1:$A$500,0))),""))</f>
        <v/>
      </c>
      <c r="N122" s="8" t="str">
        <f aca="false">IF($A122="","",IFERROR(IF(INDEX(O1_Community_Attributes!$W$1:$W$500,MATCH($A122,O1_Community_Attributes!$A$1:$A$500,0))="","",INDEX(O1_Community_Attributes!$W$1:$W$500,MATCH($A122,O1_Community_Attributes!$A$1:$A$500,0))),""))</f>
        <v/>
      </c>
      <c r="O122" s="8" t="str">
        <f aca="false">IF($A122="","",IFERROR(IF(INDEX(O1_Community_Attributes!$X$1:$X$500,MATCH($A122,O1_Community_Attributes!$A$1:$A$500,0))="","",INDEX(O1_Community_Attributes!$X$1:$X$500,MATCH($A122,O1_Community_Attributes!$A$1:$A$500,0))),""))</f>
        <v/>
      </c>
      <c r="P122" s="8" t="str">
        <f aca="false">IF($A122="","",IFERROR(IF(INDEX(O1_Community_Attributes!$Y$1:$Y$500,MATCH($A122,O1_Community_Attributes!$A$1:$A$500,0))="","",INDEX(O1_Community_Attributes!$Y$1:$Y$500,MATCH($A122,O1_Community_Attributes!$A$1:$A$500,0))),""))</f>
        <v/>
      </c>
      <c r="Q122" s="8" t="str">
        <f aca="false">IF($A122="","",IFERROR(IF(INDEX(O1_Community_Attributes!$Z$1:$Z$500,MATCH($A122,O1_Community_Attributes!$A$1:$A$500,0))="","",INDEX(O1_Community_Attributes!$Z$1:$Z$500,MATCH($A122,O1_Community_Attributes!$A$1:$A$500,0))),""))</f>
        <v/>
      </c>
      <c r="R122" s="8" t="str">
        <f aca="false">IF($A122="","",IFERROR(IF(INDEX(O1_Community_Attributes!$BK$1:$BK$500,MATCH($A122,O1_Community_Attributes!$A$1:$A$500,0))="","",INDEX(O1_Community_Attributes!$BK$1:$BK$500,MATCH($A122,O1_Community_Attributes!$A$1:$A$500,0))),""))</f>
        <v/>
      </c>
      <c r="S122" s="8" t="str">
        <f aca="false">IF(OR($C122="",$M122=""),"",$M122/$C122)</f>
        <v/>
      </c>
      <c r="T122" s="8" t="str">
        <f aca="false">IF($C122="","",IF(AND($M122="",$P122=""),"",IF($M122="","B",IF(ABS($S122-1)&lt;=0.3,"A",IF(OR($S122&gt;2,$S122&lt;0.5),"C","B")))))</f>
        <v/>
      </c>
    </row>
    <row r="123" customFormat="false" ht="15" hidden="false" customHeight="true" outlineLevel="0" collapsed="false">
      <c r="H123" s="8" t="str">
        <f aca="false">IF(C123="","",IF(C123&lt;1,"yes","no"))</f>
        <v/>
      </c>
      <c r="I123" s="8" t="str">
        <f aca="false">IF(C123="","",IF(C123&lt;2.6,"r75",IF(C123&lt;5.2,"r110",IF(C123&lt;9.9,"r150",IF(C123&lt;19.8,"r210","r300")))))</f>
        <v/>
      </c>
      <c r="M123" s="8" t="str">
        <f aca="false">IF($A123="","",IFERROR(IF(INDEX(O1_Community_Attributes!$V$1:$V$500,MATCH($A123,O1_Community_Attributes!$A$1:$A$500,0))="","",INDEX(O1_Community_Attributes!$V$1:$V$500,MATCH($A123,O1_Community_Attributes!$A$1:$A$500,0))),""))</f>
        <v/>
      </c>
      <c r="N123" s="8" t="str">
        <f aca="false">IF($A123="","",IFERROR(IF(INDEX(O1_Community_Attributes!$W$1:$W$500,MATCH($A123,O1_Community_Attributes!$A$1:$A$500,0))="","",INDEX(O1_Community_Attributes!$W$1:$W$500,MATCH($A123,O1_Community_Attributes!$A$1:$A$500,0))),""))</f>
        <v/>
      </c>
      <c r="O123" s="8" t="str">
        <f aca="false">IF($A123="","",IFERROR(IF(INDEX(O1_Community_Attributes!$X$1:$X$500,MATCH($A123,O1_Community_Attributes!$A$1:$A$500,0))="","",INDEX(O1_Community_Attributes!$X$1:$X$500,MATCH($A123,O1_Community_Attributes!$A$1:$A$500,0))),""))</f>
        <v/>
      </c>
      <c r="P123" s="8" t="str">
        <f aca="false">IF($A123="","",IFERROR(IF(INDEX(O1_Community_Attributes!$Y$1:$Y$500,MATCH($A123,O1_Community_Attributes!$A$1:$A$500,0))="","",INDEX(O1_Community_Attributes!$Y$1:$Y$500,MATCH($A123,O1_Community_Attributes!$A$1:$A$500,0))),""))</f>
        <v/>
      </c>
      <c r="Q123" s="8" t="str">
        <f aca="false">IF($A123="","",IFERROR(IF(INDEX(O1_Community_Attributes!$Z$1:$Z$500,MATCH($A123,O1_Community_Attributes!$A$1:$A$500,0))="","",INDEX(O1_Community_Attributes!$Z$1:$Z$500,MATCH($A123,O1_Community_Attributes!$A$1:$A$500,0))),""))</f>
        <v/>
      </c>
      <c r="R123" s="8" t="str">
        <f aca="false">IF($A123="","",IFERROR(IF(INDEX(O1_Community_Attributes!$BK$1:$BK$500,MATCH($A123,O1_Community_Attributes!$A$1:$A$500,0))="","",INDEX(O1_Community_Attributes!$BK$1:$BK$500,MATCH($A123,O1_Community_Attributes!$A$1:$A$500,0))),""))</f>
        <v/>
      </c>
      <c r="S123" s="8" t="str">
        <f aca="false">IF(OR($C123="",$M123=""),"",$M123/$C123)</f>
        <v/>
      </c>
      <c r="T123" s="8" t="str">
        <f aca="false">IF($C123="","",IF(AND($M123="",$P123=""),"",IF($M123="","B",IF(ABS($S123-1)&lt;=0.3,"A",IF(OR($S123&gt;2,$S123&lt;0.5),"C","B")))))</f>
        <v/>
      </c>
    </row>
    <row r="124" customFormat="false" ht="15" hidden="false" customHeight="true" outlineLevel="0" collapsed="false">
      <c r="H124" s="8" t="str">
        <f aca="false">IF(C124="","",IF(C124&lt;1,"yes","no"))</f>
        <v/>
      </c>
      <c r="I124" s="8" t="str">
        <f aca="false">IF(C124="","",IF(C124&lt;2.6,"r75",IF(C124&lt;5.2,"r110",IF(C124&lt;9.9,"r150",IF(C124&lt;19.8,"r210","r300")))))</f>
        <v/>
      </c>
      <c r="M124" s="8" t="str">
        <f aca="false">IF($A124="","",IFERROR(IF(INDEX(O1_Community_Attributes!$V$1:$V$500,MATCH($A124,O1_Community_Attributes!$A$1:$A$500,0))="","",INDEX(O1_Community_Attributes!$V$1:$V$500,MATCH($A124,O1_Community_Attributes!$A$1:$A$500,0))),""))</f>
        <v/>
      </c>
      <c r="N124" s="8" t="str">
        <f aca="false">IF($A124="","",IFERROR(IF(INDEX(O1_Community_Attributes!$W$1:$W$500,MATCH($A124,O1_Community_Attributes!$A$1:$A$500,0))="","",INDEX(O1_Community_Attributes!$W$1:$W$500,MATCH($A124,O1_Community_Attributes!$A$1:$A$500,0))),""))</f>
        <v/>
      </c>
      <c r="O124" s="8" t="str">
        <f aca="false">IF($A124="","",IFERROR(IF(INDEX(O1_Community_Attributes!$X$1:$X$500,MATCH($A124,O1_Community_Attributes!$A$1:$A$500,0))="","",INDEX(O1_Community_Attributes!$X$1:$X$500,MATCH($A124,O1_Community_Attributes!$A$1:$A$500,0))),""))</f>
        <v/>
      </c>
      <c r="P124" s="8" t="str">
        <f aca="false">IF($A124="","",IFERROR(IF(INDEX(O1_Community_Attributes!$Y$1:$Y$500,MATCH($A124,O1_Community_Attributes!$A$1:$A$500,0))="","",INDEX(O1_Community_Attributes!$Y$1:$Y$500,MATCH($A124,O1_Community_Attributes!$A$1:$A$500,0))),""))</f>
        <v/>
      </c>
      <c r="Q124" s="8" t="str">
        <f aca="false">IF($A124="","",IFERROR(IF(INDEX(O1_Community_Attributes!$Z$1:$Z$500,MATCH($A124,O1_Community_Attributes!$A$1:$A$500,0))="","",INDEX(O1_Community_Attributes!$Z$1:$Z$500,MATCH($A124,O1_Community_Attributes!$A$1:$A$500,0))),""))</f>
        <v/>
      </c>
      <c r="R124" s="8" t="str">
        <f aca="false">IF($A124="","",IFERROR(IF(INDEX(O1_Community_Attributes!$BK$1:$BK$500,MATCH($A124,O1_Community_Attributes!$A$1:$A$500,0))="","",INDEX(O1_Community_Attributes!$BK$1:$BK$500,MATCH($A124,O1_Community_Attributes!$A$1:$A$500,0))),""))</f>
        <v/>
      </c>
      <c r="S124" s="8" t="str">
        <f aca="false">IF(OR($C124="",$M124=""),"",$M124/$C124)</f>
        <v/>
      </c>
      <c r="T124" s="8" t="str">
        <f aca="false">IF($C124="","",IF(AND($M124="",$P124=""),"",IF($M124="","B",IF(ABS($S124-1)&lt;=0.3,"A",IF(OR($S124&gt;2,$S124&lt;0.5),"C","B")))))</f>
        <v/>
      </c>
    </row>
    <row r="125" customFormat="false" ht="15" hidden="false" customHeight="true" outlineLevel="0" collapsed="false">
      <c r="H125" s="8" t="str">
        <f aca="false">IF(C125="","",IF(C125&lt;1,"yes","no"))</f>
        <v/>
      </c>
      <c r="I125" s="8" t="str">
        <f aca="false">IF(C125="","",IF(C125&lt;2.6,"r75",IF(C125&lt;5.2,"r110",IF(C125&lt;9.9,"r150",IF(C125&lt;19.8,"r210","r300")))))</f>
        <v/>
      </c>
      <c r="M125" s="8" t="str">
        <f aca="false">IF($A125="","",IFERROR(IF(INDEX(O1_Community_Attributes!$V$1:$V$500,MATCH($A125,O1_Community_Attributes!$A$1:$A$500,0))="","",INDEX(O1_Community_Attributes!$V$1:$V$500,MATCH($A125,O1_Community_Attributes!$A$1:$A$500,0))),""))</f>
        <v/>
      </c>
      <c r="N125" s="8" t="str">
        <f aca="false">IF($A125="","",IFERROR(IF(INDEX(O1_Community_Attributes!$W$1:$W$500,MATCH($A125,O1_Community_Attributes!$A$1:$A$500,0))="","",INDEX(O1_Community_Attributes!$W$1:$W$500,MATCH($A125,O1_Community_Attributes!$A$1:$A$500,0))),""))</f>
        <v/>
      </c>
      <c r="O125" s="8" t="str">
        <f aca="false">IF($A125="","",IFERROR(IF(INDEX(O1_Community_Attributes!$X$1:$X$500,MATCH($A125,O1_Community_Attributes!$A$1:$A$500,0))="","",INDEX(O1_Community_Attributes!$X$1:$X$500,MATCH($A125,O1_Community_Attributes!$A$1:$A$500,0))),""))</f>
        <v/>
      </c>
      <c r="P125" s="8" t="str">
        <f aca="false">IF($A125="","",IFERROR(IF(INDEX(O1_Community_Attributes!$Y$1:$Y$500,MATCH($A125,O1_Community_Attributes!$A$1:$A$500,0))="","",INDEX(O1_Community_Attributes!$Y$1:$Y$500,MATCH($A125,O1_Community_Attributes!$A$1:$A$500,0))),""))</f>
        <v/>
      </c>
      <c r="Q125" s="8" t="str">
        <f aca="false">IF($A125="","",IFERROR(IF(INDEX(O1_Community_Attributes!$Z$1:$Z$500,MATCH($A125,O1_Community_Attributes!$A$1:$A$500,0))="","",INDEX(O1_Community_Attributes!$Z$1:$Z$500,MATCH($A125,O1_Community_Attributes!$A$1:$A$500,0))),""))</f>
        <v/>
      </c>
      <c r="R125" s="8" t="str">
        <f aca="false">IF($A125="","",IFERROR(IF(INDEX(O1_Community_Attributes!$BK$1:$BK$500,MATCH($A125,O1_Community_Attributes!$A$1:$A$500,0))="","",INDEX(O1_Community_Attributes!$BK$1:$BK$500,MATCH($A125,O1_Community_Attributes!$A$1:$A$500,0))),""))</f>
        <v/>
      </c>
      <c r="S125" s="8" t="str">
        <f aca="false">IF(OR($C125="",$M125=""),"",$M125/$C125)</f>
        <v/>
      </c>
      <c r="T125" s="8" t="str">
        <f aca="false">IF($C125="","",IF(AND($M125="",$P125=""),"",IF($M125="","B",IF(ABS($S125-1)&lt;=0.3,"A",IF(OR($S125&gt;2,$S125&lt;0.5),"C","B")))))</f>
        <v/>
      </c>
    </row>
    <row r="126" customFormat="false" ht="15" hidden="false" customHeight="true" outlineLevel="0" collapsed="false">
      <c r="H126" s="8" t="str">
        <f aca="false">IF(C126="","",IF(C126&lt;1,"yes","no"))</f>
        <v/>
      </c>
      <c r="I126" s="8" t="str">
        <f aca="false">IF(C126="","",IF(C126&lt;2.6,"r75",IF(C126&lt;5.2,"r110",IF(C126&lt;9.9,"r150",IF(C126&lt;19.8,"r210","r300")))))</f>
        <v/>
      </c>
      <c r="M126" s="8" t="str">
        <f aca="false">IF($A126="","",IFERROR(IF(INDEX(O1_Community_Attributes!$V$1:$V$500,MATCH($A126,O1_Community_Attributes!$A$1:$A$500,0))="","",INDEX(O1_Community_Attributes!$V$1:$V$500,MATCH($A126,O1_Community_Attributes!$A$1:$A$500,0))),""))</f>
        <v/>
      </c>
      <c r="N126" s="8" t="str">
        <f aca="false">IF($A126="","",IFERROR(IF(INDEX(O1_Community_Attributes!$W$1:$W$500,MATCH($A126,O1_Community_Attributes!$A$1:$A$500,0))="","",INDEX(O1_Community_Attributes!$W$1:$W$500,MATCH($A126,O1_Community_Attributes!$A$1:$A$500,0))),""))</f>
        <v/>
      </c>
      <c r="O126" s="8" t="str">
        <f aca="false">IF($A126="","",IFERROR(IF(INDEX(O1_Community_Attributes!$X$1:$X$500,MATCH($A126,O1_Community_Attributes!$A$1:$A$500,0))="","",INDEX(O1_Community_Attributes!$X$1:$X$500,MATCH($A126,O1_Community_Attributes!$A$1:$A$500,0))),""))</f>
        <v/>
      </c>
      <c r="P126" s="8" t="str">
        <f aca="false">IF($A126="","",IFERROR(IF(INDEX(O1_Community_Attributes!$Y$1:$Y$500,MATCH($A126,O1_Community_Attributes!$A$1:$A$500,0))="","",INDEX(O1_Community_Attributes!$Y$1:$Y$500,MATCH($A126,O1_Community_Attributes!$A$1:$A$500,0))),""))</f>
        <v/>
      </c>
      <c r="Q126" s="8" t="str">
        <f aca="false">IF($A126="","",IFERROR(IF(INDEX(O1_Community_Attributes!$Z$1:$Z$500,MATCH($A126,O1_Community_Attributes!$A$1:$A$500,0))="","",INDEX(O1_Community_Attributes!$Z$1:$Z$500,MATCH($A126,O1_Community_Attributes!$A$1:$A$500,0))),""))</f>
        <v/>
      </c>
      <c r="R126" s="8" t="str">
        <f aca="false">IF($A126="","",IFERROR(IF(INDEX(O1_Community_Attributes!$BK$1:$BK$500,MATCH($A126,O1_Community_Attributes!$A$1:$A$500,0))="","",INDEX(O1_Community_Attributes!$BK$1:$BK$500,MATCH($A126,O1_Community_Attributes!$A$1:$A$500,0))),""))</f>
        <v/>
      </c>
      <c r="S126" s="8" t="str">
        <f aca="false">IF(OR($C126="",$M126=""),"",$M126/$C126)</f>
        <v/>
      </c>
      <c r="T126" s="8" t="str">
        <f aca="false">IF($C126="","",IF(AND($M126="",$P126=""),"",IF($M126="","B",IF(ABS($S126-1)&lt;=0.3,"A",IF(OR($S126&gt;2,$S126&lt;0.5),"C","B")))))</f>
        <v/>
      </c>
    </row>
    <row r="127" customFormat="false" ht="15" hidden="false" customHeight="true" outlineLevel="0" collapsed="false">
      <c r="H127" s="8" t="str">
        <f aca="false">IF(C127="","",IF(C127&lt;1,"yes","no"))</f>
        <v/>
      </c>
      <c r="I127" s="8" t="str">
        <f aca="false">IF(C127="","",IF(C127&lt;2.6,"r75",IF(C127&lt;5.2,"r110",IF(C127&lt;9.9,"r150",IF(C127&lt;19.8,"r210","r300")))))</f>
        <v/>
      </c>
      <c r="M127" s="8" t="str">
        <f aca="false">IF($A127="","",IFERROR(IF(INDEX(O1_Community_Attributes!$V$1:$V$500,MATCH($A127,O1_Community_Attributes!$A$1:$A$500,0))="","",INDEX(O1_Community_Attributes!$V$1:$V$500,MATCH($A127,O1_Community_Attributes!$A$1:$A$500,0))),""))</f>
        <v/>
      </c>
      <c r="N127" s="8" t="str">
        <f aca="false">IF($A127="","",IFERROR(IF(INDEX(O1_Community_Attributes!$W$1:$W$500,MATCH($A127,O1_Community_Attributes!$A$1:$A$500,0))="","",INDEX(O1_Community_Attributes!$W$1:$W$500,MATCH($A127,O1_Community_Attributes!$A$1:$A$500,0))),""))</f>
        <v/>
      </c>
      <c r="O127" s="8" t="str">
        <f aca="false">IF($A127="","",IFERROR(IF(INDEX(O1_Community_Attributes!$X$1:$X$500,MATCH($A127,O1_Community_Attributes!$A$1:$A$500,0))="","",INDEX(O1_Community_Attributes!$X$1:$X$500,MATCH($A127,O1_Community_Attributes!$A$1:$A$500,0))),""))</f>
        <v/>
      </c>
      <c r="P127" s="8" t="str">
        <f aca="false">IF($A127="","",IFERROR(IF(INDEX(O1_Community_Attributes!$Y$1:$Y$500,MATCH($A127,O1_Community_Attributes!$A$1:$A$500,0))="","",INDEX(O1_Community_Attributes!$Y$1:$Y$500,MATCH($A127,O1_Community_Attributes!$A$1:$A$500,0))),""))</f>
        <v/>
      </c>
      <c r="Q127" s="8" t="str">
        <f aca="false">IF($A127="","",IFERROR(IF(INDEX(O1_Community_Attributes!$Z$1:$Z$500,MATCH($A127,O1_Community_Attributes!$A$1:$A$500,0))="","",INDEX(O1_Community_Attributes!$Z$1:$Z$500,MATCH($A127,O1_Community_Attributes!$A$1:$A$500,0))),""))</f>
        <v/>
      </c>
      <c r="R127" s="8" t="str">
        <f aca="false">IF($A127="","",IFERROR(IF(INDEX(O1_Community_Attributes!$BK$1:$BK$500,MATCH($A127,O1_Community_Attributes!$A$1:$A$500,0))="","",INDEX(O1_Community_Attributes!$BK$1:$BK$500,MATCH($A127,O1_Community_Attributes!$A$1:$A$500,0))),""))</f>
        <v/>
      </c>
      <c r="S127" s="8" t="str">
        <f aca="false">IF(OR($C127="",$M127=""),"",$M127/$C127)</f>
        <v/>
      </c>
      <c r="T127" s="8" t="str">
        <f aca="false">IF($C127="","",IF(AND($M127="",$P127=""),"",IF($M127="","B",IF(ABS($S127-1)&lt;=0.3,"A",IF(OR($S127&gt;2,$S127&lt;0.5),"C","B")))))</f>
        <v/>
      </c>
    </row>
    <row r="128" customFormat="false" ht="15" hidden="false" customHeight="true" outlineLevel="0" collapsed="false">
      <c r="H128" s="8" t="str">
        <f aca="false">IF(C128="","",IF(C128&lt;1,"yes","no"))</f>
        <v/>
      </c>
      <c r="I128" s="8" t="str">
        <f aca="false">IF(C128="","",IF(C128&lt;2.6,"r75",IF(C128&lt;5.2,"r110",IF(C128&lt;9.9,"r150",IF(C128&lt;19.8,"r210","r300")))))</f>
        <v/>
      </c>
      <c r="M128" s="8" t="str">
        <f aca="false">IF($A128="","",IFERROR(IF(INDEX(O1_Community_Attributes!$V$1:$V$500,MATCH($A128,O1_Community_Attributes!$A$1:$A$500,0))="","",INDEX(O1_Community_Attributes!$V$1:$V$500,MATCH($A128,O1_Community_Attributes!$A$1:$A$500,0))),""))</f>
        <v/>
      </c>
      <c r="N128" s="8" t="str">
        <f aca="false">IF($A128="","",IFERROR(IF(INDEX(O1_Community_Attributes!$W$1:$W$500,MATCH($A128,O1_Community_Attributes!$A$1:$A$500,0))="","",INDEX(O1_Community_Attributes!$W$1:$W$500,MATCH($A128,O1_Community_Attributes!$A$1:$A$500,0))),""))</f>
        <v/>
      </c>
      <c r="O128" s="8" t="str">
        <f aca="false">IF($A128="","",IFERROR(IF(INDEX(O1_Community_Attributes!$X$1:$X$500,MATCH($A128,O1_Community_Attributes!$A$1:$A$500,0))="","",INDEX(O1_Community_Attributes!$X$1:$X$500,MATCH($A128,O1_Community_Attributes!$A$1:$A$500,0))),""))</f>
        <v/>
      </c>
      <c r="P128" s="8" t="str">
        <f aca="false">IF($A128="","",IFERROR(IF(INDEX(O1_Community_Attributes!$Y$1:$Y$500,MATCH($A128,O1_Community_Attributes!$A$1:$A$500,0))="","",INDEX(O1_Community_Attributes!$Y$1:$Y$500,MATCH($A128,O1_Community_Attributes!$A$1:$A$500,0))),""))</f>
        <v/>
      </c>
      <c r="Q128" s="8" t="str">
        <f aca="false">IF($A128="","",IFERROR(IF(INDEX(O1_Community_Attributes!$Z$1:$Z$500,MATCH($A128,O1_Community_Attributes!$A$1:$A$500,0))="","",INDEX(O1_Community_Attributes!$Z$1:$Z$500,MATCH($A128,O1_Community_Attributes!$A$1:$A$500,0))),""))</f>
        <v/>
      </c>
      <c r="R128" s="8" t="str">
        <f aca="false">IF($A128="","",IFERROR(IF(INDEX(O1_Community_Attributes!$BK$1:$BK$500,MATCH($A128,O1_Community_Attributes!$A$1:$A$500,0))="","",INDEX(O1_Community_Attributes!$BK$1:$BK$500,MATCH($A128,O1_Community_Attributes!$A$1:$A$500,0))),""))</f>
        <v/>
      </c>
      <c r="S128" s="8" t="str">
        <f aca="false">IF(OR($C128="",$M128=""),"",$M128/$C128)</f>
        <v/>
      </c>
      <c r="T128" s="8" t="str">
        <f aca="false">IF($C128="","",IF(AND($M128="",$P128=""),"",IF($M128="","B",IF(ABS($S128-1)&lt;=0.3,"A",IF(OR($S128&gt;2,$S128&lt;0.5),"C","B")))))</f>
        <v/>
      </c>
    </row>
    <row r="129" customFormat="false" ht="15" hidden="false" customHeight="true" outlineLevel="0" collapsed="false">
      <c r="H129" s="8" t="str">
        <f aca="false">IF(C129="","",IF(C129&lt;1,"yes","no"))</f>
        <v/>
      </c>
      <c r="I129" s="8" t="str">
        <f aca="false">IF(C129="","",IF(C129&lt;2.6,"r75",IF(C129&lt;5.2,"r110",IF(C129&lt;9.9,"r150",IF(C129&lt;19.8,"r210","r300")))))</f>
        <v/>
      </c>
      <c r="M129" s="8" t="str">
        <f aca="false">IF($A129="","",IFERROR(IF(INDEX(O1_Community_Attributes!$V$1:$V$500,MATCH($A129,O1_Community_Attributes!$A$1:$A$500,0))="","",INDEX(O1_Community_Attributes!$V$1:$V$500,MATCH($A129,O1_Community_Attributes!$A$1:$A$500,0))),""))</f>
        <v/>
      </c>
      <c r="N129" s="8" t="str">
        <f aca="false">IF($A129="","",IFERROR(IF(INDEX(O1_Community_Attributes!$W$1:$W$500,MATCH($A129,O1_Community_Attributes!$A$1:$A$500,0))="","",INDEX(O1_Community_Attributes!$W$1:$W$500,MATCH($A129,O1_Community_Attributes!$A$1:$A$500,0))),""))</f>
        <v/>
      </c>
      <c r="O129" s="8" t="str">
        <f aca="false">IF($A129="","",IFERROR(IF(INDEX(O1_Community_Attributes!$X$1:$X$500,MATCH($A129,O1_Community_Attributes!$A$1:$A$500,0))="","",INDEX(O1_Community_Attributes!$X$1:$X$500,MATCH($A129,O1_Community_Attributes!$A$1:$A$500,0))),""))</f>
        <v/>
      </c>
      <c r="P129" s="8" t="str">
        <f aca="false">IF($A129="","",IFERROR(IF(INDEX(O1_Community_Attributes!$Y$1:$Y$500,MATCH($A129,O1_Community_Attributes!$A$1:$A$500,0))="","",INDEX(O1_Community_Attributes!$Y$1:$Y$500,MATCH($A129,O1_Community_Attributes!$A$1:$A$500,0))),""))</f>
        <v/>
      </c>
      <c r="Q129" s="8" t="str">
        <f aca="false">IF($A129="","",IFERROR(IF(INDEX(O1_Community_Attributes!$Z$1:$Z$500,MATCH($A129,O1_Community_Attributes!$A$1:$A$500,0))="","",INDEX(O1_Community_Attributes!$Z$1:$Z$500,MATCH($A129,O1_Community_Attributes!$A$1:$A$500,0))),""))</f>
        <v/>
      </c>
      <c r="R129" s="8" t="str">
        <f aca="false">IF($A129="","",IFERROR(IF(INDEX(O1_Community_Attributes!$BK$1:$BK$500,MATCH($A129,O1_Community_Attributes!$A$1:$A$500,0))="","",INDEX(O1_Community_Attributes!$BK$1:$BK$500,MATCH($A129,O1_Community_Attributes!$A$1:$A$500,0))),""))</f>
        <v/>
      </c>
      <c r="S129" s="8" t="str">
        <f aca="false">IF(OR($C129="",$M129=""),"",$M129/$C129)</f>
        <v/>
      </c>
      <c r="T129" s="8" t="str">
        <f aca="false">IF($C129="","",IF(AND($M129="",$P129=""),"",IF($M129="","B",IF(ABS($S129-1)&lt;=0.3,"A",IF(OR($S129&gt;2,$S129&lt;0.5),"C","B")))))</f>
        <v/>
      </c>
    </row>
    <row r="130" customFormat="false" ht="15" hidden="false" customHeight="true" outlineLevel="0" collapsed="false">
      <c r="H130" s="8" t="str">
        <f aca="false">IF(C130="","",IF(C130&lt;1,"yes","no"))</f>
        <v/>
      </c>
      <c r="I130" s="8" t="str">
        <f aca="false">IF(C130="","",IF(C130&lt;2.6,"r75",IF(C130&lt;5.2,"r110",IF(C130&lt;9.9,"r150",IF(C130&lt;19.8,"r210","r300")))))</f>
        <v/>
      </c>
      <c r="M130" s="8" t="str">
        <f aca="false">IF($A130="","",IFERROR(IF(INDEX(O1_Community_Attributes!$V$1:$V$500,MATCH($A130,O1_Community_Attributes!$A$1:$A$500,0))="","",INDEX(O1_Community_Attributes!$V$1:$V$500,MATCH($A130,O1_Community_Attributes!$A$1:$A$500,0))),""))</f>
        <v/>
      </c>
      <c r="N130" s="8" t="str">
        <f aca="false">IF($A130="","",IFERROR(IF(INDEX(O1_Community_Attributes!$W$1:$W$500,MATCH($A130,O1_Community_Attributes!$A$1:$A$500,0))="","",INDEX(O1_Community_Attributes!$W$1:$W$500,MATCH($A130,O1_Community_Attributes!$A$1:$A$500,0))),""))</f>
        <v/>
      </c>
      <c r="O130" s="8" t="str">
        <f aca="false">IF($A130="","",IFERROR(IF(INDEX(O1_Community_Attributes!$X$1:$X$500,MATCH($A130,O1_Community_Attributes!$A$1:$A$500,0))="","",INDEX(O1_Community_Attributes!$X$1:$X$500,MATCH($A130,O1_Community_Attributes!$A$1:$A$500,0))),""))</f>
        <v/>
      </c>
      <c r="P130" s="8" t="str">
        <f aca="false">IF($A130="","",IFERROR(IF(INDEX(O1_Community_Attributes!$Y$1:$Y$500,MATCH($A130,O1_Community_Attributes!$A$1:$A$500,0))="","",INDEX(O1_Community_Attributes!$Y$1:$Y$500,MATCH($A130,O1_Community_Attributes!$A$1:$A$500,0))),""))</f>
        <v/>
      </c>
      <c r="Q130" s="8" t="str">
        <f aca="false">IF($A130="","",IFERROR(IF(INDEX(O1_Community_Attributes!$Z$1:$Z$500,MATCH($A130,O1_Community_Attributes!$A$1:$A$500,0))="","",INDEX(O1_Community_Attributes!$Z$1:$Z$500,MATCH($A130,O1_Community_Attributes!$A$1:$A$500,0))),""))</f>
        <v/>
      </c>
      <c r="R130" s="8" t="str">
        <f aca="false">IF($A130="","",IFERROR(IF(INDEX(O1_Community_Attributes!$BK$1:$BK$500,MATCH($A130,O1_Community_Attributes!$A$1:$A$500,0))="","",INDEX(O1_Community_Attributes!$BK$1:$BK$500,MATCH($A130,O1_Community_Attributes!$A$1:$A$500,0))),""))</f>
        <v/>
      </c>
      <c r="S130" s="8" t="str">
        <f aca="false">IF(OR($C130="",$M130=""),"",$M130/$C130)</f>
        <v/>
      </c>
      <c r="T130" s="8" t="str">
        <f aca="false">IF($C130="","",IF(AND($M130="",$P130=""),"",IF($M130="","B",IF(ABS($S130-1)&lt;=0.3,"A",IF(OR($S130&gt;2,$S130&lt;0.5),"C","B")))))</f>
        <v/>
      </c>
    </row>
    <row r="131" customFormat="false" ht="15" hidden="false" customHeight="true" outlineLevel="0" collapsed="false">
      <c r="H131" s="8" t="str">
        <f aca="false">IF(C131="","",IF(C131&lt;1,"yes","no"))</f>
        <v/>
      </c>
      <c r="I131" s="8" t="str">
        <f aca="false">IF(C131="","",IF(C131&lt;2.6,"r75",IF(C131&lt;5.2,"r110",IF(C131&lt;9.9,"r150",IF(C131&lt;19.8,"r210","r300")))))</f>
        <v/>
      </c>
      <c r="M131" s="8" t="str">
        <f aca="false">IF($A131="","",IFERROR(IF(INDEX(O1_Community_Attributes!$V$1:$V$500,MATCH($A131,O1_Community_Attributes!$A$1:$A$500,0))="","",INDEX(O1_Community_Attributes!$V$1:$V$500,MATCH($A131,O1_Community_Attributes!$A$1:$A$500,0))),""))</f>
        <v/>
      </c>
      <c r="N131" s="8" t="str">
        <f aca="false">IF($A131="","",IFERROR(IF(INDEX(O1_Community_Attributes!$W$1:$W$500,MATCH($A131,O1_Community_Attributes!$A$1:$A$500,0))="","",INDEX(O1_Community_Attributes!$W$1:$W$500,MATCH($A131,O1_Community_Attributes!$A$1:$A$500,0))),""))</f>
        <v/>
      </c>
      <c r="O131" s="8" t="str">
        <f aca="false">IF($A131="","",IFERROR(IF(INDEX(O1_Community_Attributes!$X$1:$X$500,MATCH($A131,O1_Community_Attributes!$A$1:$A$500,0))="","",INDEX(O1_Community_Attributes!$X$1:$X$500,MATCH($A131,O1_Community_Attributes!$A$1:$A$500,0))),""))</f>
        <v/>
      </c>
      <c r="P131" s="8" t="str">
        <f aca="false">IF($A131="","",IFERROR(IF(INDEX(O1_Community_Attributes!$Y$1:$Y$500,MATCH($A131,O1_Community_Attributes!$A$1:$A$500,0))="","",INDEX(O1_Community_Attributes!$Y$1:$Y$500,MATCH($A131,O1_Community_Attributes!$A$1:$A$500,0))),""))</f>
        <v/>
      </c>
      <c r="Q131" s="8" t="str">
        <f aca="false">IF($A131="","",IFERROR(IF(INDEX(O1_Community_Attributes!$Z$1:$Z$500,MATCH($A131,O1_Community_Attributes!$A$1:$A$500,0))="","",INDEX(O1_Community_Attributes!$Z$1:$Z$500,MATCH($A131,O1_Community_Attributes!$A$1:$A$500,0))),""))</f>
        <v/>
      </c>
      <c r="R131" s="8" t="str">
        <f aca="false">IF($A131="","",IFERROR(IF(INDEX(O1_Community_Attributes!$BK$1:$BK$500,MATCH($A131,O1_Community_Attributes!$A$1:$A$500,0))="","",INDEX(O1_Community_Attributes!$BK$1:$BK$500,MATCH($A131,O1_Community_Attributes!$A$1:$A$500,0))),""))</f>
        <v/>
      </c>
      <c r="S131" s="8" t="str">
        <f aca="false">IF(OR($C131="",$M131=""),"",$M131/$C131)</f>
        <v/>
      </c>
      <c r="T131" s="8" t="str">
        <f aca="false">IF($C131="","",IF(AND($M131="",$P131=""),"",IF($M131="","B",IF(ABS($S131-1)&lt;=0.3,"A",IF(OR($S131&gt;2,$S131&lt;0.5),"C","B")))))</f>
        <v/>
      </c>
    </row>
    <row r="132" customFormat="false" ht="15" hidden="false" customHeight="true" outlineLevel="0" collapsed="false">
      <c r="H132" s="8" t="str">
        <f aca="false">IF(C132="","",IF(C132&lt;1,"yes","no"))</f>
        <v/>
      </c>
      <c r="I132" s="8" t="str">
        <f aca="false">IF(C132="","",IF(C132&lt;2.6,"r75",IF(C132&lt;5.2,"r110",IF(C132&lt;9.9,"r150",IF(C132&lt;19.8,"r210","r300")))))</f>
        <v/>
      </c>
      <c r="M132" s="8" t="str">
        <f aca="false">IF($A132="","",IFERROR(IF(INDEX(O1_Community_Attributes!$V$1:$V$500,MATCH($A132,O1_Community_Attributes!$A$1:$A$500,0))="","",INDEX(O1_Community_Attributes!$V$1:$V$500,MATCH($A132,O1_Community_Attributes!$A$1:$A$500,0))),""))</f>
        <v/>
      </c>
      <c r="N132" s="8" t="str">
        <f aca="false">IF($A132="","",IFERROR(IF(INDEX(O1_Community_Attributes!$W$1:$W$500,MATCH($A132,O1_Community_Attributes!$A$1:$A$500,0))="","",INDEX(O1_Community_Attributes!$W$1:$W$500,MATCH($A132,O1_Community_Attributes!$A$1:$A$500,0))),""))</f>
        <v/>
      </c>
      <c r="O132" s="8" t="str">
        <f aca="false">IF($A132="","",IFERROR(IF(INDEX(O1_Community_Attributes!$X$1:$X$500,MATCH($A132,O1_Community_Attributes!$A$1:$A$500,0))="","",INDEX(O1_Community_Attributes!$X$1:$X$500,MATCH($A132,O1_Community_Attributes!$A$1:$A$500,0))),""))</f>
        <v/>
      </c>
      <c r="P132" s="8" t="str">
        <f aca="false">IF($A132="","",IFERROR(IF(INDEX(O1_Community_Attributes!$Y$1:$Y$500,MATCH($A132,O1_Community_Attributes!$A$1:$A$500,0))="","",INDEX(O1_Community_Attributes!$Y$1:$Y$500,MATCH($A132,O1_Community_Attributes!$A$1:$A$500,0))),""))</f>
        <v/>
      </c>
      <c r="Q132" s="8" t="str">
        <f aca="false">IF($A132="","",IFERROR(IF(INDEX(O1_Community_Attributes!$Z$1:$Z$500,MATCH($A132,O1_Community_Attributes!$A$1:$A$500,0))="","",INDEX(O1_Community_Attributes!$Z$1:$Z$500,MATCH($A132,O1_Community_Attributes!$A$1:$A$500,0))),""))</f>
        <v/>
      </c>
      <c r="R132" s="8" t="str">
        <f aca="false">IF($A132="","",IFERROR(IF(INDEX(O1_Community_Attributes!$BK$1:$BK$500,MATCH($A132,O1_Community_Attributes!$A$1:$A$500,0))="","",INDEX(O1_Community_Attributes!$BK$1:$BK$500,MATCH($A132,O1_Community_Attributes!$A$1:$A$500,0))),""))</f>
        <v/>
      </c>
      <c r="S132" s="8" t="str">
        <f aca="false">IF(OR($C132="",$M132=""),"",$M132/$C132)</f>
        <v/>
      </c>
      <c r="T132" s="8" t="str">
        <f aca="false">IF($C132="","",IF(AND($M132="",$P132=""),"",IF($M132="","B",IF(ABS($S132-1)&lt;=0.3,"A",IF(OR($S132&gt;2,$S132&lt;0.5),"C","B")))))</f>
        <v/>
      </c>
    </row>
    <row r="133" customFormat="false" ht="15" hidden="false" customHeight="true" outlineLevel="0" collapsed="false">
      <c r="H133" s="8" t="str">
        <f aca="false">IF(C133="","",IF(C133&lt;1,"yes","no"))</f>
        <v/>
      </c>
      <c r="I133" s="8" t="str">
        <f aca="false">IF(C133="","",IF(C133&lt;2.6,"r75",IF(C133&lt;5.2,"r110",IF(C133&lt;9.9,"r150",IF(C133&lt;19.8,"r210","r300")))))</f>
        <v/>
      </c>
      <c r="M133" s="8" t="str">
        <f aca="false">IF($A133="","",IFERROR(IF(INDEX(O1_Community_Attributes!$V$1:$V$500,MATCH($A133,O1_Community_Attributes!$A$1:$A$500,0))="","",INDEX(O1_Community_Attributes!$V$1:$V$500,MATCH($A133,O1_Community_Attributes!$A$1:$A$500,0))),""))</f>
        <v/>
      </c>
      <c r="N133" s="8" t="str">
        <f aca="false">IF($A133="","",IFERROR(IF(INDEX(O1_Community_Attributes!$W$1:$W$500,MATCH($A133,O1_Community_Attributes!$A$1:$A$500,0))="","",INDEX(O1_Community_Attributes!$W$1:$W$500,MATCH($A133,O1_Community_Attributes!$A$1:$A$500,0))),""))</f>
        <v/>
      </c>
      <c r="O133" s="8" t="str">
        <f aca="false">IF($A133="","",IFERROR(IF(INDEX(O1_Community_Attributes!$X$1:$X$500,MATCH($A133,O1_Community_Attributes!$A$1:$A$500,0))="","",INDEX(O1_Community_Attributes!$X$1:$X$500,MATCH($A133,O1_Community_Attributes!$A$1:$A$500,0))),""))</f>
        <v/>
      </c>
      <c r="P133" s="8" t="str">
        <f aca="false">IF($A133="","",IFERROR(IF(INDEX(O1_Community_Attributes!$Y$1:$Y$500,MATCH($A133,O1_Community_Attributes!$A$1:$A$500,0))="","",INDEX(O1_Community_Attributes!$Y$1:$Y$500,MATCH($A133,O1_Community_Attributes!$A$1:$A$500,0))),""))</f>
        <v/>
      </c>
      <c r="Q133" s="8" t="str">
        <f aca="false">IF($A133="","",IFERROR(IF(INDEX(O1_Community_Attributes!$Z$1:$Z$500,MATCH($A133,O1_Community_Attributes!$A$1:$A$500,0))="","",INDEX(O1_Community_Attributes!$Z$1:$Z$500,MATCH($A133,O1_Community_Attributes!$A$1:$A$500,0))),""))</f>
        <v/>
      </c>
      <c r="R133" s="8" t="str">
        <f aca="false">IF($A133="","",IFERROR(IF(INDEX(O1_Community_Attributes!$BK$1:$BK$500,MATCH($A133,O1_Community_Attributes!$A$1:$A$500,0))="","",INDEX(O1_Community_Attributes!$BK$1:$BK$500,MATCH($A133,O1_Community_Attributes!$A$1:$A$500,0))),""))</f>
        <v/>
      </c>
      <c r="S133" s="8" t="str">
        <f aca="false">IF(OR($C133="",$M133=""),"",$M133/$C133)</f>
        <v/>
      </c>
      <c r="T133" s="8" t="str">
        <f aca="false">IF($C133="","",IF(AND($M133="",$P133=""),"",IF($M133="","B",IF(ABS($S133-1)&lt;=0.3,"A",IF(OR($S133&gt;2,$S133&lt;0.5),"C","B")))))</f>
        <v/>
      </c>
    </row>
    <row r="134" customFormat="false" ht="15" hidden="false" customHeight="true" outlineLevel="0" collapsed="false">
      <c r="H134" s="8" t="str">
        <f aca="false">IF(C134="","",IF(C134&lt;1,"yes","no"))</f>
        <v/>
      </c>
      <c r="I134" s="8" t="str">
        <f aca="false">IF(C134="","",IF(C134&lt;2.6,"r75",IF(C134&lt;5.2,"r110",IF(C134&lt;9.9,"r150",IF(C134&lt;19.8,"r210","r300")))))</f>
        <v/>
      </c>
      <c r="M134" s="8" t="str">
        <f aca="false">IF($A134="","",IFERROR(IF(INDEX(O1_Community_Attributes!$V$1:$V$500,MATCH($A134,O1_Community_Attributes!$A$1:$A$500,0))="","",INDEX(O1_Community_Attributes!$V$1:$V$500,MATCH($A134,O1_Community_Attributes!$A$1:$A$500,0))),""))</f>
        <v/>
      </c>
      <c r="N134" s="8" t="str">
        <f aca="false">IF($A134="","",IFERROR(IF(INDEX(O1_Community_Attributes!$W$1:$W$500,MATCH($A134,O1_Community_Attributes!$A$1:$A$500,0))="","",INDEX(O1_Community_Attributes!$W$1:$W$500,MATCH($A134,O1_Community_Attributes!$A$1:$A$500,0))),""))</f>
        <v/>
      </c>
      <c r="O134" s="8" t="str">
        <f aca="false">IF($A134="","",IFERROR(IF(INDEX(O1_Community_Attributes!$X$1:$X$500,MATCH($A134,O1_Community_Attributes!$A$1:$A$500,0))="","",INDEX(O1_Community_Attributes!$X$1:$X$500,MATCH($A134,O1_Community_Attributes!$A$1:$A$500,0))),""))</f>
        <v/>
      </c>
      <c r="P134" s="8" t="str">
        <f aca="false">IF($A134="","",IFERROR(IF(INDEX(O1_Community_Attributes!$Y$1:$Y$500,MATCH($A134,O1_Community_Attributes!$A$1:$A$500,0))="","",INDEX(O1_Community_Attributes!$Y$1:$Y$500,MATCH($A134,O1_Community_Attributes!$A$1:$A$500,0))),""))</f>
        <v/>
      </c>
      <c r="Q134" s="8" t="str">
        <f aca="false">IF($A134="","",IFERROR(IF(INDEX(O1_Community_Attributes!$Z$1:$Z$500,MATCH($A134,O1_Community_Attributes!$A$1:$A$500,0))="","",INDEX(O1_Community_Attributes!$Z$1:$Z$500,MATCH($A134,O1_Community_Attributes!$A$1:$A$500,0))),""))</f>
        <v/>
      </c>
      <c r="R134" s="8" t="str">
        <f aca="false">IF($A134="","",IFERROR(IF(INDEX(O1_Community_Attributes!$BK$1:$BK$500,MATCH($A134,O1_Community_Attributes!$A$1:$A$500,0))="","",INDEX(O1_Community_Attributes!$BK$1:$BK$500,MATCH($A134,O1_Community_Attributes!$A$1:$A$500,0))),""))</f>
        <v/>
      </c>
      <c r="S134" s="8" t="str">
        <f aca="false">IF(OR($C134="",$M134=""),"",$M134/$C134)</f>
        <v/>
      </c>
      <c r="T134" s="8" t="str">
        <f aca="false">IF($C134="","",IF(AND($M134="",$P134=""),"",IF($M134="","B",IF(ABS($S134-1)&lt;=0.3,"A",IF(OR($S134&gt;2,$S134&lt;0.5),"C","B")))))</f>
        <v/>
      </c>
    </row>
    <row r="135" customFormat="false" ht="15" hidden="false" customHeight="true" outlineLevel="0" collapsed="false">
      <c r="H135" s="8" t="str">
        <f aca="false">IF(C135="","",IF(C135&lt;1,"yes","no"))</f>
        <v/>
      </c>
      <c r="I135" s="8" t="str">
        <f aca="false">IF(C135="","",IF(C135&lt;2.6,"r75",IF(C135&lt;5.2,"r110",IF(C135&lt;9.9,"r150",IF(C135&lt;19.8,"r210","r300")))))</f>
        <v/>
      </c>
      <c r="M135" s="8" t="str">
        <f aca="false">IF($A135="","",IFERROR(IF(INDEX(O1_Community_Attributes!$V$1:$V$500,MATCH($A135,O1_Community_Attributes!$A$1:$A$500,0))="","",INDEX(O1_Community_Attributes!$V$1:$V$500,MATCH($A135,O1_Community_Attributes!$A$1:$A$500,0))),""))</f>
        <v/>
      </c>
      <c r="N135" s="8" t="str">
        <f aca="false">IF($A135="","",IFERROR(IF(INDEX(O1_Community_Attributes!$W$1:$W$500,MATCH($A135,O1_Community_Attributes!$A$1:$A$500,0))="","",INDEX(O1_Community_Attributes!$W$1:$W$500,MATCH($A135,O1_Community_Attributes!$A$1:$A$500,0))),""))</f>
        <v/>
      </c>
      <c r="O135" s="8" t="str">
        <f aca="false">IF($A135="","",IFERROR(IF(INDEX(O1_Community_Attributes!$X$1:$X$500,MATCH($A135,O1_Community_Attributes!$A$1:$A$500,0))="","",INDEX(O1_Community_Attributes!$X$1:$X$500,MATCH($A135,O1_Community_Attributes!$A$1:$A$500,0))),""))</f>
        <v/>
      </c>
      <c r="P135" s="8" t="str">
        <f aca="false">IF($A135="","",IFERROR(IF(INDEX(O1_Community_Attributes!$Y$1:$Y$500,MATCH($A135,O1_Community_Attributes!$A$1:$A$500,0))="","",INDEX(O1_Community_Attributes!$Y$1:$Y$500,MATCH($A135,O1_Community_Attributes!$A$1:$A$500,0))),""))</f>
        <v/>
      </c>
      <c r="Q135" s="8" t="str">
        <f aca="false">IF($A135="","",IFERROR(IF(INDEX(O1_Community_Attributes!$Z$1:$Z$500,MATCH($A135,O1_Community_Attributes!$A$1:$A$500,0))="","",INDEX(O1_Community_Attributes!$Z$1:$Z$500,MATCH($A135,O1_Community_Attributes!$A$1:$A$500,0))),""))</f>
        <v/>
      </c>
      <c r="R135" s="8" t="str">
        <f aca="false">IF($A135="","",IFERROR(IF(INDEX(O1_Community_Attributes!$BK$1:$BK$500,MATCH($A135,O1_Community_Attributes!$A$1:$A$500,0))="","",INDEX(O1_Community_Attributes!$BK$1:$BK$500,MATCH($A135,O1_Community_Attributes!$A$1:$A$500,0))),""))</f>
        <v/>
      </c>
      <c r="S135" s="8" t="str">
        <f aca="false">IF(OR($C135="",$M135=""),"",$M135/$C135)</f>
        <v/>
      </c>
      <c r="T135" s="8" t="str">
        <f aca="false">IF($C135="","",IF(AND($M135="",$P135=""),"",IF($M135="","B",IF(ABS($S135-1)&lt;=0.3,"A",IF(OR($S135&gt;2,$S135&lt;0.5),"C","B")))))</f>
        <v/>
      </c>
    </row>
    <row r="136" customFormat="false" ht="15" hidden="false" customHeight="true" outlineLevel="0" collapsed="false">
      <c r="H136" s="8" t="str">
        <f aca="false">IF(C136="","",IF(C136&lt;1,"yes","no"))</f>
        <v/>
      </c>
      <c r="I136" s="8" t="str">
        <f aca="false">IF(C136="","",IF(C136&lt;2.6,"r75",IF(C136&lt;5.2,"r110",IF(C136&lt;9.9,"r150",IF(C136&lt;19.8,"r210","r300")))))</f>
        <v/>
      </c>
      <c r="M136" s="8" t="str">
        <f aca="false">IF($A136="","",IFERROR(IF(INDEX(O1_Community_Attributes!$V$1:$V$500,MATCH($A136,O1_Community_Attributes!$A$1:$A$500,0))="","",INDEX(O1_Community_Attributes!$V$1:$V$500,MATCH($A136,O1_Community_Attributes!$A$1:$A$500,0))),""))</f>
        <v/>
      </c>
      <c r="N136" s="8" t="str">
        <f aca="false">IF($A136="","",IFERROR(IF(INDEX(O1_Community_Attributes!$W$1:$W$500,MATCH($A136,O1_Community_Attributes!$A$1:$A$500,0))="","",INDEX(O1_Community_Attributes!$W$1:$W$500,MATCH($A136,O1_Community_Attributes!$A$1:$A$500,0))),""))</f>
        <v/>
      </c>
      <c r="O136" s="8" t="str">
        <f aca="false">IF($A136="","",IFERROR(IF(INDEX(O1_Community_Attributes!$X$1:$X$500,MATCH($A136,O1_Community_Attributes!$A$1:$A$500,0))="","",INDEX(O1_Community_Attributes!$X$1:$X$500,MATCH($A136,O1_Community_Attributes!$A$1:$A$500,0))),""))</f>
        <v/>
      </c>
      <c r="P136" s="8" t="str">
        <f aca="false">IF($A136="","",IFERROR(IF(INDEX(O1_Community_Attributes!$Y$1:$Y$500,MATCH($A136,O1_Community_Attributes!$A$1:$A$500,0))="","",INDEX(O1_Community_Attributes!$Y$1:$Y$500,MATCH($A136,O1_Community_Attributes!$A$1:$A$500,0))),""))</f>
        <v/>
      </c>
      <c r="Q136" s="8" t="str">
        <f aca="false">IF($A136="","",IFERROR(IF(INDEX(O1_Community_Attributes!$Z$1:$Z$500,MATCH($A136,O1_Community_Attributes!$A$1:$A$500,0))="","",INDEX(O1_Community_Attributes!$Z$1:$Z$500,MATCH($A136,O1_Community_Attributes!$A$1:$A$500,0))),""))</f>
        <v/>
      </c>
      <c r="R136" s="8" t="str">
        <f aca="false">IF($A136="","",IFERROR(IF(INDEX(O1_Community_Attributes!$BK$1:$BK$500,MATCH($A136,O1_Community_Attributes!$A$1:$A$500,0))="","",INDEX(O1_Community_Attributes!$BK$1:$BK$500,MATCH($A136,O1_Community_Attributes!$A$1:$A$500,0))),""))</f>
        <v/>
      </c>
      <c r="S136" s="8" t="str">
        <f aca="false">IF(OR($C136="",$M136=""),"",$M136/$C136)</f>
        <v/>
      </c>
      <c r="T136" s="8" t="str">
        <f aca="false">IF($C136="","",IF(AND($M136="",$P136=""),"",IF($M136="","B",IF(ABS($S136-1)&lt;=0.3,"A",IF(OR($S136&gt;2,$S136&lt;0.5),"C","B")))))</f>
        <v/>
      </c>
    </row>
    <row r="137" customFormat="false" ht="15" hidden="false" customHeight="true" outlineLevel="0" collapsed="false">
      <c r="H137" s="8" t="str">
        <f aca="false">IF(C137="","",IF(C137&lt;1,"yes","no"))</f>
        <v/>
      </c>
      <c r="I137" s="8" t="str">
        <f aca="false">IF(C137="","",IF(C137&lt;2.6,"r75",IF(C137&lt;5.2,"r110",IF(C137&lt;9.9,"r150",IF(C137&lt;19.8,"r210","r300")))))</f>
        <v/>
      </c>
      <c r="M137" s="8" t="str">
        <f aca="false">IF($A137="","",IFERROR(IF(INDEX(O1_Community_Attributes!$V$1:$V$500,MATCH($A137,O1_Community_Attributes!$A$1:$A$500,0))="","",INDEX(O1_Community_Attributes!$V$1:$V$500,MATCH($A137,O1_Community_Attributes!$A$1:$A$500,0))),""))</f>
        <v/>
      </c>
      <c r="N137" s="8" t="str">
        <f aca="false">IF($A137="","",IFERROR(IF(INDEX(O1_Community_Attributes!$W$1:$W$500,MATCH($A137,O1_Community_Attributes!$A$1:$A$500,0))="","",INDEX(O1_Community_Attributes!$W$1:$W$500,MATCH($A137,O1_Community_Attributes!$A$1:$A$500,0))),""))</f>
        <v/>
      </c>
      <c r="O137" s="8" t="str">
        <f aca="false">IF($A137="","",IFERROR(IF(INDEX(O1_Community_Attributes!$X$1:$X$500,MATCH($A137,O1_Community_Attributes!$A$1:$A$500,0))="","",INDEX(O1_Community_Attributes!$X$1:$X$500,MATCH($A137,O1_Community_Attributes!$A$1:$A$500,0))),""))</f>
        <v/>
      </c>
      <c r="P137" s="8" t="str">
        <f aca="false">IF($A137="","",IFERROR(IF(INDEX(O1_Community_Attributes!$Y$1:$Y$500,MATCH($A137,O1_Community_Attributes!$A$1:$A$500,0))="","",INDEX(O1_Community_Attributes!$Y$1:$Y$500,MATCH($A137,O1_Community_Attributes!$A$1:$A$500,0))),""))</f>
        <v/>
      </c>
      <c r="Q137" s="8" t="str">
        <f aca="false">IF($A137="","",IFERROR(IF(INDEX(O1_Community_Attributes!$Z$1:$Z$500,MATCH($A137,O1_Community_Attributes!$A$1:$A$500,0))="","",INDEX(O1_Community_Attributes!$Z$1:$Z$500,MATCH($A137,O1_Community_Attributes!$A$1:$A$500,0))),""))</f>
        <v/>
      </c>
      <c r="R137" s="8" t="str">
        <f aca="false">IF($A137="","",IFERROR(IF(INDEX(O1_Community_Attributes!$BK$1:$BK$500,MATCH($A137,O1_Community_Attributes!$A$1:$A$500,0))="","",INDEX(O1_Community_Attributes!$BK$1:$BK$500,MATCH($A137,O1_Community_Attributes!$A$1:$A$500,0))),""))</f>
        <v/>
      </c>
      <c r="S137" s="8" t="str">
        <f aca="false">IF(OR($C137="",$M137=""),"",$M137/$C137)</f>
        <v/>
      </c>
      <c r="T137" s="8" t="str">
        <f aca="false">IF($C137="","",IF(AND($M137="",$P137=""),"",IF($M137="","B",IF(ABS($S137-1)&lt;=0.3,"A",IF(OR($S137&gt;2,$S137&lt;0.5),"C","B")))))</f>
        <v/>
      </c>
    </row>
    <row r="138" customFormat="false" ht="15" hidden="false" customHeight="true" outlineLevel="0" collapsed="false">
      <c r="H138" s="8" t="str">
        <f aca="false">IF(C138="","",IF(C138&lt;1,"yes","no"))</f>
        <v/>
      </c>
      <c r="I138" s="8" t="str">
        <f aca="false">IF(C138="","",IF(C138&lt;2.6,"r75",IF(C138&lt;5.2,"r110",IF(C138&lt;9.9,"r150",IF(C138&lt;19.8,"r210","r300")))))</f>
        <v/>
      </c>
      <c r="M138" s="8" t="str">
        <f aca="false">IF($A138="","",IFERROR(IF(INDEX(O1_Community_Attributes!$V$1:$V$500,MATCH($A138,O1_Community_Attributes!$A$1:$A$500,0))="","",INDEX(O1_Community_Attributes!$V$1:$V$500,MATCH($A138,O1_Community_Attributes!$A$1:$A$500,0))),""))</f>
        <v/>
      </c>
      <c r="N138" s="8" t="str">
        <f aca="false">IF($A138="","",IFERROR(IF(INDEX(O1_Community_Attributes!$W$1:$W$500,MATCH($A138,O1_Community_Attributes!$A$1:$A$500,0))="","",INDEX(O1_Community_Attributes!$W$1:$W$500,MATCH($A138,O1_Community_Attributes!$A$1:$A$500,0))),""))</f>
        <v/>
      </c>
      <c r="O138" s="8" t="str">
        <f aca="false">IF($A138="","",IFERROR(IF(INDEX(O1_Community_Attributes!$X$1:$X$500,MATCH($A138,O1_Community_Attributes!$A$1:$A$500,0))="","",INDEX(O1_Community_Attributes!$X$1:$X$500,MATCH($A138,O1_Community_Attributes!$A$1:$A$500,0))),""))</f>
        <v/>
      </c>
      <c r="P138" s="8" t="str">
        <f aca="false">IF($A138="","",IFERROR(IF(INDEX(O1_Community_Attributes!$Y$1:$Y$500,MATCH($A138,O1_Community_Attributes!$A$1:$A$500,0))="","",INDEX(O1_Community_Attributes!$Y$1:$Y$500,MATCH($A138,O1_Community_Attributes!$A$1:$A$500,0))),""))</f>
        <v/>
      </c>
      <c r="Q138" s="8" t="str">
        <f aca="false">IF($A138="","",IFERROR(IF(INDEX(O1_Community_Attributes!$Z$1:$Z$500,MATCH($A138,O1_Community_Attributes!$A$1:$A$500,0))="","",INDEX(O1_Community_Attributes!$Z$1:$Z$500,MATCH($A138,O1_Community_Attributes!$A$1:$A$500,0))),""))</f>
        <v/>
      </c>
      <c r="R138" s="8" t="str">
        <f aca="false">IF($A138="","",IFERROR(IF(INDEX(O1_Community_Attributes!$BK$1:$BK$500,MATCH($A138,O1_Community_Attributes!$A$1:$A$500,0))="","",INDEX(O1_Community_Attributes!$BK$1:$BK$500,MATCH($A138,O1_Community_Attributes!$A$1:$A$500,0))),""))</f>
        <v/>
      </c>
      <c r="S138" s="8" t="str">
        <f aca="false">IF(OR($C138="",$M138=""),"",$M138/$C138)</f>
        <v/>
      </c>
      <c r="T138" s="8" t="str">
        <f aca="false">IF($C138="","",IF(AND($M138="",$P138=""),"",IF($M138="","B",IF(ABS($S138-1)&lt;=0.3,"A",IF(OR($S138&gt;2,$S138&lt;0.5),"C","B")))))</f>
        <v/>
      </c>
    </row>
    <row r="139" customFormat="false" ht="15" hidden="false" customHeight="true" outlineLevel="0" collapsed="false">
      <c r="H139" s="8" t="str">
        <f aca="false">IF(C139="","",IF(C139&lt;1,"yes","no"))</f>
        <v/>
      </c>
      <c r="I139" s="8" t="str">
        <f aca="false">IF(C139="","",IF(C139&lt;2.6,"r75",IF(C139&lt;5.2,"r110",IF(C139&lt;9.9,"r150",IF(C139&lt;19.8,"r210","r300")))))</f>
        <v/>
      </c>
      <c r="M139" s="8" t="str">
        <f aca="false">IF($A139="","",IFERROR(IF(INDEX(O1_Community_Attributes!$V$1:$V$500,MATCH($A139,O1_Community_Attributes!$A$1:$A$500,0))="","",INDEX(O1_Community_Attributes!$V$1:$V$500,MATCH($A139,O1_Community_Attributes!$A$1:$A$500,0))),""))</f>
        <v/>
      </c>
      <c r="N139" s="8" t="str">
        <f aca="false">IF($A139="","",IFERROR(IF(INDEX(O1_Community_Attributes!$W$1:$W$500,MATCH($A139,O1_Community_Attributes!$A$1:$A$500,0))="","",INDEX(O1_Community_Attributes!$W$1:$W$500,MATCH($A139,O1_Community_Attributes!$A$1:$A$500,0))),""))</f>
        <v/>
      </c>
      <c r="O139" s="8" t="str">
        <f aca="false">IF($A139="","",IFERROR(IF(INDEX(O1_Community_Attributes!$X$1:$X$500,MATCH($A139,O1_Community_Attributes!$A$1:$A$500,0))="","",INDEX(O1_Community_Attributes!$X$1:$X$500,MATCH($A139,O1_Community_Attributes!$A$1:$A$500,0))),""))</f>
        <v/>
      </c>
      <c r="P139" s="8" t="str">
        <f aca="false">IF($A139="","",IFERROR(IF(INDEX(O1_Community_Attributes!$Y$1:$Y$500,MATCH($A139,O1_Community_Attributes!$A$1:$A$500,0))="","",INDEX(O1_Community_Attributes!$Y$1:$Y$500,MATCH($A139,O1_Community_Attributes!$A$1:$A$500,0))),""))</f>
        <v/>
      </c>
      <c r="Q139" s="8" t="str">
        <f aca="false">IF($A139="","",IFERROR(IF(INDEX(O1_Community_Attributes!$Z$1:$Z$500,MATCH($A139,O1_Community_Attributes!$A$1:$A$500,0))="","",INDEX(O1_Community_Attributes!$Z$1:$Z$500,MATCH($A139,O1_Community_Attributes!$A$1:$A$500,0))),""))</f>
        <v/>
      </c>
      <c r="R139" s="8" t="str">
        <f aca="false">IF($A139="","",IFERROR(IF(INDEX(O1_Community_Attributes!$BK$1:$BK$500,MATCH($A139,O1_Community_Attributes!$A$1:$A$500,0))="","",INDEX(O1_Community_Attributes!$BK$1:$BK$500,MATCH($A139,O1_Community_Attributes!$A$1:$A$500,0))),""))</f>
        <v/>
      </c>
      <c r="S139" s="8" t="str">
        <f aca="false">IF(OR($C139="",$M139=""),"",$M139/$C139)</f>
        <v/>
      </c>
      <c r="T139" s="8" t="str">
        <f aca="false">IF($C139="","",IF(AND($M139="",$P139=""),"",IF($M139="","B",IF(ABS($S139-1)&lt;=0.3,"A",IF(OR($S139&gt;2,$S139&lt;0.5),"C","B")))))</f>
        <v/>
      </c>
    </row>
    <row r="140" customFormat="false" ht="15" hidden="false" customHeight="true" outlineLevel="0" collapsed="false">
      <c r="H140" s="8" t="str">
        <f aca="false">IF(C140="","",IF(C140&lt;1,"yes","no"))</f>
        <v/>
      </c>
      <c r="I140" s="8" t="str">
        <f aca="false">IF(C140="","",IF(C140&lt;2.6,"r75",IF(C140&lt;5.2,"r110",IF(C140&lt;9.9,"r150",IF(C140&lt;19.8,"r210","r300")))))</f>
        <v/>
      </c>
      <c r="M140" s="8" t="str">
        <f aca="false">IF($A140="","",IFERROR(IF(INDEX(O1_Community_Attributes!$V$1:$V$500,MATCH($A140,O1_Community_Attributes!$A$1:$A$500,0))="","",INDEX(O1_Community_Attributes!$V$1:$V$500,MATCH($A140,O1_Community_Attributes!$A$1:$A$500,0))),""))</f>
        <v/>
      </c>
      <c r="N140" s="8" t="str">
        <f aca="false">IF($A140="","",IFERROR(IF(INDEX(O1_Community_Attributes!$W$1:$W$500,MATCH($A140,O1_Community_Attributes!$A$1:$A$500,0))="","",INDEX(O1_Community_Attributes!$W$1:$W$500,MATCH($A140,O1_Community_Attributes!$A$1:$A$500,0))),""))</f>
        <v/>
      </c>
      <c r="O140" s="8" t="str">
        <f aca="false">IF($A140="","",IFERROR(IF(INDEX(O1_Community_Attributes!$X$1:$X$500,MATCH($A140,O1_Community_Attributes!$A$1:$A$500,0))="","",INDEX(O1_Community_Attributes!$X$1:$X$500,MATCH($A140,O1_Community_Attributes!$A$1:$A$500,0))),""))</f>
        <v/>
      </c>
      <c r="P140" s="8" t="str">
        <f aca="false">IF($A140="","",IFERROR(IF(INDEX(O1_Community_Attributes!$Y$1:$Y$500,MATCH($A140,O1_Community_Attributes!$A$1:$A$500,0))="","",INDEX(O1_Community_Attributes!$Y$1:$Y$500,MATCH($A140,O1_Community_Attributes!$A$1:$A$500,0))),""))</f>
        <v/>
      </c>
      <c r="Q140" s="8" t="str">
        <f aca="false">IF($A140="","",IFERROR(IF(INDEX(O1_Community_Attributes!$Z$1:$Z$500,MATCH($A140,O1_Community_Attributes!$A$1:$A$500,0))="","",INDEX(O1_Community_Attributes!$Z$1:$Z$500,MATCH($A140,O1_Community_Attributes!$A$1:$A$500,0))),""))</f>
        <v/>
      </c>
      <c r="R140" s="8" t="str">
        <f aca="false">IF($A140="","",IFERROR(IF(INDEX(O1_Community_Attributes!$BK$1:$BK$500,MATCH($A140,O1_Community_Attributes!$A$1:$A$500,0))="","",INDEX(O1_Community_Attributes!$BK$1:$BK$500,MATCH($A140,O1_Community_Attributes!$A$1:$A$500,0))),""))</f>
        <v/>
      </c>
      <c r="S140" s="8" t="str">
        <f aca="false">IF(OR($C140="",$M140=""),"",$M140/$C140)</f>
        <v/>
      </c>
      <c r="T140" s="8" t="str">
        <f aca="false">IF($C140="","",IF(AND($M140="",$P140=""),"",IF($M140="","B",IF(ABS($S140-1)&lt;=0.3,"A",IF(OR($S140&gt;2,$S140&lt;0.5),"C","B")))))</f>
        <v/>
      </c>
    </row>
    <row r="141" customFormat="false" ht="15" hidden="false" customHeight="true" outlineLevel="0" collapsed="false">
      <c r="H141" s="8" t="str">
        <f aca="false">IF(C141="","",IF(C141&lt;1,"yes","no"))</f>
        <v/>
      </c>
      <c r="I141" s="8" t="str">
        <f aca="false">IF(C141="","",IF(C141&lt;2.6,"r75",IF(C141&lt;5.2,"r110",IF(C141&lt;9.9,"r150",IF(C141&lt;19.8,"r210","r300")))))</f>
        <v/>
      </c>
      <c r="M141" s="8" t="str">
        <f aca="false">IF($A141="","",IFERROR(IF(INDEX(O1_Community_Attributes!$V$1:$V$500,MATCH($A141,O1_Community_Attributes!$A$1:$A$500,0))="","",INDEX(O1_Community_Attributes!$V$1:$V$500,MATCH($A141,O1_Community_Attributes!$A$1:$A$500,0))),""))</f>
        <v/>
      </c>
      <c r="N141" s="8" t="str">
        <f aca="false">IF($A141="","",IFERROR(IF(INDEX(O1_Community_Attributes!$W$1:$W$500,MATCH($A141,O1_Community_Attributes!$A$1:$A$500,0))="","",INDEX(O1_Community_Attributes!$W$1:$W$500,MATCH($A141,O1_Community_Attributes!$A$1:$A$500,0))),""))</f>
        <v/>
      </c>
      <c r="O141" s="8" t="str">
        <f aca="false">IF($A141="","",IFERROR(IF(INDEX(O1_Community_Attributes!$X$1:$X$500,MATCH($A141,O1_Community_Attributes!$A$1:$A$500,0))="","",INDEX(O1_Community_Attributes!$X$1:$X$500,MATCH($A141,O1_Community_Attributes!$A$1:$A$500,0))),""))</f>
        <v/>
      </c>
      <c r="P141" s="8" t="str">
        <f aca="false">IF($A141="","",IFERROR(IF(INDEX(O1_Community_Attributes!$Y$1:$Y$500,MATCH($A141,O1_Community_Attributes!$A$1:$A$500,0))="","",INDEX(O1_Community_Attributes!$Y$1:$Y$500,MATCH($A141,O1_Community_Attributes!$A$1:$A$500,0))),""))</f>
        <v/>
      </c>
      <c r="Q141" s="8" t="str">
        <f aca="false">IF($A141="","",IFERROR(IF(INDEX(O1_Community_Attributes!$Z$1:$Z$500,MATCH($A141,O1_Community_Attributes!$A$1:$A$500,0))="","",INDEX(O1_Community_Attributes!$Z$1:$Z$500,MATCH($A141,O1_Community_Attributes!$A$1:$A$500,0))),""))</f>
        <v/>
      </c>
      <c r="R141" s="8" t="str">
        <f aca="false">IF($A141="","",IFERROR(IF(INDEX(O1_Community_Attributes!$BK$1:$BK$500,MATCH($A141,O1_Community_Attributes!$A$1:$A$500,0))="","",INDEX(O1_Community_Attributes!$BK$1:$BK$500,MATCH($A141,O1_Community_Attributes!$A$1:$A$500,0))),""))</f>
        <v/>
      </c>
      <c r="S141" s="8" t="str">
        <f aca="false">IF(OR($C141="",$M141=""),"",$M141/$C141)</f>
        <v/>
      </c>
      <c r="T141" s="8" t="str">
        <f aca="false">IF($C141="","",IF(AND($M141="",$P141=""),"",IF($M141="","B",IF(ABS($S141-1)&lt;=0.3,"A",IF(OR($S141&gt;2,$S141&lt;0.5),"C","B")))))</f>
        <v/>
      </c>
    </row>
    <row r="142" customFormat="false" ht="15" hidden="false" customHeight="true" outlineLevel="0" collapsed="false">
      <c r="H142" s="8" t="str">
        <f aca="false">IF(C142="","",IF(C142&lt;1,"yes","no"))</f>
        <v/>
      </c>
      <c r="I142" s="8" t="str">
        <f aca="false">IF(C142="","",IF(C142&lt;2.6,"r75",IF(C142&lt;5.2,"r110",IF(C142&lt;9.9,"r150",IF(C142&lt;19.8,"r210","r300")))))</f>
        <v/>
      </c>
      <c r="M142" s="8" t="str">
        <f aca="false">IF($A142="","",IFERROR(IF(INDEX(O1_Community_Attributes!$V$1:$V$500,MATCH($A142,O1_Community_Attributes!$A$1:$A$500,0))="","",INDEX(O1_Community_Attributes!$V$1:$V$500,MATCH($A142,O1_Community_Attributes!$A$1:$A$500,0))),""))</f>
        <v/>
      </c>
      <c r="N142" s="8" t="str">
        <f aca="false">IF($A142="","",IFERROR(IF(INDEX(O1_Community_Attributes!$W$1:$W$500,MATCH($A142,O1_Community_Attributes!$A$1:$A$500,0))="","",INDEX(O1_Community_Attributes!$W$1:$W$500,MATCH($A142,O1_Community_Attributes!$A$1:$A$500,0))),""))</f>
        <v/>
      </c>
      <c r="O142" s="8" t="str">
        <f aca="false">IF($A142="","",IFERROR(IF(INDEX(O1_Community_Attributes!$X$1:$X$500,MATCH($A142,O1_Community_Attributes!$A$1:$A$500,0))="","",INDEX(O1_Community_Attributes!$X$1:$X$500,MATCH($A142,O1_Community_Attributes!$A$1:$A$500,0))),""))</f>
        <v/>
      </c>
      <c r="P142" s="8" t="str">
        <f aca="false">IF($A142="","",IFERROR(IF(INDEX(O1_Community_Attributes!$Y$1:$Y$500,MATCH($A142,O1_Community_Attributes!$A$1:$A$500,0))="","",INDEX(O1_Community_Attributes!$Y$1:$Y$500,MATCH($A142,O1_Community_Attributes!$A$1:$A$500,0))),""))</f>
        <v/>
      </c>
      <c r="Q142" s="8" t="str">
        <f aca="false">IF($A142="","",IFERROR(IF(INDEX(O1_Community_Attributes!$Z$1:$Z$500,MATCH($A142,O1_Community_Attributes!$A$1:$A$500,0))="","",INDEX(O1_Community_Attributes!$Z$1:$Z$500,MATCH($A142,O1_Community_Attributes!$A$1:$A$500,0))),""))</f>
        <v/>
      </c>
      <c r="R142" s="8" t="str">
        <f aca="false">IF($A142="","",IFERROR(IF(INDEX(O1_Community_Attributes!$BK$1:$BK$500,MATCH($A142,O1_Community_Attributes!$A$1:$A$500,0))="","",INDEX(O1_Community_Attributes!$BK$1:$BK$500,MATCH($A142,O1_Community_Attributes!$A$1:$A$500,0))),""))</f>
        <v/>
      </c>
      <c r="S142" s="8" t="str">
        <f aca="false">IF(OR($C142="",$M142=""),"",$M142/$C142)</f>
        <v/>
      </c>
      <c r="T142" s="8" t="str">
        <f aca="false">IF($C142="","",IF(AND($M142="",$P142=""),"",IF($M142="","B",IF(ABS($S142-1)&lt;=0.3,"A",IF(OR($S142&gt;2,$S142&lt;0.5),"C","B")))))</f>
        <v/>
      </c>
    </row>
    <row r="143" customFormat="false" ht="15" hidden="false" customHeight="true" outlineLevel="0" collapsed="false">
      <c r="H143" s="8" t="str">
        <f aca="false">IF(C143="","",IF(C143&lt;1,"yes","no"))</f>
        <v/>
      </c>
      <c r="I143" s="8" t="str">
        <f aca="false">IF(C143="","",IF(C143&lt;2.6,"r75",IF(C143&lt;5.2,"r110",IF(C143&lt;9.9,"r150",IF(C143&lt;19.8,"r210","r300")))))</f>
        <v/>
      </c>
      <c r="M143" s="8" t="str">
        <f aca="false">IF($A143="","",IFERROR(IF(INDEX(O1_Community_Attributes!$V$1:$V$500,MATCH($A143,O1_Community_Attributes!$A$1:$A$500,0))="","",INDEX(O1_Community_Attributes!$V$1:$V$500,MATCH($A143,O1_Community_Attributes!$A$1:$A$500,0))),""))</f>
        <v/>
      </c>
      <c r="N143" s="8" t="str">
        <f aca="false">IF($A143="","",IFERROR(IF(INDEX(O1_Community_Attributes!$W$1:$W$500,MATCH($A143,O1_Community_Attributes!$A$1:$A$500,0))="","",INDEX(O1_Community_Attributes!$W$1:$W$500,MATCH($A143,O1_Community_Attributes!$A$1:$A$500,0))),""))</f>
        <v/>
      </c>
      <c r="O143" s="8" t="str">
        <f aca="false">IF($A143="","",IFERROR(IF(INDEX(O1_Community_Attributes!$X$1:$X$500,MATCH($A143,O1_Community_Attributes!$A$1:$A$500,0))="","",INDEX(O1_Community_Attributes!$X$1:$X$500,MATCH($A143,O1_Community_Attributes!$A$1:$A$500,0))),""))</f>
        <v/>
      </c>
      <c r="P143" s="8" t="str">
        <f aca="false">IF($A143="","",IFERROR(IF(INDEX(O1_Community_Attributes!$Y$1:$Y$500,MATCH($A143,O1_Community_Attributes!$A$1:$A$500,0))="","",INDEX(O1_Community_Attributes!$Y$1:$Y$500,MATCH($A143,O1_Community_Attributes!$A$1:$A$500,0))),""))</f>
        <v/>
      </c>
      <c r="Q143" s="8" t="str">
        <f aca="false">IF($A143="","",IFERROR(IF(INDEX(O1_Community_Attributes!$Z$1:$Z$500,MATCH($A143,O1_Community_Attributes!$A$1:$A$500,0))="","",INDEX(O1_Community_Attributes!$Z$1:$Z$500,MATCH($A143,O1_Community_Attributes!$A$1:$A$500,0))),""))</f>
        <v/>
      </c>
      <c r="R143" s="8" t="str">
        <f aca="false">IF($A143="","",IFERROR(IF(INDEX(O1_Community_Attributes!$BK$1:$BK$500,MATCH($A143,O1_Community_Attributes!$A$1:$A$500,0))="","",INDEX(O1_Community_Attributes!$BK$1:$BK$500,MATCH($A143,O1_Community_Attributes!$A$1:$A$500,0))),""))</f>
        <v/>
      </c>
      <c r="S143" s="8" t="str">
        <f aca="false">IF(OR($C143="",$M143=""),"",$M143/$C143)</f>
        <v/>
      </c>
      <c r="T143" s="8" t="str">
        <f aca="false">IF($C143="","",IF(AND($M143="",$P143=""),"",IF($M143="","B",IF(ABS($S143-1)&lt;=0.3,"A",IF(OR($S143&gt;2,$S143&lt;0.5),"C","B")))))</f>
        <v/>
      </c>
    </row>
    <row r="144" customFormat="false" ht="15" hidden="false" customHeight="true" outlineLevel="0" collapsed="false">
      <c r="H144" s="8" t="str">
        <f aca="false">IF(C144="","",IF(C144&lt;1,"yes","no"))</f>
        <v/>
      </c>
      <c r="I144" s="8" t="str">
        <f aca="false">IF(C144="","",IF(C144&lt;2.6,"r75",IF(C144&lt;5.2,"r110",IF(C144&lt;9.9,"r150",IF(C144&lt;19.8,"r210","r300")))))</f>
        <v/>
      </c>
      <c r="M144" s="8" t="str">
        <f aca="false">IF($A144="","",IFERROR(IF(INDEX(O1_Community_Attributes!$V$1:$V$500,MATCH($A144,O1_Community_Attributes!$A$1:$A$500,0))="","",INDEX(O1_Community_Attributes!$V$1:$V$500,MATCH($A144,O1_Community_Attributes!$A$1:$A$500,0))),""))</f>
        <v/>
      </c>
      <c r="N144" s="8" t="str">
        <f aca="false">IF($A144="","",IFERROR(IF(INDEX(O1_Community_Attributes!$W$1:$W$500,MATCH($A144,O1_Community_Attributes!$A$1:$A$500,0))="","",INDEX(O1_Community_Attributes!$W$1:$W$500,MATCH($A144,O1_Community_Attributes!$A$1:$A$500,0))),""))</f>
        <v/>
      </c>
      <c r="O144" s="8" t="str">
        <f aca="false">IF($A144="","",IFERROR(IF(INDEX(O1_Community_Attributes!$X$1:$X$500,MATCH($A144,O1_Community_Attributes!$A$1:$A$500,0))="","",INDEX(O1_Community_Attributes!$X$1:$X$500,MATCH($A144,O1_Community_Attributes!$A$1:$A$500,0))),""))</f>
        <v/>
      </c>
      <c r="P144" s="8" t="str">
        <f aca="false">IF($A144="","",IFERROR(IF(INDEX(O1_Community_Attributes!$Y$1:$Y$500,MATCH($A144,O1_Community_Attributes!$A$1:$A$500,0))="","",INDEX(O1_Community_Attributes!$Y$1:$Y$500,MATCH($A144,O1_Community_Attributes!$A$1:$A$500,0))),""))</f>
        <v/>
      </c>
      <c r="Q144" s="8" t="str">
        <f aca="false">IF($A144="","",IFERROR(IF(INDEX(O1_Community_Attributes!$Z$1:$Z$500,MATCH($A144,O1_Community_Attributes!$A$1:$A$500,0))="","",INDEX(O1_Community_Attributes!$Z$1:$Z$500,MATCH($A144,O1_Community_Attributes!$A$1:$A$500,0))),""))</f>
        <v/>
      </c>
      <c r="R144" s="8" t="str">
        <f aca="false">IF($A144="","",IFERROR(IF(INDEX(O1_Community_Attributes!$BK$1:$BK$500,MATCH($A144,O1_Community_Attributes!$A$1:$A$500,0))="","",INDEX(O1_Community_Attributes!$BK$1:$BK$500,MATCH($A144,O1_Community_Attributes!$A$1:$A$500,0))),""))</f>
        <v/>
      </c>
      <c r="S144" s="8" t="str">
        <f aca="false">IF(OR($C144="",$M144=""),"",$M144/$C144)</f>
        <v/>
      </c>
      <c r="T144" s="8" t="str">
        <f aca="false">IF($C144="","",IF(AND($M144="",$P144=""),"",IF($M144="","B",IF(ABS($S144-1)&lt;=0.3,"A",IF(OR($S144&gt;2,$S144&lt;0.5),"C","B")))))</f>
        <v/>
      </c>
    </row>
    <row r="145" customFormat="false" ht="15" hidden="false" customHeight="true" outlineLevel="0" collapsed="false">
      <c r="H145" s="8" t="str">
        <f aca="false">IF(C145="","",IF(C145&lt;1,"yes","no"))</f>
        <v/>
      </c>
      <c r="I145" s="8" t="str">
        <f aca="false">IF(C145="","",IF(C145&lt;2.6,"r75",IF(C145&lt;5.2,"r110",IF(C145&lt;9.9,"r150",IF(C145&lt;19.8,"r210","r300")))))</f>
        <v/>
      </c>
      <c r="M145" s="8" t="str">
        <f aca="false">IF($A145="","",IFERROR(IF(INDEX(O1_Community_Attributes!$V$1:$V$500,MATCH($A145,O1_Community_Attributes!$A$1:$A$500,0))="","",INDEX(O1_Community_Attributes!$V$1:$V$500,MATCH($A145,O1_Community_Attributes!$A$1:$A$500,0))),""))</f>
        <v/>
      </c>
      <c r="N145" s="8" t="str">
        <f aca="false">IF($A145="","",IFERROR(IF(INDEX(O1_Community_Attributes!$W$1:$W$500,MATCH($A145,O1_Community_Attributes!$A$1:$A$500,0))="","",INDEX(O1_Community_Attributes!$W$1:$W$500,MATCH($A145,O1_Community_Attributes!$A$1:$A$500,0))),""))</f>
        <v/>
      </c>
      <c r="O145" s="8" t="str">
        <f aca="false">IF($A145="","",IFERROR(IF(INDEX(O1_Community_Attributes!$X$1:$X$500,MATCH($A145,O1_Community_Attributes!$A$1:$A$500,0))="","",INDEX(O1_Community_Attributes!$X$1:$X$500,MATCH($A145,O1_Community_Attributes!$A$1:$A$500,0))),""))</f>
        <v/>
      </c>
      <c r="P145" s="8" t="str">
        <f aca="false">IF($A145="","",IFERROR(IF(INDEX(O1_Community_Attributes!$Y$1:$Y$500,MATCH($A145,O1_Community_Attributes!$A$1:$A$500,0))="","",INDEX(O1_Community_Attributes!$Y$1:$Y$500,MATCH($A145,O1_Community_Attributes!$A$1:$A$500,0))),""))</f>
        <v/>
      </c>
      <c r="Q145" s="8" t="str">
        <f aca="false">IF($A145="","",IFERROR(IF(INDEX(O1_Community_Attributes!$Z$1:$Z$500,MATCH($A145,O1_Community_Attributes!$A$1:$A$500,0))="","",INDEX(O1_Community_Attributes!$Z$1:$Z$500,MATCH($A145,O1_Community_Attributes!$A$1:$A$500,0))),""))</f>
        <v/>
      </c>
      <c r="R145" s="8" t="str">
        <f aca="false">IF($A145="","",IFERROR(IF(INDEX(O1_Community_Attributes!$BK$1:$BK$500,MATCH($A145,O1_Community_Attributes!$A$1:$A$500,0))="","",INDEX(O1_Community_Attributes!$BK$1:$BK$500,MATCH($A145,O1_Community_Attributes!$A$1:$A$500,0))),""))</f>
        <v/>
      </c>
      <c r="S145" s="8" t="str">
        <f aca="false">IF(OR($C145="",$M145=""),"",$M145/$C145)</f>
        <v/>
      </c>
      <c r="T145" s="8" t="str">
        <f aca="false">IF($C145="","",IF(AND($M145="",$P145=""),"",IF($M145="","B",IF(ABS($S145-1)&lt;=0.3,"A",IF(OR($S145&gt;2,$S145&lt;0.5),"C","B")))))</f>
        <v/>
      </c>
    </row>
    <row r="146" customFormat="false" ht="15" hidden="false" customHeight="true" outlineLevel="0" collapsed="false">
      <c r="H146" s="8" t="str">
        <f aca="false">IF(C146="","",IF(C146&lt;1,"yes","no"))</f>
        <v/>
      </c>
      <c r="I146" s="8" t="str">
        <f aca="false">IF(C146="","",IF(C146&lt;2.6,"r75",IF(C146&lt;5.2,"r110",IF(C146&lt;9.9,"r150",IF(C146&lt;19.8,"r210","r300")))))</f>
        <v/>
      </c>
      <c r="M146" s="8" t="str">
        <f aca="false">IF($A146="","",IFERROR(IF(INDEX(O1_Community_Attributes!$V$1:$V$500,MATCH($A146,O1_Community_Attributes!$A$1:$A$500,0))="","",INDEX(O1_Community_Attributes!$V$1:$V$500,MATCH($A146,O1_Community_Attributes!$A$1:$A$500,0))),""))</f>
        <v/>
      </c>
      <c r="N146" s="8" t="str">
        <f aca="false">IF($A146="","",IFERROR(IF(INDEX(O1_Community_Attributes!$W$1:$W$500,MATCH($A146,O1_Community_Attributes!$A$1:$A$500,0))="","",INDEX(O1_Community_Attributes!$W$1:$W$500,MATCH($A146,O1_Community_Attributes!$A$1:$A$500,0))),""))</f>
        <v/>
      </c>
      <c r="O146" s="8" t="str">
        <f aca="false">IF($A146="","",IFERROR(IF(INDEX(O1_Community_Attributes!$X$1:$X$500,MATCH($A146,O1_Community_Attributes!$A$1:$A$500,0))="","",INDEX(O1_Community_Attributes!$X$1:$X$500,MATCH($A146,O1_Community_Attributes!$A$1:$A$500,0))),""))</f>
        <v/>
      </c>
      <c r="P146" s="8" t="str">
        <f aca="false">IF($A146="","",IFERROR(IF(INDEX(O1_Community_Attributes!$Y$1:$Y$500,MATCH($A146,O1_Community_Attributes!$A$1:$A$500,0))="","",INDEX(O1_Community_Attributes!$Y$1:$Y$500,MATCH($A146,O1_Community_Attributes!$A$1:$A$500,0))),""))</f>
        <v/>
      </c>
      <c r="Q146" s="8" t="str">
        <f aca="false">IF($A146="","",IFERROR(IF(INDEX(O1_Community_Attributes!$Z$1:$Z$500,MATCH($A146,O1_Community_Attributes!$A$1:$A$500,0))="","",INDEX(O1_Community_Attributes!$Z$1:$Z$500,MATCH($A146,O1_Community_Attributes!$A$1:$A$500,0))),""))</f>
        <v/>
      </c>
      <c r="R146" s="8" t="str">
        <f aca="false">IF($A146="","",IFERROR(IF(INDEX(O1_Community_Attributes!$BK$1:$BK$500,MATCH($A146,O1_Community_Attributes!$A$1:$A$500,0))="","",INDEX(O1_Community_Attributes!$BK$1:$BK$500,MATCH($A146,O1_Community_Attributes!$A$1:$A$500,0))),""))</f>
        <v/>
      </c>
      <c r="S146" s="8" t="str">
        <f aca="false">IF(OR($C146="",$M146=""),"",$M146/$C146)</f>
        <v/>
      </c>
      <c r="T146" s="8" t="str">
        <f aca="false">IF($C146="","",IF(AND($M146="",$P146=""),"",IF($M146="","B",IF(ABS($S146-1)&lt;=0.3,"A",IF(OR($S146&gt;2,$S146&lt;0.5),"C","B")))))</f>
        <v/>
      </c>
    </row>
    <row r="147" customFormat="false" ht="15" hidden="false" customHeight="true" outlineLevel="0" collapsed="false">
      <c r="H147" s="8" t="str">
        <f aca="false">IF(C147="","",IF(C147&lt;1,"yes","no"))</f>
        <v/>
      </c>
      <c r="I147" s="8" t="str">
        <f aca="false">IF(C147="","",IF(C147&lt;2.6,"r75",IF(C147&lt;5.2,"r110",IF(C147&lt;9.9,"r150",IF(C147&lt;19.8,"r210","r300")))))</f>
        <v/>
      </c>
      <c r="M147" s="8" t="str">
        <f aca="false">IF($A147="","",IFERROR(IF(INDEX(O1_Community_Attributes!$V$1:$V$500,MATCH($A147,O1_Community_Attributes!$A$1:$A$500,0))="","",INDEX(O1_Community_Attributes!$V$1:$V$500,MATCH($A147,O1_Community_Attributes!$A$1:$A$500,0))),""))</f>
        <v/>
      </c>
      <c r="N147" s="8" t="str">
        <f aca="false">IF($A147="","",IFERROR(IF(INDEX(O1_Community_Attributes!$W$1:$W$500,MATCH($A147,O1_Community_Attributes!$A$1:$A$500,0))="","",INDEX(O1_Community_Attributes!$W$1:$W$500,MATCH($A147,O1_Community_Attributes!$A$1:$A$500,0))),""))</f>
        <v/>
      </c>
      <c r="O147" s="8" t="str">
        <f aca="false">IF($A147="","",IFERROR(IF(INDEX(O1_Community_Attributes!$X$1:$X$500,MATCH($A147,O1_Community_Attributes!$A$1:$A$500,0))="","",INDEX(O1_Community_Attributes!$X$1:$X$500,MATCH($A147,O1_Community_Attributes!$A$1:$A$500,0))),""))</f>
        <v/>
      </c>
      <c r="P147" s="8" t="str">
        <f aca="false">IF($A147="","",IFERROR(IF(INDEX(O1_Community_Attributes!$Y$1:$Y$500,MATCH($A147,O1_Community_Attributes!$A$1:$A$500,0))="","",INDEX(O1_Community_Attributes!$Y$1:$Y$500,MATCH($A147,O1_Community_Attributes!$A$1:$A$500,0))),""))</f>
        <v/>
      </c>
      <c r="Q147" s="8" t="str">
        <f aca="false">IF($A147="","",IFERROR(IF(INDEX(O1_Community_Attributes!$Z$1:$Z$500,MATCH($A147,O1_Community_Attributes!$A$1:$A$500,0))="","",INDEX(O1_Community_Attributes!$Z$1:$Z$500,MATCH($A147,O1_Community_Attributes!$A$1:$A$500,0))),""))</f>
        <v/>
      </c>
      <c r="R147" s="8" t="str">
        <f aca="false">IF($A147="","",IFERROR(IF(INDEX(O1_Community_Attributes!$BK$1:$BK$500,MATCH($A147,O1_Community_Attributes!$A$1:$A$500,0))="","",INDEX(O1_Community_Attributes!$BK$1:$BK$500,MATCH($A147,O1_Community_Attributes!$A$1:$A$500,0))),""))</f>
        <v/>
      </c>
      <c r="S147" s="8" t="str">
        <f aca="false">IF(OR($C147="",$M147=""),"",$M147/$C147)</f>
        <v/>
      </c>
      <c r="T147" s="8" t="str">
        <f aca="false">IF($C147="","",IF(AND($M147="",$P147=""),"",IF($M147="","B",IF(ABS($S147-1)&lt;=0.3,"A",IF(OR($S147&gt;2,$S147&lt;0.5),"C","B")))))</f>
        <v/>
      </c>
    </row>
    <row r="148" customFormat="false" ht="15" hidden="false" customHeight="true" outlineLevel="0" collapsed="false">
      <c r="H148" s="8" t="str">
        <f aca="false">IF(C148="","",IF(C148&lt;1,"yes","no"))</f>
        <v/>
      </c>
      <c r="I148" s="8" t="str">
        <f aca="false">IF(C148="","",IF(C148&lt;2.6,"r75",IF(C148&lt;5.2,"r110",IF(C148&lt;9.9,"r150",IF(C148&lt;19.8,"r210","r300")))))</f>
        <v/>
      </c>
      <c r="M148" s="8" t="str">
        <f aca="false">IF($A148="","",IFERROR(IF(INDEX(O1_Community_Attributes!$V$1:$V$500,MATCH($A148,O1_Community_Attributes!$A$1:$A$500,0))="","",INDEX(O1_Community_Attributes!$V$1:$V$500,MATCH($A148,O1_Community_Attributes!$A$1:$A$500,0))),""))</f>
        <v/>
      </c>
      <c r="N148" s="8" t="str">
        <f aca="false">IF($A148="","",IFERROR(IF(INDEX(O1_Community_Attributes!$W$1:$W$500,MATCH($A148,O1_Community_Attributes!$A$1:$A$500,0))="","",INDEX(O1_Community_Attributes!$W$1:$W$500,MATCH($A148,O1_Community_Attributes!$A$1:$A$500,0))),""))</f>
        <v/>
      </c>
      <c r="O148" s="8" t="str">
        <f aca="false">IF($A148="","",IFERROR(IF(INDEX(O1_Community_Attributes!$X$1:$X$500,MATCH($A148,O1_Community_Attributes!$A$1:$A$500,0))="","",INDEX(O1_Community_Attributes!$X$1:$X$500,MATCH($A148,O1_Community_Attributes!$A$1:$A$500,0))),""))</f>
        <v/>
      </c>
      <c r="P148" s="8" t="str">
        <f aca="false">IF($A148="","",IFERROR(IF(INDEX(O1_Community_Attributes!$Y$1:$Y$500,MATCH($A148,O1_Community_Attributes!$A$1:$A$500,0))="","",INDEX(O1_Community_Attributes!$Y$1:$Y$500,MATCH($A148,O1_Community_Attributes!$A$1:$A$500,0))),""))</f>
        <v/>
      </c>
      <c r="Q148" s="8" t="str">
        <f aca="false">IF($A148="","",IFERROR(IF(INDEX(O1_Community_Attributes!$Z$1:$Z$500,MATCH($A148,O1_Community_Attributes!$A$1:$A$500,0))="","",INDEX(O1_Community_Attributes!$Z$1:$Z$500,MATCH($A148,O1_Community_Attributes!$A$1:$A$500,0))),""))</f>
        <v/>
      </c>
      <c r="R148" s="8" t="str">
        <f aca="false">IF($A148="","",IFERROR(IF(INDEX(O1_Community_Attributes!$BK$1:$BK$500,MATCH($A148,O1_Community_Attributes!$A$1:$A$500,0))="","",INDEX(O1_Community_Attributes!$BK$1:$BK$500,MATCH($A148,O1_Community_Attributes!$A$1:$A$500,0))),""))</f>
        <v/>
      </c>
      <c r="S148" s="8" t="str">
        <f aca="false">IF(OR($C148="",$M148=""),"",$M148/$C148)</f>
        <v/>
      </c>
      <c r="T148" s="8" t="str">
        <f aca="false">IF($C148="","",IF(AND($M148="",$P148=""),"",IF($M148="","B",IF(ABS($S148-1)&lt;=0.3,"A",IF(OR($S148&gt;2,$S148&lt;0.5),"C","B")))))</f>
        <v/>
      </c>
    </row>
    <row r="149" customFormat="false" ht="15" hidden="false" customHeight="true" outlineLevel="0" collapsed="false">
      <c r="H149" s="8" t="str">
        <f aca="false">IF(C149="","",IF(C149&lt;1,"yes","no"))</f>
        <v/>
      </c>
      <c r="I149" s="8" t="str">
        <f aca="false">IF(C149="","",IF(C149&lt;2.6,"r75",IF(C149&lt;5.2,"r110",IF(C149&lt;9.9,"r150",IF(C149&lt;19.8,"r210","r300")))))</f>
        <v/>
      </c>
      <c r="M149" s="8" t="str">
        <f aca="false">IF($A149="","",IFERROR(IF(INDEX(O1_Community_Attributes!$V$1:$V$500,MATCH($A149,O1_Community_Attributes!$A$1:$A$500,0))="","",INDEX(O1_Community_Attributes!$V$1:$V$500,MATCH($A149,O1_Community_Attributes!$A$1:$A$500,0))),""))</f>
        <v/>
      </c>
      <c r="N149" s="8" t="str">
        <f aca="false">IF($A149="","",IFERROR(IF(INDEX(O1_Community_Attributes!$W$1:$W$500,MATCH($A149,O1_Community_Attributes!$A$1:$A$500,0))="","",INDEX(O1_Community_Attributes!$W$1:$W$500,MATCH($A149,O1_Community_Attributes!$A$1:$A$500,0))),""))</f>
        <v/>
      </c>
      <c r="O149" s="8" t="str">
        <f aca="false">IF($A149="","",IFERROR(IF(INDEX(O1_Community_Attributes!$X$1:$X$500,MATCH($A149,O1_Community_Attributes!$A$1:$A$500,0))="","",INDEX(O1_Community_Attributes!$X$1:$X$500,MATCH($A149,O1_Community_Attributes!$A$1:$A$500,0))),""))</f>
        <v/>
      </c>
      <c r="P149" s="8" t="str">
        <f aca="false">IF($A149="","",IFERROR(IF(INDEX(O1_Community_Attributes!$Y$1:$Y$500,MATCH($A149,O1_Community_Attributes!$A$1:$A$500,0))="","",INDEX(O1_Community_Attributes!$Y$1:$Y$500,MATCH($A149,O1_Community_Attributes!$A$1:$A$500,0))),""))</f>
        <v/>
      </c>
      <c r="Q149" s="8" t="str">
        <f aca="false">IF($A149="","",IFERROR(IF(INDEX(O1_Community_Attributes!$Z$1:$Z$500,MATCH($A149,O1_Community_Attributes!$A$1:$A$500,0))="","",INDEX(O1_Community_Attributes!$Z$1:$Z$500,MATCH($A149,O1_Community_Attributes!$A$1:$A$500,0))),""))</f>
        <v/>
      </c>
      <c r="R149" s="8" t="str">
        <f aca="false">IF($A149="","",IFERROR(IF(INDEX(O1_Community_Attributes!$BK$1:$BK$500,MATCH($A149,O1_Community_Attributes!$A$1:$A$500,0))="","",INDEX(O1_Community_Attributes!$BK$1:$BK$500,MATCH($A149,O1_Community_Attributes!$A$1:$A$500,0))),""))</f>
        <v/>
      </c>
      <c r="S149" s="8" t="str">
        <f aca="false">IF(OR($C149="",$M149=""),"",$M149/$C149)</f>
        <v/>
      </c>
      <c r="T149" s="8" t="str">
        <f aca="false">IF($C149="","",IF(AND($M149="",$P149=""),"",IF($M149="","B",IF(ABS($S149-1)&lt;=0.3,"A",IF(OR($S149&gt;2,$S149&lt;0.5),"C","B")))))</f>
        <v/>
      </c>
    </row>
    <row r="150" customFormat="false" ht="15" hidden="false" customHeight="true" outlineLevel="0" collapsed="false">
      <c r="H150" s="8" t="str">
        <f aca="false">IF(C150="","",IF(C150&lt;1,"yes","no"))</f>
        <v/>
      </c>
      <c r="I150" s="8" t="str">
        <f aca="false">IF(C150="","",IF(C150&lt;2.6,"r75",IF(C150&lt;5.2,"r110",IF(C150&lt;9.9,"r150",IF(C150&lt;19.8,"r210","r300")))))</f>
        <v/>
      </c>
      <c r="M150" s="8" t="str">
        <f aca="false">IF($A150="","",IFERROR(IF(INDEX(O1_Community_Attributes!$V$1:$V$500,MATCH($A150,O1_Community_Attributes!$A$1:$A$500,0))="","",INDEX(O1_Community_Attributes!$V$1:$V$500,MATCH($A150,O1_Community_Attributes!$A$1:$A$500,0))),""))</f>
        <v/>
      </c>
      <c r="N150" s="8" t="str">
        <f aca="false">IF($A150="","",IFERROR(IF(INDEX(O1_Community_Attributes!$W$1:$W$500,MATCH($A150,O1_Community_Attributes!$A$1:$A$500,0))="","",INDEX(O1_Community_Attributes!$W$1:$W$500,MATCH($A150,O1_Community_Attributes!$A$1:$A$500,0))),""))</f>
        <v/>
      </c>
      <c r="O150" s="8" t="str">
        <f aca="false">IF($A150="","",IFERROR(IF(INDEX(O1_Community_Attributes!$X$1:$X$500,MATCH($A150,O1_Community_Attributes!$A$1:$A$500,0))="","",INDEX(O1_Community_Attributes!$X$1:$X$500,MATCH($A150,O1_Community_Attributes!$A$1:$A$500,0))),""))</f>
        <v/>
      </c>
      <c r="P150" s="8" t="str">
        <f aca="false">IF($A150="","",IFERROR(IF(INDEX(O1_Community_Attributes!$Y$1:$Y$500,MATCH($A150,O1_Community_Attributes!$A$1:$A$500,0))="","",INDEX(O1_Community_Attributes!$Y$1:$Y$500,MATCH($A150,O1_Community_Attributes!$A$1:$A$500,0))),""))</f>
        <v/>
      </c>
      <c r="Q150" s="8" t="str">
        <f aca="false">IF($A150="","",IFERROR(IF(INDEX(O1_Community_Attributes!$Z$1:$Z$500,MATCH($A150,O1_Community_Attributes!$A$1:$A$500,0))="","",INDEX(O1_Community_Attributes!$Z$1:$Z$500,MATCH($A150,O1_Community_Attributes!$A$1:$A$500,0))),""))</f>
        <v/>
      </c>
      <c r="R150" s="8" t="str">
        <f aca="false">IF($A150="","",IFERROR(IF(INDEX(O1_Community_Attributes!$BK$1:$BK$500,MATCH($A150,O1_Community_Attributes!$A$1:$A$500,0))="","",INDEX(O1_Community_Attributes!$BK$1:$BK$500,MATCH($A150,O1_Community_Attributes!$A$1:$A$500,0))),""))</f>
        <v/>
      </c>
      <c r="S150" s="8" t="str">
        <f aca="false">IF(OR($C150="",$M150=""),"",$M150/$C150)</f>
        <v/>
      </c>
      <c r="T150" s="8" t="str">
        <f aca="false">IF($C150="","",IF(AND($M150="",$P150=""),"",IF($M150="","B",IF(ABS($S150-1)&lt;=0.3,"A",IF(OR($S150&gt;2,$S150&lt;0.5),"C","B")))))</f>
        <v/>
      </c>
    </row>
    <row r="151" customFormat="false" ht="15" hidden="false" customHeight="true" outlineLevel="0" collapsed="false">
      <c r="H151" s="8" t="str">
        <f aca="false">IF(C151="","",IF(C151&lt;1,"yes","no"))</f>
        <v/>
      </c>
      <c r="I151" s="8" t="str">
        <f aca="false">IF(C151="","",IF(C151&lt;2.6,"r75",IF(C151&lt;5.2,"r110",IF(C151&lt;9.9,"r150",IF(C151&lt;19.8,"r210","r300")))))</f>
        <v/>
      </c>
      <c r="M151" s="8" t="str">
        <f aca="false">IF($A151="","",IFERROR(IF(INDEX(O1_Community_Attributes!$V$1:$V$500,MATCH($A151,O1_Community_Attributes!$A$1:$A$500,0))="","",INDEX(O1_Community_Attributes!$V$1:$V$500,MATCH($A151,O1_Community_Attributes!$A$1:$A$500,0))),""))</f>
        <v/>
      </c>
      <c r="N151" s="8" t="str">
        <f aca="false">IF($A151="","",IFERROR(IF(INDEX(O1_Community_Attributes!$W$1:$W$500,MATCH($A151,O1_Community_Attributes!$A$1:$A$500,0))="","",INDEX(O1_Community_Attributes!$W$1:$W$500,MATCH($A151,O1_Community_Attributes!$A$1:$A$500,0))),""))</f>
        <v/>
      </c>
      <c r="O151" s="8" t="str">
        <f aca="false">IF($A151="","",IFERROR(IF(INDEX(O1_Community_Attributes!$X$1:$X$500,MATCH($A151,O1_Community_Attributes!$A$1:$A$500,0))="","",INDEX(O1_Community_Attributes!$X$1:$X$500,MATCH($A151,O1_Community_Attributes!$A$1:$A$500,0))),""))</f>
        <v/>
      </c>
      <c r="P151" s="8" t="str">
        <f aca="false">IF($A151="","",IFERROR(IF(INDEX(O1_Community_Attributes!$Y$1:$Y$500,MATCH($A151,O1_Community_Attributes!$A$1:$A$500,0))="","",INDEX(O1_Community_Attributes!$Y$1:$Y$500,MATCH($A151,O1_Community_Attributes!$A$1:$A$500,0))),""))</f>
        <v/>
      </c>
      <c r="Q151" s="8" t="str">
        <f aca="false">IF($A151="","",IFERROR(IF(INDEX(O1_Community_Attributes!$Z$1:$Z$500,MATCH($A151,O1_Community_Attributes!$A$1:$A$500,0))="","",INDEX(O1_Community_Attributes!$Z$1:$Z$500,MATCH($A151,O1_Community_Attributes!$A$1:$A$500,0))),""))</f>
        <v/>
      </c>
      <c r="R151" s="8" t="str">
        <f aca="false">IF($A151="","",IFERROR(IF(INDEX(O1_Community_Attributes!$BK$1:$BK$500,MATCH($A151,O1_Community_Attributes!$A$1:$A$500,0))="","",INDEX(O1_Community_Attributes!$BK$1:$BK$500,MATCH($A151,O1_Community_Attributes!$A$1:$A$500,0))),""))</f>
        <v/>
      </c>
      <c r="S151" s="8" t="str">
        <f aca="false">IF(OR($C151="",$M151=""),"",$M151/$C151)</f>
        <v/>
      </c>
      <c r="T151" s="8" t="str">
        <f aca="false">IF($C151="","",IF(AND($M151="",$P151=""),"",IF($M151="","B",IF(ABS($S151-1)&lt;=0.3,"A",IF(OR($S151&gt;2,$S151&lt;0.5),"C","B")))))</f>
        <v/>
      </c>
    </row>
    <row r="152" customFormat="false" ht="15" hidden="false" customHeight="true" outlineLevel="0" collapsed="false">
      <c r="H152" s="8" t="str">
        <f aca="false">IF(C152="","",IF(C152&lt;1,"yes","no"))</f>
        <v/>
      </c>
      <c r="I152" s="8" t="str">
        <f aca="false">IF(C152="","",IF(C152&lt;2.6,"r75",IF(C152&lt;5.2,"r110",IF(C152&lt;9.9,"r150",IF(C152&lt;19.8,"r210","r300")))))</f>
        <v/>
      </c>
      <c r="M152" s="8" t="str">
        <f aca="false">IF($A152="","",IFERROR(IF(INDEX(O1_Community_Attributes!$V$1:$V$500,MATCH($A152,O1_Community_Attributes!$A$1:$A$500,0))="","",INDEX(O1_Community_Attributes!$V$1:$V$500,MATCH($A152,O1_Community_Attributes!$A$1:$A$500,0))),""))</f>
        <v/>
      </c>
      <c r="N152" s="8" t="str">
        <f aca="false">IF($A152="","",IFERROR(IF(INDEX(O1_Community_Attributes!$W$1:$W$500,MATCH($A152,O1_Community_Attributes!$A$1:$A$500,0))="","",INDEX(O1_Community_Attributes!$W$1:$W$500,MATCH($A152,O1_Community_Attributes!$A$1:$A$500,0))),""))</f>
        <v/>
      </c>
      <c r="O152" s="8" t="str">
        <f aca="false">IF($A152="","",IFERROR(IF(INDEX(O1_Community_Attributes!$X$1:$X$500,MATCH($A152,O1_Community_Attributes!$A$1:$A$500,0))="","",INDEX(O1_Community_Attributes!$X$1:$X$500,MATCH($A152,O1_Community_Attributes!$A$1:$A$500,0))),""))</f>
        <v/>
      </c>
      <c r="P152" s="8" t="str">
        <f aca="false">IF($A152="","",IFERROR(IF(INDEX(O1_Community_Attributes!$Y$1:$Y$500,MATCH($A152,O1_Community_Attributes!$A$1:$A$500,0))="","",INDEX(O1_Community_Attributes!$Y$1:$Y$500,MATCH($A152,O1_Community_Attributes!$A$1:$A$500,0))),""))</f>
        <v/>
      </c>
      <c r="Q152" s="8" t="str">
        <f aca="false">IF($A152="","",IFERROR(IF(INDEX(O1_Community_Attributes!$Z$1:$Z$500,MATCH($A152,O1_Community_Attributes!$A$1:$A$500,0))="","",INDEX(O1_Community_Attributes!$Z$1:$Z$500,MATCH($A152,O1_Community_Attributes!$A$1:$A$500,0))),""))</f>
        <v/>
      </c>
      <c r="R152" s="8" t="str">
        <f aca="false">IF($A152="","",IFERROR(IF(INDEX(O1_Community_Attributes!$BK$1:$BK$500,MATCH($A152,O1_Community_Attributes!$A$1:$A$500,0))="","",INDEX(O1_Community_Attributes!$BK$1:$BK$500,MATCH($A152,O1_Community_Attributes!$A$1:$A$500,0))),""))</f>
        <v/>
      </c>
      <c r="S152" s="8" t="str">
        <f aca="false">IF(OR($C152="",$M152=""),"",$M152/$C152)</f>
        <v/>
      </c>
      <c r="T152" s="8" t="str">
        <f aca="false">IF($C152="","",IF(AND($M152="",$P152=""),"",IF($M152="","B",IF(ABS($S152-1)&lt;=0.3,"A",IF(OR($S152&gt;2,$S152&lt;0.5),"C","B")))))</f>
        <v/>
      </c>
    </row>
    <row r="153" customFormat="false" ht="15" hidden="false" customHeight="true" outlineLevel="0" collapsed="false">
      <c r="H153" s="8" t="str">
        <f aca="false">IF(C153="","",IF(C153&lt;1,"yes","no"))</f>
        <v/>
      </c>
      <c r="I153" s="8" t="str">
        <f aca="false">IF(C153="","",IF(C153&lt;2.6,"r75",IF(C153&lt;5.2,"r110",IF(C153&lt;9.9,"r150",IF(C153&lt;19.8,"r210","r300")))))</f>
        <v/>
      </c>
      <c r="M153" s="8" t="str">
        <f aca="false">IF($A153="","",IFERROR(IF(INDEX(O1_Community_Attributes!$V$1:$V$500,MATCH($A153,O1_Community_Attributes!$A$1:$A$500,0))="","",INDEX(O1_Community_Attributes!$V$1:$V$500,MATCH($A153,O1_Community_Attributes!$A$1:$A$500,0))),""))</f>
        <v/>
      </c>
      <c r="N153" s="8" t="str">
        <f aca="false">IF($A153="","",IFERROR(IF(INDEX(O1_Community_Attributes!$W$1:$W$500,MATCH($A153,O1_Community_Attributes!$A$1:$A$500,0))="","",INDEX(O1_Community_Attributes!$W$1:$W$500,MATCH($A153,O1_Community_Attributes!$A$1:$A$500,0))),""))</f>
        <v/>
      </c>
      <c r="O153" s="8" t="str">
        <f aca="false">IF($A153="","",IFERROR(IF(INDEX(O1_Community_Attributes!$X$1:$X$500,MATCH($A153,O1_Community_Attributes!$A$1:$A$500,0))="","",INDEX(O1_Community_Attributes!$X$1:$X$500,MATCH($A153,O1_Community_Attributes!$A$1:$A$500,0))),""))</f>
        <v/>
      </c>
      <c r="P153" s="8" t="str">
        <f aca="false">IF($A153="","",IFERROR(IF(INDEX(O1_Community_Attributes!$Y$1:$Y$500,MATCH($A153,O1_Community_Attributes!$A$1:$A$500,0))="","",INDEX(O1_Community_Attributes!$Y$1:$Y$500,MATCH($A153,O1_Community_Attributes!$A$1:$A$500,0))),""))</f>
        <v/>
      </c>
      <c r="Q153" s="8" t="str">
        <f aca="false">IF($A153="","",IFERROR(IF(INDEX(O1_Community_Attributes!$Z$1:$Z$500,MATCH($A153,O1_Community_Attributes!$A$1:$A$500,0))="","",INDEX(O1_Community_Attributes!$Z$1:$Z$500,MATCH($A153,O1_Community_Attributes!$A$1:$A$500,0))),""))</f>
        <v/>
      </c>
      <c r="R153" s="8" t="str">
        <f aca="false">IF($A153="","",IFERROR(IF(INDEX(O1_Community_Attributes!$BK$1:$BK$500,MATCH($A153,O1_Community_Attributes!$A$1:$A$500,0))="","",INDEX(O1_Community_Attributes!$BK$1:$BK$500,MATCH($A153,O1_Community_Attributes!$A$1:$A$500,0))),""))</f>
        <v/>
      </c>
      <c r="S153" s="8" t="str">
        <f aca="false">IF(OR($C153="",$M153=""),"",$M153/$C153)</f>
        <v/>
      </c>
      <c r="T153" s="8" t="str">
        <f aca="false">IF($C153="","",IF(AND($M153="",$P153=""),"",IF($M153="","B",IF(ABS($S153-1)&lt;=0.3,"A",IF(OR($S153&gt;2,$S153&lt;0.5),"C","B")))))</f>
        <v/>
      </c>
    </row>
    <row r="154" customFormat="false" ht="15" hidden="false" customHeight="true" outlineLevel="0" collapsed="false">
      <c r="H154" s="8" t="str">
        <f aca="false">IF(C154="","",IF(C154&lt;1,"yes","no"))</f>
        <v/>
      </c>
      <c r="I154" s="8" t="str">
        <f aca="false">IF(C154="","",IF(C154&lt;2.6,"r75",IF(C154&lt;5.2,"r110",IF(C154&lt;9.9,"r150",IF(C154&lt;19.8,"r210","r300")))))</f>
        <v/>
      </c>
      <c r="M154" s="8" t="str">
        <f aca="false">IF($A154="","",IFERROR(IF(INDEX(O1_Community_Attributes!$V$1:$V$500,MATCH($A154,O1_Community_Attributes!$A$1:$A$500,0))="","",INDEX(O1_Community_Attributes!$V$1:$V$500,MATCH($A154,O1_Community_Attributes!$A$1:$A$500,0))),""))</f>
        <v/>
      </c>
      <c r="N154" s="8" t="str">
        <f aca="false">IF($A154="","",IFERROR(IF(INDEX(O1_Community_Attributes!$W$1:$W$500,MATCH($A154,O1_Community_Attributes!$A$1:$A$500,0))="","",INDEX(O1_Community_Attributes!$W$1:$W$500,MATCH($A154,O1_Community_Attributes!$A$1:$A$500,0))),""))</f>
        <v/>
      </c>
      <c r="O154" s="8" t="str">
        <f aca="false">IF($A154="","",IFERROR(IF(INDEX(O1_Community_Attributes!$X$1:$X$500,MATCH($A154,O1_Community_Attributes!$A$1:$A$500,0))="","",INDEX(O1_Community_Attributes!$X$1:$X$500,MATCH($A154,O1_Community_Attributes!$A$1:$A$500,0))),""))</f>
        <v/>
      </c>
      <c r="P154" s="8" t="str">
        <f aca="false">IF($A154="","",IFERROR(IF(INDEX(O1_Community_Attributes!$Y$1:$Y$500,MATCH($A154,O1_Community_Attributes!$A$1:$A$500,0))="","",INDEX(O1_Community_Attributes!$Y$1:$Y$500,MATCH($A154,O1_Community_Attributes!$A$1:$A$500,0))),""))</f>
        <v/>
      </c>
      <c r="Q154" s="8" t="str">
        <f aca="false">IF($A154="","",IFERROR(IF(INDEX(O1_Community_Attributes!$Z$1:$Z$500,MATCH($A154,O1_Community_Attributes!$A$1:$A$500,0))="","",INDEX(O1_Community_Attributes!$Z$1:$Z$500,MATCH($A154,O1_Community_Attributes!$A$1:$A$500,0))),""))</f>
        <v/>
      </c>
      <c r="R154" s="8" t="str">
        <f aca="false">IF($A154="","",IFERROR(IF(INDEX(O1_Community_Attributes!$BK$1:$BK$500,MATCH($A154,O1_Community_Attributes!$A$1:$A$500,0))="","",INDEX(O1_Community_Attributes!$BK$1:$BK$500,MATCH($A154,O1_Community_Attributes!$A$1:$A$500,0))),""))</f>
        <v/>
      </c>
      <c r="S154" s="8" t="str">
        <f aca="false">IF(OR($C154="",$M154=""),"",$M154/$C154)</f>
        <v/>
      </c>
      <c r="T154" s="8" t="str">
        <f aca="false">IF($C154="","",IF(AND($M154="",$P154=""),"",IF($M154="","B",IF(ABS($S154-1)&lt;=0.3,"A",IF(OR($S154&gt;2,$S154&lt;0.5),"C","B")))))</f>
        <v/>
      </c>
    </row>
    <row r="155" customFormat="false" ht="15" hidden="false" customHeight="true" outlineLevel="0" collapsed="false">
      <c r="H155" s="8" t="str">
        <f aca="false">IF(C155="","",IF(C155&lt;1,"yes","no"))</f>
        <v/>
      </c>
      <c r="I155" s="8" t="str">
        <f aca="false">IF(C155="","",IF(C155&lt;2.6,"r75",IF(C155&lt;5.2,"r110",IF(C155&lt;9.9,"r150",IF(C155&lt;19.8,"r210","r300")))))</f>
        <v/>
      </c>
      <c r="M155" s="8" t="str">
        <f aca="false">IF($A155="","",IFERROR(IF(INDEX(O1_Community_Attributes!$V$1:$V$500,MATCH($A155,O1_Community_Attributes!$A$1:$A$500,0))="","",INDEX(O1_Community_Attributes!$V$1:$V$500,MATCH($A155,O1_Community_Attributes!$A$1:$A$500,0))),""))</f>
        <v/>
      </c>
      <c r="N155" s="8" t="str">
        <f aca="false">IF($A155="","",IFERROR(IF(INDEX(O1_Community_Attributes!$W$1:$W$500,MATCH($A155,O1_Community_Attributes!$A$1:$A$500,0))="","",INDEX(O1_Community_Attributes!$W$1:$W$500,MATCH($A155,O1_Community_Attributes!$A$1:$A$500,0))),""))</f>
        <v/>
      </c>
      <c r="O155" s="8" t="str">
        <f aca="false">IF($A155="","",IFERROR(IF(INDEX(O1_Community_Attributes!$X$1:$X$500,MATCH($A155,O1_Community_Attributes!$A$1:$A$500,0))="","",INDEX(O1_Community_Attributes!$X$1:$X$500,MATCH($A155,O1_Community_Attributes!$A$1:$A$500,0))),""))</f>
        <v/>
      </c>
      <c r="P155" s="8" t="str">
        <f aca="false">IF($A155="","",IFERROR(IF(INDEX(O1_Community_Attributes!$Y$1:$Y$500,MATCH($A155,O1_Community_Attributes!$A$1:$A$500,0))="","",INDEX(O1_Community_Attributes!$Y$1:$Y$500,MATCH($A155,O1_Community_Attributes!$A$1:$A$500,0))),""))</f>
        <v/>
      </c>
      <c r="Q155" s="8" t="str">
        <f aca="false">IF($A155="","",IFERROR(IF(INDEX(O1_Community_Attributes!$Z$1:$Z$500,MATCH($A155,O1_Community_Attributes!$A$1:$A$500,0))="","",INDEX(O1_Community_Attributes!$Z$1:$Z$500,MATCH($A155,O1_Community_Attributes!$A$1:$A$500,0))),""))</f>
        <v/>
      </c>
      <c r="R155" s="8" t="str">
        <f aca="false">IF($A155="","",IFERROR(IF(INDEX(O1_Community_Attributes!$BK$1:$BK$500,MATCH($A155,O1_Community_Attributes!$A$1:$A$500,0))="","",INDEX(O1_Community_Attributes!$BK$1:$BK$500,MATCH($A155,O1_Community_Attributes!$A$1:$A$500,0))),""))</f>
        <v/>
      </c>
      <c r="S155" s="8" t="str">
        <f aca="false">IF(OR($C155="",$M155=""),"",$M155/$C155)</f>
        <v/>
      </c>
      <c r="T155" s="8" t="str">
        <f aca="false">IF($C155="","",IF(AND($M155="",$P155=""),"",IF($M155="","B",IF(ABS($S155-1)&lt;=0.3,"A",IF(OR($S155&gt;2,$S155&lt;0.5),"C","B")))))</f>
        <v/>
      </c>
    </row>
    <row r="156" customFormat="false" ht="15" hidden="false" customHeight="true" outlineLevel="0" collapsed="false">
      <c r="H156" s="8" t="str">
        <f aca="false">IF(C156="","",IF(C156&lt;1,"yes","no"))</f>
        <v/>
      </c>
      <c r="I156" s="8" t="str">
        <f aca="false">IF(C156="","",IF(C156&lt;2.6,"r75",IF(C156&lt;5.2,"r110",IF(C156&lt;9.9,"r150",IF(C156&lt;19.8,"r210","r300")))))</f>
        <v/>
      </c>
      <c r="M156" s="8" t="str">
        <f aca="false">IF($A156="","",IFERROR(IF(INDEX(O1_Community_Attributes!$V$1:$V$500,MATCH($A156,O1_Community_Attributes!$A$1:$A$500,0))="","",INDEX(O1_Community_Attributes!$V$1:$V$500,MATCH($A156,O1_Community_Attributes!$A$1:$A$500,0))),""))</f>
        <v/>
      </c>
      <c r="N156" s="8" t="str">
        <f aca="false">IF($A156="","",IFERROR(IF(INDEX(O1_Community_Attributes!$W$1:$W$500,MATCH($A156,O1_Community_Attributes!$A$1:$A$500,0))="","",INDEX(O1_Community_Attributes!$W$1:$W$500,MATCH($A156,O1_Community_Attributes!$A$1:$A$500,0))),""))</f>
        <v/>
      </c>
      <c r="O156" s="8" t="str">
        <f aca="false">IF($A156="","",IFERROR(IF(INDEX(O1_Community_Attributes!$X$1:$X$500,MATCH($A156,O1_Community_Attributes!$A$1:$A$500,0))="","",INDEX(O1_Community_Attributes!$X$1:$X$500,MATCH($A156,O1_Community_Attributes!$A$1:$A$500,0))),""))</f>
        <v/>
      </c>
      <c r="P156" s="8" t="str">
        <f aca="false">IF($A156="","",IFERROR(IF(INDEX(O1_Community_Attributes!$Y$1:$Y$500,MATCH($A156,O1_Community_Attributes!$A$1:$A$500,0))="","",INDEX(O1_Community_Attributes!$Y$1:$Y$500,MATCH($A156,O1_Community_Attributes!$A$1:$A$500,0))),""))</f>
        <v/>
      </c>
      <c r="Q156" s="8" t="str">
        <f aca="false">IF($A156="","",IFERROR(IF(INDEX(O1_Community_Attributes!$Z$1:$Z$500,MATCH($A156,O1_Community_Attributes!$A$1:$A$500,0))="","",INDEX(O1_Community_Attributes!$Z$1:$Z$500,MATCH($A156,O1_Community_Attributes!$A$1:$A$500,0))),""))</f>
        <v/>
      </c>
      <c r="R156" s="8" t="str">
        <f aca="false">IF($A156="","",IFERROR(IF(INDEX(O1_Community_Attributes!$BK$1:$BK$500,MATCH($A156,O1_Community_Attributes!$A$1:$A$500,0))="","",INDEX(O1_Community_Attributes!$BK$1:$BK$500,MATCH($A156,O1_Community_Attributes!$A$1:$A$500,0))),""))</f>
        <v/>
      </c>
      <c r="S156" s="8" t="str">
        <f aca="false">IF(OR($C156="",$M156=""),"",$M156/$C156)</f>
        <v/>
      </c>
      <c r="T156" s="8" t="str">
        <f aca="false">IF($C156="","",IF(AND($M156="",$P156=""),"",IF($M156="","B",IF(ABS($S156-1)&lt;=0.3,"A",IF(OR($S156&gt;2,$S156&lt;0.5),"C","B")))))</f>
        <v/>
      </c>
    </row>
    <row r="157" customFormat="false" ht="15" hidden="false" customHeight="true" outlineLevel="0" collapsed="false">
      <c r="H157" s="8" t="str">
        <f aca="false">IF(C157="","",IF(C157&lt;1,"yes","no"))</f>
        <v/>
      </c>
      <c r="I157" s="8" t="str">
        <f aca="false">IF(C157="","",IF(C157&lt;2.6,"r75",IF(C157&lt;5.2,"r110",IF(C157&lt;9.9,"r150",IF(C157&lt;19.8,"r210","r300")))))</f>
        <v/>
      </c>
      <c r="M157" s="8" t="str">
        <f aca="false">IF($A157="","",IFERROR(IF(INDEX(O1_Community_Attributes!$V$1:$V$500,MATCH($A157,O1_Community_Attributes!$A$1:$A$500,0))="","",INDEX(O1_Community_Attributes!$V$1:$V$500,MATCH($A157,O1_Community_Attributes!$A$1:$A$500,0))),""))</f>
        <v/>
      </c>
      <c r="N157" s="8" t="str">
        <f aca="false">IF($A157="","",IFERROR(IF(INDEX(O1_Community_Attributes!$W$1:$W$500,MATCH($A157,O1_Community_Attributes!$A$1:$A$500,0))="","",INDEX(O1_Community_Attributes!$W$1:$W$500,MATCH($A157,O1_Community_Attributes!$A$1:$A$500,0))),""))</f>
        <v/>
      </c>
      <c r="O157" s="8" t="str">
        <f aca="false">IF($A157="","",IFERROR(IF(INDEX(O1_Community_Attributes!$X$1:$X$500,MATCH($A157,O1_Community_Attributes!$A$1:$A$500,0))="","",INDEX(O1_Community_Attributes!$X$1:$X$500,MATCH($A157,O1_Community_Attributes!$A$1:$A$500,0))),""))</f>
        <v/>
      </c>
      <c r="P157" s="8" t="str">
        <f aca="false">IF($A157="","",IFERROR(IF(INDEX(O1_Community_Attributes!$Y$1:$Y$500,MATCH($A157,O1_Community_Attributes!$A$1:$A$500,0))="","",INDEX(O1_Community_Attributes!$Y$1:$Y$500,MATCH($A157,O1_Community_Attributes!$A$1:$A$500,0))),""))</f>
        <v/>
      </c>
      <c r="Q157" s="8" t="str">
        <f aca="false">IF($A157="","",IFERROR(IF(INDEX(O1_Community_Attributes!$Z$1:$Z$500,MATCH($A157,O1_Community_Attributes!$A$1:$A$500,0))="","",INDEX(O1_Community_Attributes!$Z$1:$Z$500,MATCH($A157,O1_Community_Attributes!$A$1:$A$500,0))),""))</f>
        <v/>
      </c>
      <c r="R157" s="8" t="str">
        <f aca="false">IF($A157="","",IFERROR(IF(INDEX(O1_Community_Attributes!$BK$1:$BK$500,MATCH($A157,O1_Community_Attributes!$A$1:$A$500,0))="","",INDEX(O1_Community_Attributes!$BK$1:$BK$500,MATCH($A157,O1_Community_Attributes!$A$1:$A$500,0))),""))</f>
        <v/>
      </c>
      <c r="S157" s="8" t="str">
        <f aca="false">IF(OR($C157="",$M157=""),"",$M157/$C157)</f>
        <v/>
      </c>
      <c r="T157" s="8" t="str">
        <f aca="false">IF($C157="","",IF(AND($M157="",$P157=""),"",IF($M157="","B",IF(ABS($S157-1)&lt;=0.3,"A",IF(OR($S157&gt;2,$S157&lt;0.5),"C","B")))))</f>
        <v/>
      </c>
    </row>
    <row r="158" customFormat="false" ht="15" hidden="false" customHeight="true" outlineLevel="0" collapsed="false">
      <c r="H158" s="8" t="str">
        <f aca="false">IF(C158="","",IF(C158&lt;1,"yes","no"))</f>
        <v/>
      </c>
      <c r="I158" s="8" t="str">
        <f aca="false">IF(C158="","",IF(C158&lt;2.6,"r75",IF(C158&lt;5.2,"r110",IF(C158&lt;9.9,"r150",IF(C158&lt;19.8,"r210","r300")))))</f>
        <v/>
      </c>
      <c r="M158" s="8" t="str">
        <f aca="false">IF($A158="","",IFERROR(IF(INDEX(O1_Community_Attributes!$V$1:$V$500,MATCH($A158,O1_Community_Attributes!$A$1:$A$500,0))="","",INDEX(O1_Community_Attributes!$V$1:$V$500,MATCH($A158,O1_Community_Attributes!$A$1:$A$500,0))),""))</f>
        <v/>
      </c>
      <c r="N158" s="8" t="str">
        <f aca="false">IF($A158="","",IFERROR(IF(INDEX(O1_Community_Attributes!$W$1:$W$500,MATCH($A158,O1_Community_Attributes!$A$1:$A$500,0))="","",INDEX(O1_Community_Attributes!$W$1:$W$500,MATCH($A158,O1_Community_Attributes!$A$1:$A$500,0))),""))</f>
        <v/>
      </c>
      <c r="O158" s="8" t="str">
        <f aca="false">IF($A158="","",IFERROR(IF(INDEX(O1_Community_Attributes!$X$1:$X$500,MATCH($A158,O1_Community_Attributes!$A$1:$A$500,0))="","",INDEX(O1_Community_Attributes!$X$1:$X$500,MATCH($A158,O1_Community_Attributes!$A$1:$A$500,0))),""))</f>
        <v/>
      </c>
      <c r="P158" s="8" t="str">
        <f aca="false">IF($A158="","",IFERROR(IF(INDEX(O1_Community_Attributes!$Y$1:$Y$500,MATCH($A158,O1_Community_Attributes!$A$1:$A$500,0))="","",INDEX(O1_Community_Attributes!$Y$1:$Y$500,MATCH($A158,O1_Community_Attributes!$A$1:$A$500,0))),""))</f>
        <v/>
      </c>
      <c r="Q158" s="8" t="str">
        <f aca="false">IF($A158="","",IFERROR(IF(INDEX(O1_Community_Attributes!$Z$1:$Z$500,MATCH($A158,O1_Community_Attributes!$A$1:$A$500,0))="","",INDEX(O1_Community_Attributes!$Z$1:$Z$500,MATCH($A158,O1_Community_Attributes!$A$1:$A$500,0))),""))</f>
        <v/>
      </c>
      <c r="R158" s="8" t="str">
        <f aca="false">IF($A158="","",IFERROR(IF(INDEX(O1_Community_Attributes!$BK$1:$BK$500,MATCH($A158,O1_Community_Attributes!$A$1:$A$500,0))="","",INDEX(O1_Community_Attributes!$BK$1:$BK$500,MATCH($A158,O1_Community_Attributes!$A$1:$A$500,0))),""))</f>
        <v/>
      </c>
      <c r="S158" s="8" t="str">
        <f aca="false">IF(OR($C158="",$M158=""),"",$M158/$C158)</f>
        <v/>
      </c>
      <c r="T158" s="8" t="str">
        <f aca="false">IF($C158="","",IF(AND($M158="",$P158=""),"",IF($M158="","B",IF(ABS($S158-1)&lt;=0.3,"A",IF(OR($S158&gt;2,$S158&lt;0.5),"C","B")))))</f>
        <v/>
      </c>
    </row>
    <row r="159" customFormat="false" ht="15" hidden="false" customHeight="true" outlineLevel="0" collapsed="false">
      <c r="H159" s="8" t="str">
        <f aca="false">IF(C159="","",IF(C159&lt;1,"yes","no"))</f>
        <v/>
      </c>
      <c r="I159" s="8" t="str">
        <f aca="false">IF(C159="","",IF(C159&lt;2.6,"r75",IF(C159&lt;5.2,"r110",IF(C159&lt;9.9,"r150",IF(C159&lt;19.8,"r210","r300")))))</f>
        <v/>
      </c>
      <c r="M159" s="8" t="str">
        <f aca="false">IF($A159="","",IFERROR(IF(INDEX(O1_Community_Attributes!$V$1:$V$500,MATCH($A159,O1_Community_Attributes!$A$1:$A$500,0))="","",INDEX(O1_Community_Attributes!$V$1:$V$500,MATCH($A159,O1_Community_Attributes!$A$1:$A$500,0))),""))</f>
        <v/>
      </c>
      <c r="N159" s="8" t="str">
        <f aca="false">IF($A159="","",IFERROR(IF(INDEX(O1_Community_Attributes!$W$1:$W$500,MATCH($A159,O1_Community_Attributes!$A$1:$A$500,0))="","",INDEX(O1_Community_Attributes!$W$1:$W$500,MATCH($A159,O1_Community_Attributes!$A$1:$A$500,0))),""))</f>
        <v/>
      </c>
      <c r="O159" s="8" t="str">
        <f aca="false">IF($A159="","",IFERROR(IF(INDEX(O1_Community_Attributes!$X$1:$X$500,MATCH($A159,O1_Community_Attributes!$A$1:$A$500,0))="","",INDEX(O1_Community_Attributes!$X$1:$X$500,MATCH($A159,O1_Community_Attributes!$A$1:$A$500,0))),""))</f>
        <v/>
      </c>
      <c r="P159" s="8" t="str">
        <f aca="false">IF($A159="","",IFERROR(IF(INDEX(O1_Community_Attributes!$Y$1:$Y$500,MATCH($A159,O1_Community_Attributes!$A$1:$A$500,0))="","",INDEX(O1_Community_Attributes!$Y$1:$Y$500,MATCH($A159,O1_Community_Attributes!$A$1:$A$500,0))),""))</f>
        <v/>
      </c>
      <c r="Q159" s="8" t="str">
        <f aca="false">IF($A159="","",IFERROR(IF(INDEX(O1_Community_Attributes!$Z$1:$Z$500,MATCH($A159,O1_Community_Attributes!$A$1:$A$500,0))="","",INDEX(O1_Community_Attributes!$Z$1:$Z$500,MATCH($A159,O1_Community_Attributes!$A$1:$A$500,0))),""))</f>
        <v/>
      </c>
      <c r="R159" s="8" t="str">
        <f aca="false">IF($A159="","",IFERROR(IF(INDEX(O1_Community_Attributes!$BK$1:$BK$500,MATCH($A159,O1_Community_Attributes!$A$1:$A$500,0))="","",INDEX(O1_Community_Attributes!$BK$1:$BK$500,MATCH($A159,O1_Community_Attributes!$A$1:$A$500,0))),""))</f>
        <v/>
      </c>
      <c r="S159" s="8" t="str">
        <f aca="false">IF(OR($C159="",$M159=""),"",$M159/$C159)</f>
        <v/>
      </c>
      <c r="T159" s="8" t="str">
        <f aca="false">IF($C159="","",IF(AND($M159="",$P159=""),"",IF($M159="","B",IF(ABS($S159-1)&lt;=0.3,"A",IF(OR($S159&gt;2,$S159&lt;0.5),"C","B")))))</f>
        <v/>
      </c>
    </row>
    <row r="160" customFormat="false" ht="15" hidden="false" customHeight="true" outlineLevel="0" collapsed="false">
      <c r="H160" s="8" t="str">
        <f aca="false">IF(C160="","",IF(C160&lt;1,"yes","no"))</f>
        <v/>
      </c>
      <c r="I160" s="8" t="str">
        <f aca="false">IF(C160="","",IF(C160&lt;2.6,"r75",IF(C160&lt;5.2,"r110",IF(C160&lt;9.9,"r150",IF(C160&lt;19.8,"r210","r300")))))</f>
        <v/>
      </c>
      <c r="M160" s="8" t="str">
        <f aca="false">IF($A160="","",IFERROR(IF(INDEX(O1_Community_Attributes!$V$1:$V$500,MATCH($A160,O1_Community_Attributes!$A$1:$A$500,0))="","",INDEX(O1_Community_Attributes!$V$1:$V$500,MATCH($A160,O1_Community_Attributes!$A$1:$A$500,0))),""))</f>
        <v/>
      </c>
      <c r="N160" s="8" t="str">
        <f aca="false">IF($A160="","",IFERROR(IF(INDEX(O1_Community_Attributes!$W$1:$W$500,MATCH($A160,O1_Community_Attributes!$A$1:$A$500,0))="","",INDEX(O1_Community_Attributes!$W$1:$W$500,MATCH($A160,O1_Community_Attributes!$A$1:$A$500,0))),""))</f>
        <v/>
      </c>
      <c r="O160" s="8" t="str">
        <f aca="false">IF($A160="","",IFERROR(IF(INDEX(O1_Community_Attributes!$X$1:$X$500,MATCH($A160,O1_Community_Attributes!$A$1:$A$500,0))="","",INDEX(O1_Community_Attributes!$X$1:$X$500,MATCH($A160,O1_Community_Attributes!$A$1:$A$500,0))),""))</f>
        <v/>
      </c>
      <c r="P160" s="8" t="str">
        <f aca="false">IF($A160="","",IFERROR(IF(INDEX(O1_Community_Attributes!$Y$1:$Y$500,MATCH($A160,O1_Community_Attributes!$A$1:$A$500,0))="","",INDEX(O1_Community_Attributes!$Y$1:$Y$500,MATCH($A160,O1_Community_Attributes!$A$1:$A$500,0))),""))</f>
        <v/>
      </c>
      <c r="Q160" s="8" t="str">
        <f aca="false">IF($A160="","",IFERROR(IF(INDEX(O1_Community_Attributes!$Z$1:$Z$500,MATCH($A160,O1_Community_Attributes!$A$1:$A$500,0))="","",INDEX(O1_Community_Attributes!$Z$1:$Z$500,MATCH($A160,O1_Community_Attributes!$A$1:$A$500,0))),""))</f>
        <v/>
      </c>
      <c r="R160" s="8" t="str">
        <f aca="false">IF($A160="","",IFERROR(IF(INDEX(O1_Community_Attributes!$BK$1:$BK$500,MATCH($A160,O1_Community_Attributes!$A$1:$A$500,0))="","",INDEX(O1_Community_Attributes!$BK$1:$BK$500,MATCH($A160,O1_Community_Attributes!$A$1:$A$500,0))),""))</f>
        <v/>
      </c>
      <c r="S160" s="8" t="str">
        <f aca="false">IF(OR($C160="",$M160=""),"",$M160/$C160)</f>
        <v/>
      </c>
      <c r="T160" s="8" t="str">
        <f aca="false">IF($C160="","",IF(AND($M160="",$P160=""),"",IF($M160="","B",IF(ABS($S160-1)&lt;=0.3,"A",IF(OR($S160&gt;2,$S160&lt;0.5),"C","B")))))</f>
        <v/>
      </c>
    </row>
    <row r="161" customFormat="false" ht="15" hidden="false" customHeight="true" outlineLevel="0" collapsed="false">
      <c r="H161" s="8" t="str">
        <f aca="false">IF(C161="","",IF(C161&lt;1,"yes","no"))</f>
        <v/>
      </c>
      <c r="I161" s="8" t="str">
        <f aca="false">IF(C161="","",IF(C161&lt;2.6,"r75",IF(C161&lt;5.2,"r110",IF(C161&lt;9.9,"r150",IF(C161&lt;19.8,"r210","r300")))))</f>
        <v/>
      </c>
      <c r="M161" s="8" t="str">
        <f aca="false">IF($A161="","",IFERROR(IF(INDEX(O1_Community_Attributes!$V$1:$V$500,MATCH($A161,O1_Community_Attributes!$A$1:$A$500,0))="","",INDEX(O1_Community_Attributes!$V$1:$V$500,MATCH($A161,O1_Community_Attributes!$A$1:$A$500,0))),""))</f>
        <v/>
      </c>
      <c r="N161" s="8" t="str">
        <f aca="false">IF($A161="","",IFERROR(IF(INDEX(O1_Community_Attributes!$W$1:$W$500,MATCH($A161,O1_Community_Attributes!$A$1:$A$500,0))="","",INDEX(O1_Community_Attributes!$W$1:$W$500,MATCH($A161,O1_Community_Attributes!$A$1:$A$500,0))),""))</f>
        <v/>
      </c>
      <c r="O161" s="8" t="str">
        <f aca="false">IF($A161="","",IFERROR(IF(INDEX(O1_Community_Attributes!$X$1:$X$500,MATCH($A161,O1_Community_Attributes!$A$1:$A$500,0))="","",INDEX(O1_Community_Attributes!$X$1:$X$500,MATCH($A161,O1_Community_Attributes!$A$1:$A$500,0))),""))</f>
        <v/>
      </c>
      <c r="P161" s="8" t="str">
        <f aca="false">IF($A161="","",IFERROR(IF(INDEX(O1_Community_Attributes!$Y$1:$Y$500,MATCH($A161,O1_Community_Attributes!$A$1:$A$500,0))="","",INDEX(O1_Community_Attributes!$Y$1:$Y$500,MATCH($A161,O1_Community_Attributes!$A$1:$A$500,0))),""))</f>
        <v/>
      </c>
      <c r="Q161" s="8" t="str">
        <f aca="false">IF($A161="","",IFERROR(IF(INDEX(O1_Community_Attributes!$Z$1:$Z$500,MATCH($A161,O1_Community_Attributes!$A$1:$A$500,0))="","",INDEX(O1_Community_Attributes!$Z$1:$Z$500,MATCH($A161,O1_Community_Attributes!$A$1:$A$500,0))),""))</f>
        <v/>
      </c>
      <c r="R161" s="8" t="str">
        <f aca="false">IF($A161="","",IFERROR(IF(INDEX(O1_Community_Attributes!$BK$1:$BK$500,MATCH($A161,O1_Community_Attributes!$A$1:$A$500,0))="","",INDEX(O1_Community_Attributes!$BK$1:$BK$500,MATCH($A161,O1_Community_Attributes!$A$1:$A$500,0))),""))</f>
        <v/>
      </c>
      <c r="S161" s="8" t="str">
        <f aca="false">IF(OR($C161="",$M161=""),"",$M161/$C161)</f>
        <v/>
      </c>
      <c r="T161" s="8" t="str">
        <f aca="false">IF($C161="","",IF(AND($M161="",$P161=""),"",IF($M161="","B",IF(ABS($S161-1)&lt;=0.3,"A",IF(OR($S161&gt;2,$S161&lt;0.5),"C","B")))))</f>
        <v/>
      </c>
    </row>
    <row r="162" customFormat="false" ht="15" hidden="false" customHeight="true" outlineLevel="0" collapsed="false">
      <c r="H162" s="8" t="str">
        <f aca="false">IF(C162="","",IF(C162&lt;1,"yes","no"))</f>
        <v/>
      </c>
      <c r="I162" s="8" t="str">
        <f aca="false">IF(C162="","",IF(C162&lt;2.6,"r75",IF(C162&lt;5.2,"r110",IF(C162&lt;9.9,"r150",IF(C162&lt;19.8,"r210","r300")))))</f>
        <v/>
      </c>
      <c r="M162" s="8" t="str">
        <f aca="false">IF($A162="","",IFERROR(IF(INDEX(O1_Community_Attributes!$V$1:$V$500,MATCH($A162,O1_Community_Attributes!$A$1:$A$500,0))="","",INDEX(O1_Community_Attributes!$V$1:$V$500,MATCH($A162,O1_Community_Attributes!$A$1:$A$500,0))),""))</f>
        <v/>
      </c>
      <c r="N162" s="8" t="str">
        <f aca="false">IF($A162="","",IFERROR(IF(INDEX(O1_Community_Attributes!$W$1:$W$500,MATCH($A162,O1_Community_Attributes!$A$1:$A$500,0))="","",INDEX(O1_Community_Attributes!$W$1:$W$500,MATCH($A162,O1_Community_Attributes!$A$1:$A$500,0))),""))</f>
        <v/>
      </c>
      <c r="O162" s="8" t="str">
        <f aca="false">IF($A162="","",IFERROR(IF(INDEX(O1_Community_Attributes!$X$1:$X$500,MATCH($A162,O1_Community_Attributes!$A$1:$A$500,0))="","",INDEX(O1_Community_Attributes!$X$1:$X$500,MATCH($A162,O1_Community_Attributes!$A$1:$A$500,0))),""))</f>
        <v/>
      </c>
      <c r="P162" s="8" t="str">
        <f aca="false">IF($A162="","",IFERROR(IF(INDEX(O1_Community_Attributes!$Y$1:$Y$500,MATCH($A162,O1_Community_Attributes!$A$1:$A$500,0))="","",INDEX(O1_Community_Attributes!$Y$1:$Y$500,MATCH($A162,O1_Community_Attributes!$A$1:$A$500,0))),""))</f>
        <v/>
      </c>
      <c r="Q162" s="8" t="str">
        <f aca="false">IF($A162="","",IFERROR(IF(INDEX(O1_Community_Attributes!$Z$1:$Z$500,MATCH($A162,O1_Community_Attributes!$A$1:$A$500,0))="","",INDEX(O1_Community_Attributes!$Z$1:$Z$500,MATCH($A162,O1_Community_Attributes!$A$1:$A$500,0))),""))</f>
        <v/>
      </c>
      <c r="R162" s="8" t="str">
        <f aca="false">IF($A162="","",IFERROR(IF(INDEX(O1_Community_Attributes!$BK$1:$BK$500,MATCH($A162,O1_Community_Attributes!$A$1:$A$500,0))="","",INDEX(O1_Community_Attributes!$BK$1:$BK$500,MATCH($A162,O1_Community_Attributes!$A$1:$A$500,0))),""))</f>
        <v/>
      </c>
      <c r="S162" s="8" t="str">
        <f aca="false">IF(OR($C162="",$M162=""),"",$M162/$C162)</f>
        <v/>
      </c>
      <c r="T162" s="8" t="str">
        <f aca="false">IF($C162="","",IF(AND($M162="",$P162=""),"",IF($M162="","B",IF(ABS($S162-1)&lt;=0.3,"A",IF(OR($S162&gt;2,$S162&lt;0.5),"C","B")))))</f>
        <v/>
      </c>
    </row>
    <row r="163" customFormat="false" ht="15" hidden="false" customHeight="true" outlineLevel="0" collapsed="false">
      <c r="H163" s="8" t="str">
        <f aca="false">IF(C163="","",IF(C163&lt;1,"yes","no"))</f>
        <v/>
      </c>
      <c r="I163" s="8" t="str">
        <f aca="false">IF(C163="","",IF(C163&lt;2.6,"r75",IF(C163&lt;5.2,"r110",IF(C163&lt;9.9,"r150",IF(C163&lt;19.8,"r210","r300")))))</f>
        <v/>
      </c>
      <c r="M163" s="8" t="str">
        <f aca="false">IF($A163="","",IFERROR(IF(INDEX(O1_Community_Attributes!$V$1:$V$500,MATCH($A163,O1_Community_Attributes!$A$1:$A$500,0))="","",INDEX(O1_Community_Attributes!$V$1:$V$500,MATCH($A163,O1_Community_Attributes!$A$1:$A$500,0))),""))</f>
        <v/>
      </c>
      <c r="N163" s="8" t="str">
        <f aca="false">IF($A163="","",IFERROR(IF(INDEX(O1_Community_Attributes!$W$1:$W$500,MATCH($A163,O1_Community_Attributes!$A$1:$A$500,0))="","",INDEX(O1_Community_Attributes!$W$1:$W$500,MATCH($A163,O1_Community_Attributes!$A$1:$A$500,0))),""))</f>
        <v/>
      </c>
      <c r="O163" s="8" t="str">
        <f aca="false">IF($A163="","",IFERROR(IF(INDEX(O1_Community_Attributes!$X$1:$X$500,MATCH($A163,O1_Community_Attributes!$A$1:$A$500,0))="","",INDEX(O1_Community_Attributes!$X$1:$X$500,MATCH($A163,O1_Community_Attributes!$A$1:$A$500,0))),""))</f>
        <v/>
      </c>
      <c r="P163" s="8" t="str">
        <f aca="false">IF($A163="","",IFERROR(IF(INDEX(O1_Community_Attributes!$Y$1:$Y$500,MATCH($A163,O1_Community_Attributes!$A$1:$A$500,0))="","",INDEX(O1_Community_Attributes!$Y$1:$Y$500,MATCH($A163,O1_Community_Attributes!$A$1:$A$500,0))),""))</f>
        <v/>
      </c>
      <c r="Q163" s="8" t="str">
        <f aca="false">IF($A163="","",IFERROR(IF(INDEX(O1_Community_Attributes!$Z$1:$Z$500,MATCH($A163,O1_Community_Attributes!$A$1:$A$500,0))="","",INDEX(O1_Community_Attributes!$Z$1:$Z$500,MATCH($A163,O1_Community_Attributes!$A$1:$A$500,0))),""))</f>
        <v/>
      </c>
      <c r="R163" s="8" t="str">
        <f aca="false">IF($A163="","",IFERROR(IF(INDEX(O1_Community_Attributes!$BK$1:$BK$500,MATCH($A163,O1_Community_Attributes!$A$1:$A$500,0))="","",INDEX(O1_Community_Attributes!$BK$1:$BK$500,MATCH($A163,O1_Community_Attributes!$A$1:$A$500,0))),""))</f>
        <v/>
      </c>
      <c r="S163" s="8" t="str">
        <f aca="false">IF(OR($C163="",$M163=""),"",$M163/$C163)</f>
        <v/>
      </c>
      <c r="T163" s="8" t="str">
        <f aca="false">IF($C163="","",IF(AND($M163="",$P163=""),"",IF($M163="","B",IF(ABS($S163-1)&lt;=0.3,"A",IF(OR($S163&gt;2,$S163&lt;0.5),"C","B")))))</f>
        <v/>
      </c>
    </row>
    <row r="164" customFormat="false" ht="15" hidden="false" customHeight="true" outlineLevel="0" collapsed="false">
      <c r="H164" s="8" t="str">
        <f aca="false">IF(C164="","",IF(C164&lt;1,"yes","no"))</f>
        <v/>
      </c>
      <c r="I164" s="8" t="str">
        <f aca="false">IF(C164="","",IF(C164&lt;2.6,"r75",IF(C164&lt;5.2,"r110",IF(C164&lt;9.9,"r150",IF(C164&lt;19.8,"r210","r300")))))</f>
        <v/>
      </c>
      <c r="M164" s="8" t="str">
        <f aca="false">IF($A164="","",IFERROR(IF(INDEX(O1_Community_Attributes!$V$1:$V$500,MATCH($A164,O1_Community_Attributes!$A$1:$A$500,0))="","",INDEX(O1_Community_Attributes!$V$1:$V$500,MATCH($A164,O1_Community_Attributes!$A$1:$A$500,0))),""))</f>
        <v/>
      </c>
      <c r="N164" s="8" t="str">
        <f aca="false">IF($A164="","",IFERROR(IF(INDEX(O1_Community_Attributes!$W$1:$W$500,MATCH($A164,O1_Community_Attributes!$A$1:$A$500,0))="","",INDEX(O1_Community_Attributes!$W$1:$W$500,MATCH($A164,O1_Community_Attributes!$A$1:$A$500,0))),""))</f>
        <v/>
      </c>
      <c r="O164" s="8" t="str">
        <f aca="false">IF($A164="","",IFERROR(IF(INDEX(O1_Community_Attributes!$X$1:$X$500,MATCH($A164,O1_Community_Attributes!$A$1:$A$500,0))="","",INDEX(O1_Community_Attributes!$X$1:$X$500,MATCH($A164,O1_Community_Attributes!$A$1:$A$500,0))),""))</f>
        <v/>
      </c>
      <c r="P164" s="8" t="str">
        <f aca="false">IF($A164="","",IFERROR(IF(INDEX(O1_Community_Attributes!$Y$1:$Y$500,MATCH($A164,O1_Community_Attributes!$A$1:$A$500,0))="","",INDEX(O1_Community_Attributes!$Y$1:$Y$500,MATCH($A164,O1_Community_Attributes!$A$1:$A$500,0))),""))</f>
        <v/>
      </c>
      <c r="Q164" s="8" t="str">
        <f aca="false">IF($A164="","",IFERROR(IF(INDEX(O1_Community_Attributes!$Z$1:$Z$500,MATCH($A164,O1_Community_Attributes!$A$1:$A$500,0))="","",INDEX(O1_Community_Attributes!$Z$1:$Z$500,MATCH($A164,O1_Community_Attributes!$A$1:$A$500,0))),""))</f>
        <v/>
      </c>
      <c r="R164" s="8" t="str">
        <f aca="false">IF($A164="","",IFERROR(IF(INDEX(O1_Community_Attributes!$BK$1:$BK$500,MATCH($A164,O1_Community_Attributes!$A$1:$A$500,0))="","",INDEX(O1_Community_Attributes!$BK$1:$BK$500,MATCH($A164,O1_Community_Attributes!$A$1:$A$500,0))),""))</f>
        <v/>
      </c>
      <c r="S164" s="8" t="str">
        <f aca="false">IF(OR($C164="",$M164=""),"",$M164/$C164)</f>
        <v/>
      </c>
      <c r="T164" s="8" t="str">
        <f aca="false">IF($C164="","",IF(AND($M164="",$P164=""),"",IF($M164="","B",IF(ABS($S164-1)&lt;=0.3,"A",IF(OR($S164&gt;2,$S164&lt;0.5),"C","B")))))</f>
        <v/>
      </c>
    </row>
    <row r="165" customFormat="false" ht="15" hidden="false" customHeight="true" outlineLevel="0" collapsed="false">
      <c r="H165" s="8" t="str">
        <f aca="false">IF(C165="","",IF(C165&lt;1,"yes","no"))</f>
        <v/>
      </c>
      <c r="I165" s="8" t="str">
        <f aca="false">IF(C165="","",IF(C165&lt;2.6,"r75",IF(C165&lt;5.2,"r110",IF(C165&lt;9.9,"r150",IF(C165&lt;19.8,"r210","r300")))))</f>
        <v/>
      </c>
      <c r="M165" s="8" t="str">
        <f aca="false">IF($A165="","",IFERROR(IF(INDEX(O1_Community_Attributes!$V$1:$V$500,MATCH($A165,O1_Community_Attributes!$A$1:$A$500,0))="","",INDEX(O1_Community_Attributes!$V$1:$V$500,MATCH($A165,O1_Community_Attributes!$A$1:$A$500,0))),""))</f>
        <v/>
      </c>
      <c r="N165" s="8" t="str">
        <f aca="false">IF($A165="","",IFERROR(IF(INDEX(O1_Community_Attributes!$W$1:$W$500,MATCH($A165,O1_Community_Attributes!$A$1:$A$500,0))="","",INDEX(O1_Community_Attributes!$W$1:$W$500,MATCH($A165,O1_Community_Attributes!$A$1:$A$500,0))),""))</f>
        <v/>
      </c>
      <c r="O165" s="8" t="str">
        <f aca="false">IF($A165="","",IFERROR(IF(INDEX(O1_Community_Attributes!$X$1:$X$500,MATCH($A165,O1_Community_Attributes!$A$1:$A$500,0))="","",INDEX(O1_Community_Attributes!$X$1:$X$500,MATCH($A165,O1_Community_Attributes!$A$1:$A$500,0))),""))</f>
        <v/>
      </c>
      <c r="P165" s="8" t="str">
        <f aca="false">IF($A165="","",IFERROR(IF(INDEX(O1_Community_Attributes!$Y$1:$Y$500,MATCH($A165,O1_Community_Attributes!$A$1:$A$500,0))="","",INDEX(O1_Community_Attributes!$Y$1:$Y$500,MATCH($A165,O1_Community_Attributes!$A$1:$A$500,0))),""))</f>
        <v/>
      </c>
      <c r="Q165" s="8" t="str">
        <f aca="false">IF($A165="","",IFERROR(IF(INDEX(O1_Community_Attributes!$Z$1:$Z$500,MATCH($A165,O1_Community_Attributes!$A$1:$A$500,0))="","",INDEX(O1_Community_Attributes!$Z$1:$Z$500,MATCH($A165,O1_Community_Attributes!$A$1:$A$500,0))),""))</f>
        <v/>
      </c>
      <c r="R165" s="8" t="str">
        <f aca="false">IF($A165="","",IFERROR(IF(INDEX(O1_Community_Attributes!$BK$1:$BK$500,MATCH($A165,O1_Community_Attributes!$A$1:$A$500,0))="","",INDEX(O1_Community_Attributes!$BK$1:$BK$500,MATCH($A165,O1_Community_Attributes!$A$1:$A$500,0))),""))</f>
        <v/>
      </c>
      <c r="S165" s="8" t="str">
        <f aca="false">IF(OR($C165="",$M165=""),"",$M165/$C165)</f>
        <v/>
      </c>
      <c r="T165" s="8" t="str">
        <f aca="false">IF($C165="","",IF(AND($M165="",$P165=""),"",IF($M165="","B",IF(ABS($S165-1)&lt;=0.3,"A",IF(OR($S165&gt;2,$S165&lt;0.5),"C","B")))))</f>
        <v/>
      </c>
    </row>
    <row r="166" customFormat="false" ht="15" hidden="false" customHeight="true" outlineLevel="0" collapsed="false">
      <c r="H166" s="8" t="str">
        <f aca="false">IF(C166="","",IF(C166&lt;1,"yes","no"))</f>
        <v/>
      </c>
      <c r="I166" s="8" t="str">
        <f aca="false">IF(C166="","",IF(C166&lt;2.6,"r75",IF(C166&lt;5.2,"r110",IF(C166&lt;9.9,"r150",IF(C166&lt;19.8,"r210","r300")))))</f>
        <v/>
      </c>
      <c r="M166" s="8" t="str">
        <f aca="false">IF($A166="","",IFERROR(IF(INDEX(O1_Community_Attributes!$V$1:$V$500,MATCH($A166,O1_Community_Attributes!$A$1:$A$500,0))="","",INDEX(O1_Community_Attributes!$V$1:$V$500,MATCH($A166,O1_Community_Attributes!$A$1:$A$500,0))),""))</f>
        <v/>
      </c>
      <c r="N166" s="8" t="str">
        <f aca="false">IF($A166="","",IFERROR(IF(INDEX(O1_Community_Attributes!$W$1:$W$500,MATCH($A166,O1_Community_Attributes!$A$1:$A$500,0))="","",INDEX(O1_Community_Attributes!$W$1:$W$500,MATCH($A166,O1_Community_Attributes!$A$1:$A$500,0))),""))</f>
        <v/>
      </c>
      <c r="O166" s="8" t="str">
        <f aca="false">IF($A166="","",IFERROR(IF(INDEX(O1_Community_Attributes!$X$1:$X$500,MATCH($A166,O1_Community_Attributes!$A$1:$A$500,0))="","",INDEX(O1_Community_Attributes!$X$1:$X$500,MATCH($A166,O1_Community_Attributes!$A$1:$A$500,0))),""))</f>
        <v/>
      </c>
      <c r="P166" s="8" t="str">
        <f aca="false">IF($A166="","",IFERROR(IF(INDEX(O1_Community_Attributes!$Y$1:$Y$500,MATCH($A166,O1_Community_Attributes!$A$1:$A$500,0))="","",INDEX(O1_Community_Attributes!$Y$1:$Y$500,MATCH($A166,O1_Community_Attributes!$A$1:$A$500,0))),""))</f>
        <v/>
      </c>
      <c r="Q166" s="8" t="str">
        <f aca="false">IF($A166="","",IFERROR(IF(INDEX(O1_Community_Attributes!$Z$1:$Z$500,MATCH($A166,O1_Community_Attributes!$A$1:$A$500,0))="","",INDEX(O1_Community_Attributes!$Z$1:$Z$500,MATCH($A166,O1_Community_Attributes!$A$1:$A$500,0))),""))</f>
        <v/>
      </c>
      <c r="R166" s="8" t="str">
        <f aca="false">IF($A166="","",IFERROR(IF(INDEX(O1_Community_Attributes!$BK$1:$BK$500,MATCH($A166,O1_Community_Attributes!$A$1:$A$500,0))="","",INDEX(O1_Community_Attributes!$BK$1:$BK$500,MATCH($A166,O1_Community_Attributes!$A$1:$A$500,0))),""))</f>
        <v/>
      </c>
      <c r="S166" s="8" t="str">
        <f aca="false">IF(OR($C166="",$M166=""),"",$M166/$C166)</f>
        <v/>
      </c>
      <c r="T166" s="8" t="str">
        <f aca="false">IF($C166="","",IF(AND($M166="",$P166=""),"",IF($M166="","B",IF(ABS($S166-1)&lt;=0.3,"A",IF(OR($S166&gt;2,$S166&lt;0.5),"C","B")))))</f>
        <v/>
      </c>
    </row>
    <row r="167" customFormat="false" ht="15" hidden="false" customHeight="true" outlineLevel="0" collapsed="false">
      <c r="H167" s="8" t="str">
        <f aca="false">IF(C167="","",IF(C167&lt;1,"yes","no"))</f>
        <v/>
      </c>
      <c r="I167" s="8" t="str">
        <f aca="false">IF(C167="","",IF(C167&lt;2.6,"r75",IF(C167&lt;5.2,"r110",IF(C167&lt;9.9,"r150",IF(C167&lt;19.8,"r210","r300")))))</f>
        <v/>
      </c>
      <c r="M167" s="8" t="str">
        <f aca="false">IF($A167="","",IFERROR(IF(INDEX(O1_Community_Attributes!$V$1:$V$500,MATCH($A167,O1_Community_Attributes!$A$1:$A$500,0))="","",INDEX(O1_Community_Attributes!$V$1:$V$500,MATCH($A167,O1_Community_Attributes!$A$1:$A$500,0))),""))</f>
        <v/>
      </c>
      <c r="N167" s="8" t="str">
        <f aca="false">IF($A167="","",IFERROR(IF(INDEX(O1_Community_Attributes!$W$1:$W$500,MATCH($A167,O1_Community_Attributes!$A$1:$A$500,0))="","",INDEX(O1_Community_Attributes!$W$1:$W$500,MATCH($A167,O1_Community_Attributes!$A$1:$A$500,0))),""))</f>
        <v/>
      </c>
      <c r="O167" s="8" t="str">
        <f aca="false">IF($A167="","",IFERROR(IF(INDEX(O1_Community_Attributes!$X$1:$X$500,MATCH($A167,O1_Community_Attributes!$A$1:$A$500,0))="","",INDEX(O1_Community_Attributes!$X$1:$X$500,MATCH($A167,O1_Community_Attributes!$A$1:$A$500,0))),""))</f>
        <v/>
      </c>
      <c r="P167" s="8" t="str">
        <f aca="false">IF($A167="","",IFERROR(IF(INDEX(O1_Community_Attributes!$Y$1:$Y$500,MATCH($A167,O1_Community_Attributes!$A$1:$A$500,0))="","",INDEX(O1_Community_Attributes!$Y$1:$Y$500,MATCH($A167,O1_Community_Attributes!$A$1:$A$500,0))),""))</f>
        <v/>
      </c>
      <c r="Q167" s="8" t="str">
        <f aca="false">IF($A167="","",IFERROR(IF(INDEX(O1_Community_Attributes!$Z$1:$Z$500,MATCH($A167,O1_Community_Attributes!$A$1:$A$500,0))="","",INDEX(O1_Community_Attributes!$Z$1:$Z$500,MATCH($A167,O1_Community_Attributes!$A$1:$A$500,0))),""))</f>
        <v/>
      </c>
      <c r="R167" s="8" t="str">
        <f aca="false">IF($A167="","",IFERROR(IF(INDEX(O1_Community_Attributes!$BK$1:$BK$500,MATCH($A167,O1_Community_Attributes!$A$1:$A$500,0))="","",INDEX(O1_Community_Attributes!$BK$1:$BK$500,MATCH($A167,O1_Community_Attributes!$A$1:$A$500,0))),""))</f>
        <v/>
      </c>
      <c r="S167" s="8" t="str">
        <f aca="false">IF(OR($C167="",$M167=""),"",$M167/$C167)</f>
        <v/>
      </c>
      <c r="T167" s="8" t="str">
        <f aca="false">IF($C167="","",IF(AND($M167="",$P167=""),"",IF($M167="","B",IF(ABS($S167-1)&lt;=0.3,"A",IF(OR($S167&gt;2,$S167&lt;0.5),"C","B")))))</f>
        <v/>
      </c>
    </row>
    <row r="168" customFormat="false" ht="15" hidden="false" customHeight="true" outlineLevel="0" collapsed="false">
      <c r="H168" s="8" t="str">
        <f aca="false">IF(C168="","",IF(C168&lt;1,"yes","no"))</f>
        <v/>
      </c>
      <c r="I168" s="8" t="str">
        <f aca="false">IF(C168="","",IF(C168&lt;2.6,"r75",IF(C168&lt;5.2,"r110",IF(C168&lt;9.9,"r150",IF(C168&lt;19.8,"r210","r300")))))</f>
        <v/>
      </c>
      <c r="M168" s="8" t="str">
        <f aca="false">IF($A168="","",IFERROR(IF(INDEX(O1_Community_Attributes!$V$1:$V$500,MATCH($A168,O1_Community_Attributes!$A$1:$A$500,0))="","",INDEX(O1_Community_Attributes!$V$1:$V$500,MATCH($A168,O1_Community_Attributes!$A$1:$A$500,0))),""))</f>
        <v/>
      </c>
      <c r="N168" s="8" t="str">
        <f aca="false">IF($A168="","",IFERROR(IF(INDEX(O1_Community_Attributes!$W$1:$W$500,MATCH($A168,O1_Community_Attributes!$A$1:$A$500,0))="","",INDEX(O1_Community_Attributes!$W$1:$W$500,MATCH($A168,O1_Community_Attributes!$A$1:$A$500,0))),""))</f>
        <v/>
      </c>
      <c r="O168" s="8" t="str">
        <f aca="false">IF($A168="","",IFERROR(IF(INDEX(O1_Community_Attributes!$X$1:$X$500,MATCH($A168,O1_Community_Attributes!$A$1:$A$500,0))="","",INDEX(O1_Community_Attributes!$X$1:$X$500,MATCH($A168,O1_Community_Attributes!$A$1:$A$500,0))),""))</f>
        <v/>
      </c>
      <c r="P168" s="8" t="str">
        <f aca="false">IF($A168="","",IFERROR(IF(INDEX(O1_Community_Attributes!$Y$1:$Y$500,MATCH($A168,O1_Community_Attributes!$A$1:$A$500,0))="","",INDEX(O1_Community_Attributes!$Y$1:$Y$500,MATCH($A168,O1_Community_Attributes!$A$1:$A$500,0))),""))</f>
        <v/>
      </c>
      <c r="Q168" s="8" t="str">
        <f aca="false">IF($A168="","",IFERROR(IF(INDEX(O1_Community_Attributes!$Z$1:$Z$500,MATCH($A168,O1_Community_Attributes!$A$1:$A$500,0))="","",INDEX(O1_Community_Attributes!$Z$1:$Z$500,MATCH($A168,O1_Community_Attributes!$A$1:$A$500,0))),""))</f>
        <v/>
      </c>
      <c r="R168" s="8" t="str">
        <f aca="false">IF($A168="","",IFERROR(IF(INDEX(O1_Community_Attributes!$BK$1:$BK$500,MATCH($A168,O1_Community_Attributes!$A$1:$A$500,0))="","",INDEX(O1_Community_Attributes!$BK$1:$BK$500,MATCH($A168,O1_Community_Attributes!$A$1:$A$500,0))),""))</f>
        <v/>
      </c>
      <c r="S168" s="8" t="str">
        <f aca="false">IF(OR($C168="",$M168=""),"",$M168/$C168)</f>
        <v/>
      </c>
      <c r="T168" s="8" t="str">
        <f aca="false">IF($C168="","",IF(AND($M168="",$P168=""),"",IF($M168="","B",IF(ABS($S168-1)&lt;=0.3,"A",IF(OR($S168&gt;2,$S168&lt;0.5),"C","B")))))</f>
        <v/>
      </c>
    </row>
    <row r="169" customFormat="false" ht="15" hidden="false" customHeight="true" outlineLevel="0" collapsed="false">
      <c r="H169" s="8" t="str">
        <f aca="false">IF(C169="","",IF(C169&lt;1,"yes","no"))</f>
        <v/>
      </c>
      <c r="I169" s="8" t="str">
        <f aca="false">IF(C169="","",IF(C169&lt;2.6,"r75",IF(C169&lt;5.2,"r110",IF(C169&lt;9.9,"r150",IF(C169&lt;19.8,"r210","r300")))))</f>
        <v/>
      </c>
      <c r="M169" s="8" t="str">
        <f aca="false">IF($A169="","",IFERROR(IF(INDEX(O1_Community_Attributes!$V$1:$V$500,MATCH($A169,O1_Community_Attributes!$A$1:$A$500,0))="","",INDEX(O1_Community_Attributes!$V$1:$V$500,MATCH($A169,O1_Community_Attributes!$A$1:$A$500,0))),""))</f>
        <v/>
      </c>
      <c r="N169" s="8" t="str">
        <f aca="false">IF($A169="","",IFERROR(IF(INDEX(O1_Community_Attributes!$W$1:$W$500,MATCH($A169,O1_Community_Attributes!$A$1:$A$500,0))="","",INDEX(O1_Community_Attributes!$W$1:$W$500,MATCH($A169,O1_Community_Attributes!$A$1:$A$500,0))),""))</f>
        <v/>
      </c>
      <c r="O169" s="8" t="str">
        <f aca="false">IF($A169="","",IFERROR(IF(INDEX(O1_Community_Attributes!$X$1:$X$500,MATCH($A169,O1_Community_Attributes!$A$1:$A$500,0))="","",INDEX(O1_Community_Attributes!$X$1:$X$500,MATCH($A169,O1_Community_Attributes!$A$1:$A$500,0))),""))</f>
        <v/>
      </c>
      <c r="P169" s="8" t="str">
        <f aca="false">IF($A169="","",IFERROR(IF(INDEX(O1_Community_Attributes!$Y$1:$Y$500,MATCH($A169,O1_Community_Attributes!$A$1:$A$500,0))="","",INDEX(O1_Community_Attributes!$Y$1:$Y$500,MATCH($A169,O1_Community_Attributes!$A$1:$A$500,0))),""))</f>
        <v/>
      </c>
      <c r="Q169" s="8" t="str">
        <f aca="false">IF($A169="","",IFERROR(IF(INDEX(O1_Community_Attributes!$Z$1:$Z$500,MATCH($A169,O1_Community_Attributes!$A$1:$A$500,0))="","",INDEX(O1_Community_Attributes!$Z$1:$Z$500,MATCH($A169,O1_Community_Attributes!$A$1:$A$500,0))),""))</f>
        <v/>
      </c>
      <c r="R169" s="8" t="str">
        <f aca="false">IF($A169="","",IFERROR(IF(INDEX(O1_Community_Attributes!$BK$1:$BK$500,MATCH($A169,O1_Community_Attributes!$A$1:$A$500,0))="","",INDEX(O1_Community_Attributes!$BK$1:$BK$500,MATCH($A169,O1_Community_Attributes!$A$1:$A$500,0))),""))</f>
        <v/>
      </c>
      <c r="S169" s="8" t="str">
        <f aca="false">IF(OR($C169="",$M169=""),"",$M169/$C169)</f>
        <v/>
      </c>
      <c r="T169" s="8" t="str">
        <f aca="false">IF($C169="","",IF(AND($M169="",$P169=""),"",IF($M169="","B",IF(ABS($S169-1)&lt;=0.3,"A",IF(OR($S169&gt;2,$S169&lt;0.5),"C","B")))))</f>
        <v/>
      </c>
    </row>
    <row r="170" customFormat="false" ht="15" hidden="false" customHeight="true" outlineLevel="0" collapsed="false">
      <c r="H170" s="8" t="str">
        <f aca="false">IF(C170="","",IF(C170&lt;1,"yes","no"))</f>
        <v/>
      </c>
      <c r="I170" s="8" t="str">
        <f aca="false">IF(C170="","",IF(C170&lt;2.6,"r75",IF(C170&lt;5.2,"r110",IF(C170&lt;9.9,"r150",IF(C170&lt;19.8,"r210","r300")))))</f>
        <v/>
      </c>
      <c r="M170" s="8" t="str">
        <f aca="false">IF($A170="","",IFERROR(IF(INDEX(O1_Community_Attributes!$V$1:$V$500,MATCH($A170,O1_Community_Attributes!$A$1:$A$500,0))="","",INDEX(O1_Community_Attributes!$V$1:$V$500,MATCH($A170,O1_Community_Attributes!$A$1:$A$500,0))),""))</f>
        <v/>
      </c>
      <c r="N170" s="8" t="str">
        <f aca="false">IF($A170="","",IFERROR(IF(INDEX(O1_Community_Attributes!$W$1:$W$500,MATCH($A170,O1_Community_Attributes!$A$1:$A$500,0))="","",INDEX(O1_Community_Attributes!$W$1:$W$500,MATCH($A170,O1_Community_Attributes!$A$1:$A$500,0))),""))</f>
        <v/>
      </c>
      <c r="O170" s="8" t="str">
        <f aca="false">IF($A170="","",IFERROR(IF(INDEX(O1_Community_Attributes!$X$1:$X$500,MATCH($A170,O1_Community_Attributes!$A$1:$A$500,0))="","",INDEX(O1_Community_Attributes!$X$1:$X$500,MATCH($A170,O1_Community_Attributes!$A$1:$A$500,0))),""))</f>
        <v/>
      </c>
      <c r="P170" s="8" t="str">
        <f aca="false">IF($A170="","",IFERROR(IF(INDEX(O1_Community_Attributes!$Y$1:$Y$500,MATCH($A170,O1_Community_Attributes!$A$1:$A$500,0))="","",INDEX(O1_Community_Attributes!$Y$1:$Y$500,MATCH($A170,O1_Community_Attributes!$A$1:$A$500,0))),""))</f>
        <v/>
      </c>
      <c r="Q170" s="8" t="str">
        <f aca="false">IF($A170="","",IFERROR(IF(INDEX(O1_Community_Attributes!$Z$1:$Z$500,MATCH($A170,O1_Community_Attributes!$A$1:$A$500,0))="","",INDEX(O1_Community_Attributes!$Z$1:$Z$500,MATCH($A170,O1_Community_Attributes!$A$1:$A$500,0))),""))</f>
        <v/>
      </c>
      <c r="R170" s="8" t="str">
        <f aca="false">IF($A170="","",IFERROR(IF(INDEX(O1_Community_Attributes!$BK$1:$BK$500,MATCH($A170,O1_Community_Attributes!$A$1:$A$500,0))="","",INDEX(O1_Community_Attributes!$BK$1:$BK$500,MATCH($A170,O1_Community_Attributes!$A$1:$A$500,0))),""))</f>
        <v/>
      </c>
      <c r="S170" s="8" t="str">
        <f aca="false">IF(OR($C170="",$M170=""),"",$M170/$C170)</f>
        <v/>
      </c>
      <c r="T170" s="8" t="str">
        <f aca="false">IF($C170="","",IF(AND($M170="",$P170=""),"",IF($M170="","B",IF(ABS($S170-1)&lt;=0.3,"A",IF(OR($S170&gt;2,$S170&lt;0.5),"C","B")))))</f>
        <v/>
      </c>
    </row>
    <row r="171" customFormat="false" ht="15" hidden="false" customHeight="true" outlineLevel="0" collapsed="false">
      <c r="H171" s="8" t="str">
        <f aca="false">IF(C171="","",IF(C171&lt;1,"yes","no"))</f>
        <v/>
      </c>
      <c r="I171" s="8" t="str">
        <f aca="false">IF(C171="","",IF(C171&lt;2.6,"r75",IF(C171&lt;5.2,"r110",IF(C171&lt;9.9,"r150",IF(C171&lt;19.8,"r210","r300")))))</f>
        <v/>
      </c>
      <c r="M171" s="8" t="str">
        <f aca="false">IF($A171="","",IFERROR(IF(INDEX(O1_Community_Attributes!$V$1:$V$500,MATCH($A171,O1_Community_Attributes!$A$1:$A$500,0))="","",INDEX(O1_Community_Attributes!$V$1:$V$500,MATCH($A171,O1_Community_Attributes!$A$1:$A$500,0))),""))</f>
        <v/>
      </c>
      <c r="N171" s="8" t="str">
        <f aca="false">IF($A171="","",IFERROR(IF(INDEX(O1_Community_Attributes!$W$1:$W$500,MATCH($A171,O1_Community_Attributes!$A$1:$A$500,0))="","",INDEX(O1_Community_Attributes!$W$1:$W$500,MATCH($A171,O1_Community_Attributes!$A$1:$A$500,0))),""))</f>
        <v/>
      </c>
      <c r="O171" s="8" t="str">
        <f aca="false">IF($A171="","",IFERROR(IF(INDEX(O1_Community_Attributes!$X$1:$X$500,MATCH($A171,O1_Community_Attributes!$A$1:$A$500,0))="","",INDEX(O1_Community_Attributes!$X$1:$X$500,MATCH($A171,O1_Community_Attributes!$A$1:$A$500,0))),""))</f>
        <v/>
      </c>
      <c r="P171" s="8" t="str">
        <f aca="false">IF($A171="","",IFERROR(IF(INDEX(O1_Community_Attributes!$Y$1:$Y$500,MATCH($A171,O1_Community_Attributes!$A$1:$A$500,0))="","",INDEX(O1_Community_Attributes!$Y$1:$Y$500,MATCH($A171,O1_Community_Attributes!$A$1:$A$500,0))),""))</f>
        <v/>
      </c>
      <c r="Q171" s="8" t="str">
        <f aca="false">IF($A171="","",IFERROR(IF(INDEX(O1_Community_Attributes!$Z$1:$Z$500,MATCH($A171,O1_Community_Attributes!$A$1:$A$500,0))="","",INDEX(O1_Community_Attributes!$Z$1:$Z$500,MATCH($A171,O1_Community_Attributes!$A$1:$A$500,0))),""))</f>
        <v/>
      </c>
      <c r="R171" s="8" t="str">
        <f aca="false">IF($A171="","",IFERROR(IF(INDEX(O1_Community_Attributes!$BK$1:$BK$500,MATCH($A171,O1_Community_Attributes!$A$1:$A$500,0))="","",INDEX(O1_Community_Attributes!$BK$1:$BK$500,MATCH($A171,O1_Community_Attributes!$A$1:$A$500,0))),""))</f>
        <v/>
      </c>
      <c r="S171" s="8" t="str">
        <f aca="false">IF(OR($C171="",$M171=""),"",$M171/$C171)</f>
        <v/>
      </c>
      <c r="T171" s="8" t="str">
        <f aca="false">IF($C171="","",IF(AND($M171="",$P171=""),"",IF($M171="","B",IF(ABS($S171-1)&lt;=0.3,"A",IF(OR($S171&gt;2,$S171&lt;0.5),"C","B")))))</f>
        <v/>
      </c>
    </row>
    <row r="172" customFormat="false" ht="15" hidden="false" customHeight="true" outlineLevel="0" collapsed="false">
      <c r="H172" s="8" t="str">
        <f aca="false">IF(C172="","",IF(C172&lt;1,"yes","no"))</f>
        <v/>
      </c>
      <c r="I172" s="8" t="str">
        <f aca="false">IF(C172="","",IF(C172&lt;2.6,"r75",IF(C172&lt;5.2,"r110",IF(C172&lt;9.9,"r150",IF(C172&lt;19.8,"r210","r300")))))</f>
        <v/>
      </c>
      <c r="M172" s="8" t="str">
        <f aca="false">IF($A172="","",IFERROR(IF(INDEX(O1_Community_Attributes!$V$1:$V$500,MATCH($A172,O1_Community_Attributes!$A$1:$A$500,0))="","",INDEX(O1_Community_Attributes!$V$1:$V$500,MATCH($A172,O1_Community_Attributes!$A$1:$A$500,0))),""))</f>
        <v/>
      </c>
      <c r="N172" s="8" t="str">
        <f aca="false">IF($A172="","",IFERROR(IF(INDEX(O1_Community_Attributes!$W$1:$W$500,MATCH($A172,O1_Community_Attributes!$A$1:$A$500,0))="","",INDEX(O1_Community_Attributes!$W$1:$W$500,MATCH($A172,O1_Community_Attributes!$A$1:$A$500,0))),""))</f>
        <v/>
      </c>
      <c r="O172" s="8" t="str">
        <f aca="false">IF($A172="","",IFERROR(IF(INDEX(O1_Community_Attributes!$X$1:$X$500,MATCH($A172,O1_Community_Attributes!$A$1:$A$500,0))="","",INDEX(O1_Community_Attributes!$X$1:$X$500,MATCH($A172,O1_Community_Attributes!$A$1:$A$500,0))),""))</f>
        <v/>
      </c>
      <c r="P172" s="8" t="str">
        <f aca="false">IF($A172="","",IFERROR(IF(INDEX(O1_Community_Attributes!$Y$1:$Y$500,MATCH($A172,O1_Community_Attributes!$A$1:$A$500,0))="","",INDEX(O1_Community_Attributes!$Y$1:$Y$500,MATCH($A172,O1_Community_Attributes!$A$1:$A$500,0))),""))</f>
        <v/>
      </c>
      <c r="Q172" s="8" t="str">
        <f aca="false">IF($A172="","",IFERROR(IF(INDEX(O1_Community_Attributes!$Z$1:$Z$500,MATCH($A172,O1_Community_Attributes!$A$1:$A$500,0))="","",INDEX(O1_Community_Attributes!$Z$1:$Z$500,MATCH($A172,O1_Community_Attributes!$A$1:$A$500,0))),""))</f>
        <v/>
      </c>
      <c r="R172" s="8" t="str">
        <f aca="false">IF($A172="","",IFERROR(IF(INDEX(O1_Community_Attributes!$BK$1:$BK$500,MATCH($A172,O1_Community_Attributes!$A$1:$A$500,0))="","",INDEX(O1_Community_Attributes!$BK$1:$BK$500,MATCH($A172,O1_Community_Attributes!$A$1:$A$500,0))),""))</f>
        <v/>
      </c>
      <c r="S172" s="8" t="str">
        <f aca="false">IF(OR($C172="",$M172=""),"",$M172/$C172)</f>
        <v/>
      </c>
      <c r="T172" s="8" t="str">
        <f aca="false">IF($C172="","",IF(AND($M172="",$P172=""),"",IF($M172="","B",IF(ABS($S172-1)&lt;=0.3,"A",IF(OR($S172&gt;2,$S172&lt;0.5),"C","B")))))</f>
        <v/>
      </c>
    </row>
    <row r="173" customFormat="false" ht="15" hidden="false" customHeight="true" outlineLevel="0" collapsed="false">
      <c r="H173" s="8" t="str">
        <f aca="false">IF(C173="","",IF(C173&lt;1,"yes","no"))</f>
        <v/>
      </c>
      <c r="I173" s="8" t="str">
        <f aca="false">IF(C173="","",IF(C173&lt;2.6,"r75",IF(C173&lt;5.2,"r110",IF(C173&lt;9.9,"r150",IF(C173&lt;19.8,"r210","r300")))))</f>
        <v/>
      </c>
      <c r="M173" s="8" t="str">
        <f aca="false">IF($A173="","",IFERROR(IF(INDEX(O1_Community_Attributes!$V$1:$V$500,MATCH($A173,O1_Community_Attributes!$A$1:$A$500,0))="","",INDEX(O1_Community_Attributes!$V$1:$V$500,MATCH($A173,O1_Community_Attributes!$A$1:$A$500,0))),""))</f>
        <v/>
      </c>
      <c r="N173" s="8" t="str">
        <f aca="false">IF($A173="","",IFERROR(IF(INDEX(O1_Community_Attributes!$W$1:$W$500,MATCH($A173,O1_Community_Attributes!$A$1:$A$500,0))="","",INDEX(O1_Community_Attributes!$W$1:$W$500,MATCH($A173,O1_Community_Attributes!$A$1:$A$500,0))),""))</f>
        <v/>
      </c>
      <c r="O173" s="8" t="str">
        <f aca="false">IF($A173="","",IFERROR(IF(INDEX(O1_Community_Attributes!$X$1:$X$500,MATCH($A173,O1_Community_Attributes!$A$1:$A$500,0))="","",INDEX(O1_Community_Attributes!$X$1:$X$500,MATCH($A173,O1_Community_Attributes!$A$1:$A$500,0))),""))</f>
        <v/>
      </c>
      <c r="P173" s="8" t="str">
        <f aca="false">IF($A173="","",IFERROR(IF(INDEX(O1_Community_Attributes!$Y$1:$Y$500,MATCH($A173,O1_Community_Attributes!$A$1:$A$500,0))="","",INDEX(O1_Community_Attributes!$Y$1:$Y$500,MATCH($A173,O1_Community_Attributes!$A$1:$A$500,0))),""))</f>
        <v/>
      </c>
      <c r="Q173" s="8" t="str">
        <f aca="false">IF($A173="","",IFERROR(IF(INDEX(O1_Community_Attributes!$Z$1:$Z$500,MATCH($A173,O1_Community_Attributes!$A$1:$A$500,0))="","",INDEX(O1_Community_Attributes!$Z$1:$Z$500,MATCH($A173,O1_Community_Attributes!$A$1:$A$500,0))),""))</f>
        <v/>
      </c>
      <c r="R173" s="8" t="str">
        <f aca="false">IF($A173="","",IFERROR(IF(INDEX(O1_Community_Attributes!$BK$1:$BK$500,MATCH($A173,O1_Community_Attributes!$A$1:$A$500,0))="","",INDEX(O1_Community_Attributes!$BK$1:$BK$500,MATCH($A173,O1_Community_Attributes!$A$1:$A$500,0))),""))</f>
        <v/>
      </c>
      <c r="S173" s="8" t="str">
        <f aca="false">IF(OR($C173="",$M173=""),"",$M173/$C173)</f>
        <v/>
      </c>
      <c r="T173" s="8" t="str">
        <f aca="false">IF($C173="","",IF(AND($M173="",$P173=""),"",IF($M173="","B",IF(ABS($S173-1)&lt;=0.3,"A",IF(OR($S173&gt;2,$S173&lt;0.5),"C","B")))))</f>
        <v/>
      </c>
    </row>
    <row r="174" customFormat="false" ht="15" hidden="false" customHeight="true" outlineLevel="0" collapsed="false">
      <c r="H174" s="8" t="str">
        <f aca="false">IF(C174="","",IF(C174&lt;1,"yes","no"))</f>
        <v/>
      </c>
      <c r="I174" s="8" t="str">
        <f aca="false">IF(C174="","",IF(C174&lt;2.6,"r75",IF(C174&lt;5.2,"r110",IF(C174&lt;9.9,"r150",IF(C174&lt;19.8,"r210","r300")))))</f>
        <v/>
      </c>
      <c r="M174" s="8" t="str">
        <f aca="false">IF($A174="","",IFERROR(IF(INDEX(O1_Community_Attributes!$V$1:$V$500,MATCH($A174,O1_Community_Attributes!$A$1:$A$500,0))="","",INDEX(O1_Community_Attributes!$V$1:$V$500,MATCH($A174,O1_Community_Attributes!$A$1:$A$500,0))),""))</f>
        <v/>
      </c>
      <c r="N174" s="8" t="str">
        <f aca="false">IF($A174="","",IFERROR(IF(INDEX(O1_Community_Attributes!$W$1:$W$500,MATCH($A174,O1_Community_Attributes!$A$1:$A$500,0))="","",INDEX(O1_Community_Attributes!$W$1:$W$500,MATCH($A174,O1_Community_Attributes!$A$1:$A$500,0))),""))</f>
        <v/>
      </c>
      <c r="O174" s="8" t="str">
        <f aca="false">IF($A174="","",IFERROR(IF(INDEX(O1_Community_Attributes!$X$1:$X$500,MATCH($A174,O1_Community_Attributes!$A$1:$A$500,0))="","",INDEX(O1_Community_Attributes!$X$1:$X$500,MATCH($A174,O1_Community_Attributes!$A$1:$A$500,0))),""))</f>
        <v/>
      </c>
      <c r="P174" s="8" t="str">
        <f aca="false">IF($A174="","",IFERROR(IF(INDEX(O1_Community_Attributes!$Y$1:$Y$500,MATCH($A174,O1_Community_Attributes!$A$1:$A$500,0))="","",INDEX(O1_Community_Attributes!$Y$1:$Y$500,MATCH($A174,O1_Community_Attributes!$A$1:$A$500,0))),""))</f>
        <v/>
      </c>
      <c r="Q174" s="8" t="str">
        <f aca="false">IF($A174="","",IFERROR(IF(INDEX(O1_Community_Attributes!$Z$1:$Z$500,MATCH($A174,O1_Community_Attributes!$A$1:$A$500,0))="","",INDEX(O1_Community_Attributes!$Z$1:$Z$500,MATCH($A174,O1_Community_Attributes!$A$1:$A$500,0))),""))</f>
        <v/>
      </c>
      <c r="R174" s="8" t="str">
        <f aca="false">IF($A174="","",IFERROR(IF(INDEX(O1_Community_Attributes!$BK$1:$BK$500,MATCH($A174,O1_Community_Attributes!$A$1:$A$500,0))="","",INDEX(O1_Community_Attributes!$BK$1:$BK$500,MATCH($A174,O1_Community_Attributes!$A$1:$A$500,0))),""))</f>
        <v/>
      </c>
      <c r="S174" s="8" t="str">
        <f aca="false">IF(OR($C174="",$M174=""),"",$M174/$C174)</f>
        <v/>
      </c>
      <c r="T174" s="8" t="str">
        <f aca="false">IF($C174="","",IF(AND($M174="",$P174=""),"",IF($M174="","B",IF(ABS($S174-1)&lt;=0.3,"A",IF(OR($S174&gt;2,$S174&lt;0.5),"C","B")))))</f>
        <v/>
      </c>
    </row>
    <row r="175" customFormat="false" ht="15" hidden="false" customHeight="true" outlineLevel="0" collapsed="false">
      <c r="H175" s="8" t="str">
        <f aca="false">IF(C175="","",IF(C175&lt;1,"yes","no"))</f>
        <v/>
      </c>
      <c r="I175" s="8" t="str">
        <f aca="false">IF(C175="","",IF(C175&lt;2.6,"r75",IF(C175&lt;5.2,"r110",IF(C175&lt;9.9,"r150",IF(C175&lt;19.8,"r210","r300")))))</f>
        <v/>
      </c>
      <c r="M175" s="8" t="str">
        <f aca="false">IF($A175="","",IFERROR(IF(INDEX(O1_Community_Attributes!$V$1:$V$500,MATCH($A175,O1_Community_Attributes!$A$1:$A$500,0))="","",INDEX(O1_Community_Attributes!$V$1:$V$500,MATCH($A175,O1_Community_Attributes!$A$1:$A$500,0))),""))</f>
        <v/>
      </c>
      <c r="N175" s="8" t="str">
        <f aca="false">IF($A175="","",IFERROR(IF(INDEX(O1_Community_Attributes!$W$1:$W$500,MATCH($A175,O1_Community_Attributes!$A$1:$A$500,0))="","",INDEX(O1_Community_Attributes!$W$1:$W$500,MATCH($A175,O1_Community_Attributes!$A$1:$A$500,0))),""))</f>
        <v/>
      </c>
      <c r="O175" s="8" t="str">
        <f aca="false">IF($A175="","",IFERROR(IF(INDEX(O1_Community_Attributes!$X$1:$X$500,MATCH($A175,O1_Community_Attributes!$A$1:$A$500,0))="","",INDEX(O1_Community_Attributes!$X$1:$X$500,MATCH($A175,O1_Community_Attributes!$A$1:$A$500,0))),""))</f>
        <v/>
      </c>
      <c r="P175" s="8" t="str">
        <f aca="false">IF($A175="","",IFERROR(IF(INDEX(O1_Community_Attributes!$Y$1:$Y$500,MATCH($A175,O1_Community_Attributes!$A$1:$A$500,0))="","",INDEX(O1_Community_Attributes!$Y$1:$Y$500,MATCH($A175,O1_Community_Attributes!$A$1:$A$500,0))),""))</f>
        <v/>
      </c>
      <c r="Q175" s="8" t="str">
        <f aca="false">IF($A175="","",IFERROR(IF(INDEX(O1_Community_Attributes!$Z$1:$Z$500,MATCH($A175,O1_Community_Attributes!$A$1:$A$500,0))="","",INDEX(O1_Community_Attributes!$Z$1:$Z$500,MATCH($A175,O1_Community_Attributes!$A$1:$A$500,0))),""))</f>
        <v/>
      </c>
      <c r="R175" s="8" t="str">
        <f aca="false">IF($A175="","",IFERROR(IF(INDEX(O1_Community_Attributes!$BK$1:$BK$500,MATCH($A175,O1_Community_Attributes!$A$1:$A$500,0))="","",INDEX(O1_Community_Attributes!$BK$1:$BK$500,MATCH($A175,O1_Community_Attributes!$A$1:$A$500,0))),""))</f>
        <v/>
      </c>
      <c r="S175" s="8" t="str">
        <f aca="false">IF(OR($C175="",$M175=""),"",$M175/$C175)</f>
        <v/>
      </c>
      <c r="T175" s="8" t="str">
        <f aca="false">IF($C175="","",IF(AND($M175="",$P175=""),"",IF($M175="","B",IF(ABS($S175-1)&lt;=0.3,"A",IF(OR($S175&gt;2,$S175&lt;0.5),"C","B")))))</f>
        <v/>
      </c>
    </row>
    <row r="176" customFormat="false" ht="15" hidden="false" customHeight="true" outlineLevel="0" collapsed="false">
      <c r="H176" s="8" t="str">
        <f aca="false">IF(C176="","",IF(C176&lt;1,"yes","no"))</f>
        <v/>
      </c>
      <c r="I176" s="8" t="str">
        <f aca="false">IF(C176="","",IF(C176&lt;2.6,"r75",IF(C176&lt;5.2,"r110",IF(C176&lt;9.9,"r150",IF(C176&lt;19.8,"r210","r300")))))</f>
        <v/>
      </c>
      <c r="M176" s="8" t="str">
        <f aca="false">IF($A176="","",IFERROR(IF(INDEX(O1_Community_Attributes!$V$1:$V$500,MATCH($A176,O1_Community_Attributes!$A$1:$A$500,0))="","",INDEX(O1_Community_Attributes!$V$1:$V$500,MATCH($A176,O1_Community_Attributes!$A$1:$A$500,0))),""))</f>
        <v/>
      </c>
      <c r="N176" s="8" t="str">
        <f aca="false">IF($A176="","",IFERROR(IF(INDEX(O1_Community_Attributes!$W$1:$W$500,MATCH($A176,O1_Community_Attributes!$A$1:$A$500,0))="","",INDEX(O1_Community_Attributes!$W$1:$W$500,MATCH($A176,O1_Community_Attributes!$A$1:$A$500,0))),""))</f>
        <v/>
      </c>
      <c r="O176" s="8" t="str">
        <f aca="false">IF($A176="","",IFERROR(IF(INDEX(O1_Community_Attributes!$X$1:$X$500,MATCH($A176,O1_Community_Attributes!$A$1:$A$500,0))="","",INDEX(O1_Community_Attributes!$X$1:$X$500,MATCH($A176,O1_Community_Attributes!$A$1:$A$500,0))),""))</f>
        <v/>
      </c>
      <c r="P176" s="8" t="str">
        <f aca="false">IF($A176="","",IFERROR(IF(INDEX(O1_Community_Attributes!$Y$1:$Y$500,MATCH($A176,O1_Community_Attributes!$A$1:$A$500,0))="","",INDEX(O1_Community_Attributes!$Y$1:$Y$500,MATCH($A176,O1_Community_Attributes!$A$1:$A$500,0))),""))</f>
        <v/>
      </c>
      <c r="Q176" s="8" t="str">
        <f aca="false">IF($A176="","",IFERROR(IF(INDEX(O1_Community_Attributes!$Z$1:$Z$500,MATCH($A176,O1_Community_Attributes!$A$1:$A$500,0))="","",INDEX(O1_Community_Attributes!$Z$1:$Z$500,MATCH($A176,O1_Community_Attributes!$A$1:$A$500,0))),""))</f>
        <v/>
      </c>
      <c r="R176" s="8" t="str">
        <f aca="false">IF($A176="","",IFERROR(IF(INDEX(O1_Community_Attributes!$BK$1:$BK$500,MATCH($A176,O1_Community_Attributes!$A$1:$A$500,0))="","",INDEX(O1_Community_Attributes!$BK$1:$BK$500,MATCH($A176,O1_Community_Attributes!$A$1:$A$500,0))),""))</f>
        <v/>
      </c>
      <c r="S176" s="8" t="str">
        <f aca="false">IF(OR($C176="",$M176=""),"",$M176/$C176)</f>
        <v/>
      </c>
      <c r="T176" s="8" t="str">
        <f aca="false">IF($C176="","",IF(AND($M176="",$P176=""),"",IF($M176="","B",IF(ABS($S176-1)&lt;=0.3,"A",IF(OR($S176&gt;2,$S176&lt;0.5),"C","B")))))</f>
        <v/>
      </c>
    </row>
    <row r="177" customFormat="false" ht="15" hidden="false" customHeight="true" outlineLevel="0" collapsed="false">
      <c r="H177" s="8" t="str">
        <f aca="false">IF(C177="","",IF(C177&lt;1,"yes","no"))</f>
        <v/>
      </c>
      <c r="I177" s="8" t="str">
        <f aca="false">IF(C177="","",IF(C177&lt;2.6,"r75",IF(C177&lt;5.2,"r110",IF(C177&lt;9.9,"r150",IF(C177&lt;19.8,"r210","r300")))))</f>
        <v/>
      </c>
      <c r="M177" s="8" t="str">
        <f aca="false">IF($A177="","",IFERROR(IF(INDEX(O1_Community_Attributes!$V$1:$V$500,MATCH($A177,O1_Community_Attributes!$A$1:$A$500,0))="","",INDEX(O1_Community_Attributes!$V$1:$V$500,MATCH($A177,O1_Community_Attributes!$A$1:$A$500,0))),""))</f>
        <v/>
      </c>
      <c r="N177" s="8" t="str">
        <f aca="false">IF($A177="","",IFERROR(IF(INDEX(O1_Community_Attributes!$W$1:$W$500,MATCH($A177,O1_Community_Attributes!$A$1:$A$500,0))="","",INDEX(O1_Community_Attributes!$W$1:$W$500,MATCH($A177,O1_Community_Attributes!$A$1:$A$500,0))),""))</f>
        <v/>
      </c>
      <c r="O177" s="8" t="str">
        <f aca="false">IF($A177="","",IFERROR(IF(INDEX(O1_Community_Attributes!$X$1:$X$500,MATCH($A177,O1_Community_Attributes!$A$1:$A$500,0))="","",INDEX(O1_Community_Attributes!$X$1:$X$500,MATCH($A177,O1_Community_Attributes!$A$1:$A$500,0))),""))</f>
        <v/>
      </c>
      <c r="P177" s="8" t="str">
        <f aca="false">IF($A177="","",IFERROR(IF(INDEX(O1_Community_Attributes!$Y$1:$Y$500,MATCH($A177,O1_Community_Attributes!$A$1:$A$500,0))="","",INDEX(O1_Community_Attributes!$Y$1:$Y$500,MATCH($A177,O1_Community_Attributes!$A$1:$A$500,0))),""))</f>
        <v/>
      </c>
      <c r="Q177" s="8" t="str">
        <f aca="false">IF($A177="","",IFERROR(IF(INDEX(O1_Community_Attributes!$Z$1:$Z$500,MATCH($A177,O1_Community_Attributes!$A$1:$A$500,0))="","",INDEX(O1_Community_Attributes!$Z$1:$Z$500,MATCH($A177,O1_Community_Attributes!$A$1:$A$500,0))),""))</f>
        <v/>
      </c>
      <c r="R177" s="8" t="str">
        <f aca="false">IF($A177="","",IFERROR(IF(INDEX(O1_Community_Attributes!$BK$1:$BK$500,MATCH($A177,O1_Community_Attributes!$A$1:$A$500,0))="","",INDEX(O1_Community_Attributes!$BK$1:$BK$500,MATCH($A177,O1_Community_Attributes!$A$1:$A$500,0))),""))</f>
        <v/>
      </c>
      <c r="S177" s="8" t="str">
        <f aca="false">IF(OR($C177="",$M177=""),"",$M177/$C177)</f>
        <v/>
      </c>
      <c r="T177" s="8" t="str">
        <f aca="false">IF($C177="","",IF(AND($M177="",$P177=""),"",IF($M177="","B",IF(ABS($S177-1)&lt;=0.3,"A",IF(OR($S177&gt;2,$S177&lt;0.5),"C","B")))))</f>
        <v/>
      </c>
    </row>
    <row r="178" customFormat="false" ht="15" hidden="false" customHeight="true" outlineLevel="0" collapsed="false">
      <c r="H178" s="8" t="str">
        <f aca="false">IF(C178="","",IF(C178&lt;1,"yes","no"))</f>
        <v/>
      </c>
      <c r="I178" s="8" t="str">
        <f aca="false">IF(C178="","",IF(C178&lt;2.6,"r75",IF(C178&lt;5.2,"r110",IF(C178&lt;9.9,"r150",IF(C178&lt;19.8,"r210","r300")))))</f>
        <v/>
      </c>
      <c r="M178" s="8" t="str">
        <f aca="false">IF($A178="","",IFERROR(IF(INDEX(O1_Community_Attributes!$V$1:$V$500,MATCH($A178,O1_Community_Attributes!$A$1:$A$500,0))="","",INDEX(O1_Community_Attributes!$V$1:$V$500,MATCH($A178,O1_Community_Attributes!$A$1:$A$500,0))),""))</f>
        <v/>
      </c>
      <c r="N178" s="8" t="str">
        <f aca="false">IF($A178="","",IFERROR(IF(INDEX(O1_Community_Attributes!$W$1:$W$500,MATCH($A178,O1_Community_Attributes!$A$1:$A$500,0))="","",INDEX(O1_Community_Attributes!$W$1:$W$500,MATCH($A178,O1_Community_Attributes!$A$1:$A$500,0))),""))</f>
        <v/>
      </c>
      <c r="O178" s="8" t="str">
        <f aca="false">IF($A178="","",IFERROR(IF(INDEX(O1_Community_Attributes!$X$1:$X$500,MATCH($A178,O1_Community_Attributes!$A$1:$A$500,0))="","",INDEX(O1_Community_Attributes!$X$1:$X$500,MATCH($A178,O1_Community_Attributes!$A$1:$A$500,0))),""))</f>
        <v/>
      </c>
      <c r="P178" s="8" t="str">
        <f aca="false">IF($A178="","",IFERROR(IF(INDEX(O1_Community_Attributes!$Y$1:$Y$500,MATCH($A178,O1_Community_Attributes!$A$1:$A$500,0))="","",INDEX(O1_Community_Attributes!$Y$1:$Y$500,MATCH($A178,O1_Community_Attributes!$A$1:$A$500,0))),""))</f>
        <v/>
      </c>
      <c r="Q178" s="8" t="str">
        <f aca="false">IF($A178="","",IFERROR(IF(INDEX(O1_Community_Attributes!$Z$1:$Z$500,MATCH($A178,O1_Community_Attributes!$A$1:$A$500,0))="","",INDEX(O1_Community_Attributes!$Z$1:$Z$500,MATCH($A178,O1_Community_Attributes!$A$1:$A$500,0))),""))</f>
        <v/>
      </c>
      <c r="R178" s="8" t="str">
        <f aca="false">IF($A178="","",IFERROR(IF(INDEX(O1_Community_Attributes!$BK$1:$BK$500,MATCH($A178,O1_Community_Attributes!$A$1:$A$500,0))="","",INDEX(O1_Community_Attributes!$BK$1:$BK$500,MATCH($A178,O1_Community_Attributes!$A$1:$A$500,0))),""))</f>
        <v/>
      </c>
      <c r="S178" s="8" t="str">
        <f aca="false">IF(OR($C178="",$M178=""),"",$M178/$C178)</f>
        <v/>
      </c>
      <c r="T178" s="8" t="str">
        <f aca="false">IF($C178="","",IF(AND($M178="",$P178=""),"",IF($M178="","B",IF(ABS($S178-1)&lt;=0.3,"A",IF(OR($S178&gt;2,$S178&lt;0.5),"C","B")))))</f>
        <v/>
      </c>
    </row>
    <row r="179" customFormat="false" ht="15" hidden="false" customHeight="true" outlineLevel="0" collapsed="false">
      <c r="H179" s="8" t="str">
        <f aca="false">IF(C179="","",IF(C179&lt;1,"yes","no"))</f>
        <v/>
      </c>
      <c r="I179" s="8" t="str">
        <f aca="false">IF(C179="","",IF(C179&lt;2.6,"r75",IF(C179&lt;5.2,"r110",IF(C179&lt;9.9,"r150",IF(C179&lt;19.8,"r210","r300")))))</f>
        <v/>
      </c>
      <c r="M179" s="8" t="str">
        <f aca="false">IF($A179="","",IFERROR(IF(INDEX(O1_Community_Attributes!$V$1:$V$500,MATCH($A179,O1_Community_Attributes!$A$1:$A$500,0))="","",INDEX(O1_Community_Attributes!$V$1:$V$500,MATCH($A179,O1_Community_Attributes!$A$1:$A$500,0))),""))</f>
        <v/>
      </c>
      <c r="N179" s="8" t="str">
        <f aca="false">IF($A179="","",IFERROR(IF(INDEX(O1_Community_Attributes!$W$1:$W$500,MATCH($A179,O1_Community_Attributes!$A$1:$A$500,0))="","",INDEX(O1_Community_Attributes!$W$1:$W$500,MATCH($A179,O1_Community_Attributes!$A$1:$A$500,0))),""))</f>
        <v/>
      </c>
      <c r="O179" s="8" t="str">
        <f aca="false">IF($A179="","",IFERROR(IF(INDEX(O1_Community_Attributes!$X$1:$X$500,MATCH($A179,O1_Community_Attributes!$A$1:$A$500,0))="","",INDEX(O1_Community_Attributes!$X$1:$X$500,MATCH($A179,O1_Community_Attributes!$A$1:$A$500,0))),""))</f>
        <v/>
      </c>
      <c r="P179" s="8" t="str">
        <f aca="false">IF($A179="","",IFERROR(IF(INDEX(O1_Community_Attributes!$Y$1:$Y$500,MATCH($A179,O1_Community_Attributes!$A$1:$A$500,0))="","",INDEX(O1_Community_Attributes!$Y$1:$Y$500,MATCH($A179,O1_Community_Attributes!$A$1:$A$500,0))),""))</f>
        <v/>
      </c>
      <c r="Q179" s="8" t="str">
        <f aca="false">IF($A179="","",IFERROR(IF(INDEX(O1_Community_Attributes!$Z$1:$Z$500,MATCH($A179,O1_Community_Attributes!$A$1:$A$500,0))="","",INDEX(O1_Community_Attributes!$Z$1:$Z$500,MATCH($A179,O1_Community_Attributes!$A$1:$A$500,0))),""))</f>
        <v/>
      </c>
      <c r="R179" s="8" t="str">
        <f aca="false">IF($A179="","",IFERROR(IF(INDEX(O1_Community_Attributes!$BK$1:$BK$500,MATCH($A179,O1_Community_Attributes!$A$1:$A$500,0))="","",INDEX(O1_Community_Attributes!$BK$1:$BK$500,MATCH($A179,O1_Community_Attributes!$A$1:$A$500,0))),""))</f>
        <v/>
      </c>
      <c r="S179" s="8" t="str">
        <f aca="false">IF(OR($C179="",$M179=""),"",$M179/$C179)</f>
        <v/>
      </c>
      <c r="T179" s="8" t="str">
        <f aca="false">IF($C179="","",IF(AND($M179="",$P179=""),"",IF($M179="","B",IF(ABS($S179-1)&lt;=0.3,"A",IF(OR($S179&gt;2,$S179&lt;0.5),"C","B")))))</f>
        <v/>
      </c>
    </row>
    <row r="180" customFormat="false" ht="15" hidden="false" customHeight="true" outlineLevel="0" collapsed="false">
      <c r="H180" s="8" t="str">
        <f aca="false">IF(C180="","",IF(C180&lt;1,"yes","no"))</f>
        <v/>
      </c>
      <c r="I180" s="8" t="str">
        <f aca="false">IF(C180="","",IF(C180&lt;2.6,"r75",IF(C180&lt;5.2,"r110",IF(C180&lt;9.9,"r150",IF(C180&lt;19.8,"r210","r300")))))</f>
        <v/>
      </c>
      <c r="M180" s="8" t="str">
        <f aca="false">IF($A180="","",IFERROR(IF(INDEX(O1_Community_Attributes!$V$1:$V$500,MATCH($A180,O1_Community_Attributes!$A$1:$A$500,0))="","",INDEX(O1_Community_Attributes!$V$1:$V$500,MATCH($A180,O1_Community_Attributes!$A$1:$A$500,0))),""))</f>
        <v/>
      </c>
      <c r="N180" s="8" t="str">
        <f aca="false">IF($A180="","",IFERROR(IF(INDEX(O1_Community_Attributes!$W$1:$W$500,MATCH($A180,O1_Community_Attributes!$A$1:$A$500,0))="","",INDEX(O1_Community_Attributes!$W$1:$W$500,MATCH($A180,O1_Community_Attributes!$A$1:$A$500,0))),""))</f>
        <v/>
      </c>
      <c r="O180" s="8" t="str">
        <f aca="false">IF($A180="","",IFERROR(IF(INDEX(O1_Community_Attributes!$X$1:$X$500,MATCH($A180,O1_Community_Attributes!$A$1:$A$500,0))="","",INDEX(O1_Community_Attributes!$X$1:$X$500,MATCH($A180,O1_Community_Attributes!$A$1:$A$500,0))),""))</f>
        <v/>
      </c>
      <c r="P180" s="8" t="str">
        <f aca="false">IF($A180="","",IFERROR(IF(INDEX(O1_Community_Attributes!$Y$1:$Y$500,MATCH($A180,O1_Community_Attributes!$A$1:$A$500,0))="","",INDEX(O1_Community_Attributes!$Y$1:$Y$500,MATCH($A180,O1_Community_Attributes!$A$1:$A$500,0))),""))</f>
        <v/>
      </c>
      <c r="Q180" s="8" t="str">
        <f aca="false">IF($A180="","",IFERROR(IF(INDEX(O1_Community_Attributes!$Z$1:$Z$500,MATCH($A180,O1_Community_Attributes!$A$1:$A$500,0))="","",INDEX(O1_Community_Attributes!$Z$1:$Z$500,MATCH($A180,O1_Community_Attributes!$A$1:$A$500,0))),""))</f>
        <v/>
      </c>
      <c r="R180" s="8" t="str">
        <f aca="false">IF($A180="","",IFERROR(IF(INDEX(O1_Community_Attributes!$BK$1:$BK$500,MATCH($A180,O1_Community_Attributes!$A$1:$A$500,0))="","",INDEX(O1_Community_Attributes!$BK$1:$BK$500,MATCH($A180,O1_Community_Attributes!$A$1:$A$500,0))),""))</f>
        <v/>
      </c>
      <c r="S180" s="8" t="str">
        <f aca="false">IF(OR($C180="",$M180=""),"",$M180/$C180)</f>
        <v/>
      </c>
      <c r="T180" s="8" t="str">
        <f aca="false">IF($C180="","",IF(AND($M180="",$P180=""),"",IF($M180="","B",IF(ABS($S180-1)&lt;=0.3,"A",IF(OR($S180&gt;2,$S180&lt;0.5),"C","B")))))</f>
        <v/>
      </c>
    </row>
    <row r="181" customFormat="false" ht="15" hidden="false" customHeight="true" outlineLevel="0" collapsed="false">
      <c r="H181" s="8" t="str">
        <f aca="false">IF(C181="","",IF(C181&lt;1,"yes","no"))</f>
        <v/>
      </c>
      <c r="I181" s="8" t="str">
        <f aca="false">IF(C181="","",IF(C181&lt;2.6,"r75",IF(C181&lt;5.2,"r110",IF(C181&lt;9.9,"r150",IF(C181&lt;19.8,"r210","r300")))))</f>
        <v/>
      </c>
      <c r="M181" s="8" t="str">
        <f aca="false">IF($A181="","",IFERROR(IF(INDEX(O1_Community_Attributes!$V$1:$V$500,MATCH($A181,O1_Community_Attributes!$A$1:$A$500,0))="","",INDEX(O1_Community_Attributes!$V$1:$V$500,MATCH($A181,O1_Community_Attributes!$A$1:$A$500,0))),""))</f>
        <v/>
      </c>
      <c r="N181" s="8" t="str">
        <f aca="false">IF($A181="","",IFERROR(IF(INDEX(O1_Community_Attributes!$W$1:$W$500,MATCH($A181,O1_Community_Attributes!$A$1:$A$500,0))="","",INDEX(O1_Community_Attributes!$W$1:$W$500,MATCH($A181,O1_Community_Attributes!$A$1:$A$500,0))),""))</f>
        <v/>
      </c>
      <c r="O181" s="8" t="str">
        <f aca="false">IF($A181="","",IFERROR(IF(INDEX(O1_Community_Attributes!$X$1:$X$500,MATCH($A181,O1_Community_Attributes!$A$1:$A$500,0))="","",INDEX(O1_Community_Attributes!$X$1:$X$500,MATCH($A181,O1_Community_Attributes!$A$1:$A$500,0))),""))</f>
        <v/>
      </c>
      <c r="P181" s="8" t="str">
        <f aca="false">IF($A181="","",IFERROR(IF(INDEX(O1_Community_Attributes!$Y$1:$Y$500,MATCH($A181,O1_Community_Attributes!$A$1:$A$500,0))="","",INDEX(O1_Community_Attributes!$Y$1:$Y$500,MATCH($A181,O1_Community_Attributes!$A$1:$A$500,0))),""))</f>
        <v/>
      </c>
      <c r="Q181" s="8" t="str">
        <f aca="false">IF($A181="","",IFERROR(IF(INDEX(O1_Community_Attributes!$Z$1:$Z$500,MATCH($A181,O1_Community_Attributes!$A$1:$A$500,0))="","",INDEX(O1_Community_Attributes!$Z$1:$Z$500,MATCH($A181,O1_Community_Attributes!$A$1:$A$500,0))),""))</f>
        <v/>
      </c>
      <c r="R181" s="8" t="str">
        <f aca="false">IF($A181="","",IFERROR(IF(INDEX(O1_Community_Attributes!$BK$1:$BK$500,MATCH($A181,O1_Community_Attributes!$A$1:$A$500,0))="","",INDEX(O1_Community_Attributes!$BK$1:$BK$500,MATCH($A181,O1_Community_Attributes!$A$1:$A$500,0))),""))</f>
        <v/>
      </c>
      <c r="S181" s="8" t="str">
        <f aca="false">IF(OR($C181="",$M181=""),"",$M181/$C181)</f>
        <v/>
      </c>
      <c r="T181" s="8" t="str">
        <f aca="false">IF($C181="","",IF(AND($M181="",$P181=""),"",IF($M181="","B",IF(ABS($S181-1)&lt;=0.3,"A",IF(OR($S181&gt;2,$S181&lt;0.5),"C","B")))))</f>
        <v/>
      </c>
    </row>
    <row r="182" customFormat="false" ht="15" hidden="false" customHeight="true" outlineLevel="0" collapsed="false">
      <c r="H182" s="8" t="str">
        <f aca="false">IF(C182="","",IF(C182&lt;1,"yes","no"))</f>
        <v/>
      </c>
      <c r="I182" s="8" t="str">
        <f aca="false">IF(C182="","",IF(C182&lt;2.6,"r75",IF(C182&lt;5.2,"r110",IF(C182&lt;9.9,"r150",IF(C182&lt;19.8,"r210","r300")))))</f>
        <v/>
      </c>
      <c r="M182" s="8" t="str">
        <f aca="false">IF($A182="","",IFERROR(IF(INDEX(O1_Community_Attributes!$V$1:$V$500,MATCH($A182,O1_Community_Attributes!$A$1:$A$500,0))="","",INDEX(O1_Community_Attributes!$V$1:$V$500,MATCH($A182,O1_Community_Attributes!$A$1:$A$500,0))),""))</f>
        <v/>
      </c>
      <c r="N182" s="8" t="str">
        <f aca="false">IF($A182="","",IFERROR(IF(INDEX(O1_Community_Attributes!$W$1:$W$500,MATCH($A182,O1_Community_Attributes!$A$1:$A$500,0))="","",INDEX(O1_Community_Attributes!$W$1:$W$500,MATCH($A182,O1_Community_Attributes!$A$1:$A$500,0))),""))</f>
        <v/>
      </c>
      <c r="O182" s="8" t="str">
        <f aca="false">IF($A182="","",IFERROR(IF(INDEX(O1_Community_Attributes!$X$1:$X$500,MATCH($A182,O1_Community_Attributes!$A$1:$A$500,0))="","",INDEX(O1_Community_Attributes!$X$1:$X$500,MATCH($A182,O1_Community_Attributes!$A$1:$A$500,0))),""))</f>
        <v/>
      </c>
      <c r="P182" s="8" t="str">
        <f aca="false">IF($A182="","",IFERROR(IF(INDEX(O1_Community_Attributes!$Y$1:$Y$500,MATCH($A182,O1_Community_Attributes!$A$1:$A$500,0))="","",INDEX(O1_Community_Attributes!$Y$1:$Y$500,MATCH($A182,O1_Community_Attributes!$A$1:$A$500,0))),""))</f>
        <v/>
      </c>
      <c r="Q182" s="8" t="str">
        <f aca="false">IF($A182="","",IFERROR(IF(INDEX(O1_Community_Attributes!$Z$1:$Z$500,MATCH($A182,O1_Community_Attributes!$A$1:$A$500,0))="","",INDEX(O1_Community_Attributes!$Z$1:$Z$500,MATCH($A182,O1_Community_Attributes!$A$1:$A$500,0))),""))</f>
        <v/>
      </c>
      <c r="R182" s="8" t="str">
        <f aca="false">IF($A182="","",IFERROR(IF(INDEX(O1_Community_Attributes!$BK$1:$BK$500,MATCH($A182,O1_Community_Attributes!$A$1:$A$500,0))="","",INDEX(O1_Community_Attributes!$BK$1:$BK$500,MATCH($A182,O1_Community_Attributes!$A$1:$A$500,0))),""))</f>
        <v/>
      </c>
      <c r="S182" s="8" t="str">
        <f aca="false">IF(OR($C182="",$M182=""),"",$M182/$C182)</f>
        <v/>
      </c>
      <c r="T182" s="8" t="str">
        <f aca="false">IF($C182="","",IF(AND($M182="",$P182=""),"",IF($M182="","B",IF(ABS($S182-1)&lt;=0.3,"A",IF(OR($S182&gt;2,$S182&lt;0.5),"C","B")))))</f>
        <v/>
      </c>
    </row>
    <row r="183" customFormat="false" ht="15" hidden="false" customHeight="true" outlineLevel="0" collapsed="false">
      <c r="H183" s="8" t="str">
        <f aca="false">IF(C183="","",IF(C183&lt;1,"yes","no"))</f>
        <v/>
      </c>
      <c r="I183" s="8" t="str">
        <f aca="false">IF(C183="","",IF(C183&lt;2.6,"r75",IF(C183&lt;5.2,"r110",IF(C183&lt;9.9,"r150",IF(C183&lt;19.8,"r210","r300")))))</f>
        <v/>
      </c>
      <c r="M183" s="8" t="str">
        <f aca="false">IF($A183="","",IFERROR(IF(INDEX(O1_Community_Attributes!$V$1:$V$500,MATCH($A183,O1_Community_Attributes!$A$1:$A$500,0))="","",INDEX(O1_Community_Attributes!$V$1:$V$500,MATCH($A183,O1_Community_Attributes!$A$1:$A$500,0))),""))</f>
        <v/>
      </c>
      <c r="N183" s="8" t="str">
        <f aca="false">IF($A183="","",IFERROR(IF(INDEX(O1_Community_Attributes!$W$1:$W$500,MATCH($A183,O1_Community_Attributes!$A$1:$A$500,0))="","",INDEX(O1_Community_Attributes!$W$1:$W$500,MATCH($A183,O1_Community_Attributes!$A$1:$A$500,0))),""))</f>
        <v/>
      </c>
      <c r="O183" s="8" t="str">
        <f aca="false">IF($A183="","",IFERROR(IF(INDEX(O1_Community_Attributes!$X$1:$X$500,MATCH($A183,O1_Community_Attributes!$A$1:$A$500,0))="","",INDEX(O1_Community_Attributes!$X$1:$X$500,MATCH($A183,O1_Community_Attributes!$A$1:$A$500,0))),""))</f>
        <v/>
      </c>
      <c r="P183" s="8" t="str">
        <f aca="false">IF($A183="","",IFERROR(IF(INDEX(O1_Community_Attributes!$Y$1:$Y$500,MATCH($A183,O1_Community_Attributes!$A$1:$A$500,0))="","",INDEX(O1_Community_Attributes!$Y$1:$Y$500,MATCH($A183,O1_Community_Attributes!$A$1:$A$500,0))),""))</f>
        <v/>
      </c>
      <c r="Q183" s="8" t="str">
        <f aca="false">IF($A183="","",IFERROR(IF(INDEX(O1_Community_Attributes!$Z$1:$Z$500,MATCH($A183,O1_Community_Attributes!$A$1:$A$500,0))="","",INDEX(O1_Community_Attributes!$Z$1:$Z$500,MATCH($A183,O1_Community_Attributes!$A$1:$A$500,0))),""))</f>
        <v/>
      </c>
      <c r="R183" s="8" t="str">
        <f aca="false">IF($A183="","",IFERROR(IF(INDEX(O1_Community_Attributes!$BK$1:$BK$500,MATCH($A183,O1_Community_Attributes!$A$1:$A$500,0))="","",INDEX(O1_Community_Attributes!$BK$1:$BK$500,MATCH($A183,O1_Community_Attributes!$A$1:$A$500,0))),""))</f>
        <v/>
      </c>
      <c r="S183" s="8" t="str">
        <f aca="false">IF(OR($C183="",$M183=""),"",$M183/$C183)</f>
        <v/>
      </c>
      <c r="T183" s="8" t="str">
        <f aca="false">IF($C183="","",IF(AND($M183="",$P183=""),"",IF($M183="","B",IF(ABS($S183-1)&lt;=0.3,"A",IF(OR($S183&gt;2,$S183&lt;0.5),"C","B")))))</f>
        <v/>
      </c>
    </row>
    <row r="184" customFormat="false" ht="15" hidden="false" customHeight="true" outlineLevel="0" collapsed="false">
      <c r="H184" s="8" t="str">
        <f aca="false">IF(C184="","",IF(C184&lt;1,"yes","no"))</f>
        <v/>
      </c>
      <c r="I184" s="8" t="str">
        <f aca="false">IF(C184="","",IF(C184&lt;2.6,"r75",IF(C184&lt;5.2,"r110",IF(C184&lt;9.9,"r150",IF(C184&lt;19.8,"r210","r300")))))</f>
        <v/>
      </c>
      <c r="M184" s="8" t="str">
        <f aca="false">IF($A184="","",IFERROR(IF(INDEX(O1_Community_Attributes!$V$1:$V$500,MATCH($A184,O1_Community_Attributes!$A$1:$A$500,0))="","",INDEX(O1_Community_Attributes!$V$1:$V$500,MATCH($A184,O1_Community_Attributes!$A$1:$A$500,0))),""))</f>
        <v/>
      </c>
      <c r="N184" s="8" t="str">
        <f aca="false">IF($A184="","",IFERROR(IF(INDEX(O1_Community_Attributes!$W$1:$W$500,MATCH($A184,O1_Community_Attributes!$A$1:$A$500,0))="","",INDEX(O1_Community_Attributes!$W$1:$W$500,MATCH($A184,O1_Community_Attributes!$A$1:$A$500,0))),""))</f>
        <v/>
      </c>
      <c r="O184" s="8" t="str">
        <f aca="false">IF($A184="","",IFERROR(IF(INDEX(O1_Community_Attributes!$X$1:$X$500,MATCH($A184,O1_Community_Attributes!$A$1:$A$500,0))="","",INDEX(O1_Community_Attributes!$X$1:$X$500,MATCH($A184,O1_Community_Attributes!$A$1:$A$500,0))),""))</f>
        <v/>
      </c>
      <c r="P184" s="8" t="str">
        <f aca="false">IF($A184="","",IFERROR(IF(INDEX(O1_Community_Attributes!$Y$1:$Y$500,MATCH($A184,O1_Community_Attributes!$A$1:$A$500,0))="","",INDEX(O1_Community_Attributes!$Y$1:$Y$500,MATCH($A184,O1_Community_Attributes!$A$1:$A$500,0))),""))</f>
        <v/>
      </c>
      <c r="Q184" s="8" t="str">
        <f aca="false">IF($A184="","",IFERROR(IF(INDEX(O1_Community_Attributes!$Z$1:$Z$500,MATCH($A184,O1_Community_Attributes!$A$1:$A$500,0))="","",INDEX(O1_Community_Attributes!$Z$1:$Z$500,MATCH($A184,O1_Community_Attributes!$A$1:$A$500,0))),""))</f>
        <v/>
      </c>
      <c r="R184" s="8" t="str">
        <f aca="false">IF($A184="","",IFERROR(IF(INDEX(O1_Community_Attributes!$BK$1:$BK$500,MATCH($A184,O1_Community_Attributes!$A$1:$A$500,0))="","",INDEX(O1_Community_Attributes!$BK$1:$BK$500,MATCH($A184,O1_Community_Attributes!$A$1:$A$500,0))),""))</f>
        <v/>
      </c>
      <c r="S184" s="8" t="str">
        <f aca="false">IF(OR($C184="",$M184=""),"",$M184/$C184)</f>
        <v/>
      </c>
      <c r="T184" s="8" t="str">
        <f aca="false">IF($C184="","",IF(AND($M184="",$P184=""),"",IF($M184="","B",IF(ABS($S184-1)&lt;=0.3,"A",IF(OR($S184&gt;2,$S184&lt;0.5),"C","B")))))</f>
        <v/>
      </c>
    </row>
    <row r="185" customFormat="false" ht="15" hidden="false" customHeight="true" outlineLevel="0" collapsed="false">
      <c r="H185" s="8" t="str">
        <f aca="false">IF(C185="","",IF(C185&lt;1,"yes","no"))</f>
        <v/>
      </c>
      <c r="I185" s="8" t="str">
        <f aca="false">IF(C185="","",IF(C185&lt;2.6,"r75",IF(C185&lt;5.2,"r110",IF(C185&lt;9.9,"r150",IF(C185&lt;19.8,"r210","r300")))))</f>
        <v/>
      </c>
      <c r="M185" s="8" t="str">
        <f aca="false">IF($A185="","",IFERROR(IF(INDEX(O1_Community_Attributes!$V$1:$V$500,MATCH($A185,O1_Community_Attributes!$A$1:$A$500,0))="","",INDEX(O1_Community_Attributes!$V$1:$V$500,MATCH($A185,O1_Community_Attributes!$A$1:$A$500,0))),""))</f>
        <v/>
      </c>
      <c r="N185" s="8" t="str">
        <f aca="false">IF($A185="","",IFERROR(IF(INDEX(O1_Community_Attributes!$W$1:$W$500,MATCH($A185,O1_Community_Attributes!$A$1:$A$500,0))="","",INDEX(O1_Community_Attributes!$W$1:$W$500,MATCH($A185,O1_Community_Attributes!$A$1:$A$500,0))),""))</f>
        <v/>
      </c>
      <c r="O185" s="8" t="str">
        <f aca="false">IF($A185="","",IFERROR(IF(INDEX(O1_Community_Attributes!$X$1:$X$500,MATCH($A185,O1_Community_Attributes!$A$1:$A$500,0))="","",INDEX(O1_Community_Attributes!$X$1:$X$500,MATCH($A185,O1_Community_Attributes!$A$1:$A$500,0))),""))</f>
        <v/>
      </c>
      <c r="P185" s="8" t="str">
        <f aca="false">IF($A185="","",IFERROR(IF(INDEX(O1_Community_Attributes!$Y$1:$Y$500,MATCH($A185,O1_Community_Attributes!$A$1:$A$500,0))="","",INDEX(O1_Community_Attributes!$Y$1:$Y$500,MATCH($A185,O1_Community_Attributes!$A$1:$A$500,0))),""))</f>
        <v/>
      </c>
      <c r="Q185" s="8" t="str">
        <f aca="false">IF($A185="","",IFERROR(IF(INDEX(O1_Community_Attributes!$Z$1:$Z$500,MATCH($A185,O1_Community_Attributes!$A$1:$A$500,0))="","",INDEX(O1_Community_Attributes!$Z$1:$Z$500,MATCH($A185,O1_Community_Attributes!$A$1:$A$500,0))),""))</f>
        <v/>
      </c>
      <c r="R185" s="8" t="str">
        <f aca="false">IF($A185="","",IFERROR(IF(INDEX(O1_Community_Attributes!$BK$1:$BK$500,MATCH($A185,O1_Community_Attributes!$A$1:$A$500,0))="","",INDEX(O1_Community_Attributes!$BK$1:$BK$500,MATCH($A185,O1_Community_Attributes!$A$1:$A$500,0))),""))</f>
        <v/>
      </c>
      <c r="S185" s="8" t="str">
        <f aca="false">IF(OR($C185="",$M185=""),"",$M185/$C185)</f>
        <v/>
      </c>
      <c r="T185" s="8" t="str">
        <f aca="false">IF($C185="","",IF(AND($M185="",$P185=""),"",IF($M185="","B",IF(ABS($S185-1)&lt;=0.3,"A",IF(OR($S185&gt;2,$S185&lt;0.5),"C","B")))))</f>
        <v/>
      </c>
    </row>
    <row r="186" customFormat="false" ht="15" hidden="false" customHeight="true" outlineLevel="0" collapsed="false">
      <c r="H186" s="8" t="str">
        <f aca="false">IF(C186="","",IF(C186&lt;1,"yes","no"))</f>
        <v/>
      </c>
      <c r="I186" s="8" t="str">
        <f aca="false">IF(C186="","",IF(C186&lt;2.6,"r75",IF(C186&lt;5.2,"r110",IF(C186&lt;9.9,"r150",IF(C186&lt;19.8,"r210","r300")))))</f>
        <v/>
      </c>
      <c r="M186" s="8" t="str">
        <f aca="false">IF($A186="","",IFERROR(IF(INDEX(O1_Community_Attributes!$V$1:$V$500,MATCH($A186,O1_Community_Attributes!$A$1:$A$500,0))="","",INDEX(O1_Community_Attributes!$V$1:$V$500,MATCH($A186,O1_Community_Attributes!$A$1:$A$500,0))),""))</f>
        <v/>
      </c>
      <c r="N186" s="8" t="str">
        <f aca="false">IF($A186="","",IFERROR(IF(INDEX(O1_Community_Attributes!$W$1:$W$500,MATCH($A186,O1_Community_Attributes!$A$1:$A$500,0))="","",INDEX(O1_Community_Attributes!$W$1:$W$500,MATCH($A186,O1_Community_Attributes!$A$1:$A$500,0))),""))</f>
        <v/>
      </c>
      <c r="O186" s="8" t="str">
        <f aca="false">IF($A186="","",IFERROR(IF(INDEX(O1_Community_Attributes!$X$1:$X$500,MATCH($A186,O1_Community_Attributes!$A$1:$A$500,0))="","",INDEX(O1_Community_Attributes!$X$1:$X$500,MATCH($A186,O1_Community_Attributes!$A$1:$A$500,0))),""))</f>
        <v/>
      </c>
      <c r="P186" s="8" t="str">
        <f aca="false">IF($A186="","",IFERROR(IF(INDEX(O1_Community_Attributes!$Y$1:$Y$500,MATCH($A186,O1_Community_Attributes!$A$1:$A$500,0))="","",INDEX(O1_Community_Attributes!$Y$1:$Y$500,MATCH($A186,O1_Community_Attributes!$A$1:$A$500,0))),""))</f>
        <v/>
      </c>
      <c r="Q186" s="8" t="str">
        <f aca="false">IF($A186="","",IFERROR(IF(INDEX(O1_Community_Attributes!$Z$1:$Z$500,MATCH($A186,O1_Community_Attributes!$A$1:$A$500,0))="","",INDEX(O1_Community_Attributes!$Z$1:$Z$500,MATCH($A186,O1_Community_Attributes!$A$1:$A$500,0))),""))</f>
        <v/>
      </c>
      <c r="R186" s="8" t="str">
        <f aca="false">IF($A186="","",IFERROR(IF(INDEX(O1_Community_Attributes!$BK$1:$BK$500,MATCH($A186,O1_Community_Attributes!$A$1:$A$500,0))="","",INDEX(O1_Community_Attributes!$BK$1:$BK$500,MATCH($A186,O1_Community_Attributes!$A$1:$A$500,0))),""))</f>
        <v/>
      </c>
      <c r="S186" s="8" t="str">
        <f aca="false">IF(OR($C186="",$M186=""),"",$M186/$C186)</f>
        <v/>
      </c>
      <c r="T186" s="8" t="str">
        <f aca="false">IF($C186="","",IF(AND($M186="",$P186=""),"",IF($M186="","B",IF(ABS($S186-1)&lt;=0.3,"A",IF(OR($S186&gt;2,$S186&lt;0.5),"C","B")))))</f>
        <v/>
      </c>
    </row>
    <row r="187" customFormat="false" ht="15" hidden="false" customHeight="true" outlineLevel="0" collapsed="false">
      <c r="H187" s="8" t="str">
        <f aca="false">IF(C187="","",IF(C187&lt;1,"yes","no"))</f>
        <v/>
      </c>
      <c r="I187" s="8" t="str">
        <f aca="false">IF(C187="","",IF(C187&lt;2.6,"r75",IF(C187&lt;5.2,"r110",IF(C187&lt;9.9,"r150",IF(C187&lt;19.8,"r210","r300")))))</f>
        <v/>
      </c>
      <c r="M187" s="8" t="str">
        <f aca="false">IF($A187="","",IFERROR(IF(INDEX(O1_Community_Attributes!$V$1:$V$500,MATCH($A187,O1_Community_Attributes!$A$1:$A$500,0))="","",INDEX(O1_Community_Attributes!$V$1:$V$500,MATCH($A187,O1_Community_Attributes!$A$1:$A$500,0))),""))</f>
        <v/>
      </c>
      <c r="N187" s="8" t="str">
        <f aca="false">IF($A187="","",IFERROR(IF(INDEX(O1_Community_Attributes!$W$1:$W$500,MATCH($A187,O1_Community_Attributes!$A$1:$A$500,0))="","",INDEX(O1_Community_Attributes!$W$1:$W$500,MATCH($A187,O1_Community_Attributes!$A$1:$A$500,0))),""))</f>
        <v/>
      </c>
      <c r="O187" s="8" t="str">
        <f aca="false">IF($A187="","",IFERROR(IF(INDEX(O1_Community_Attributes!$X$1:$X$500,MATCH($A187,O1_Community_Attributes!$A$1:$A$500,0))="","",INDEX(O1_Community_Attributes!$X$1:$X$500,MATCH($A187,O1_Community_Attributes!$A$1:$A$500,0))),""))</f>
        <v/>
      </c>
      <c r="P187" s="8" t="str">
        <f aca="false">IF($A187="","",IFERROR(IF(INDEX(O1_Community_Attributes!$Y$1:$Y$500,MATCH($A187,O1_Community_Attributes!$A$1:$A$500,0))="","",INDEX(O1_Community_Attributes!$Y$1:$Y$500,MATCH($A187,O1_Community_Attributes!$A$1:$A$500,0))),""))</f>
        <v/>
      </c>
      <c r="Q187" s="8" t="str">
        <f aca="false">IF($A187="","",IFERROR(IF(INDEX(O1_Community_Attributes!$Z$1:$Z$500,MATCH($A187,O1_Community_Attributes!$A$1:$A$500,0))="","",INDEX(O1_Community_Attributes!$Z$1:$Z$500,MATCH($A187,O1_Community_Attributes!$A$1:$A$500,0))),""))</f>
        <v/>
      </c>
      <c r="R187" s="8" t="str">
        <f aca="false">IF($A187="","",IFERROR(IF(INDEX(O1_Community_Attributes!$BK$1:$BK$500,MATCH($A187,O1_Community_Attributes!$A$1:$A$500,0))="","",INDEX(O1_Community_Attributes!$BK$1:$BK$500,MATCH($A187,O1_Community_Attributes!$A$1:$A$500,0))),""))</f>
        <v/>
      </c>
      <c r="S187" s="8" t="str">
        <f aca="false">IF(OR($C187="",$M187=""),"",$M187/$C187)</f>
        <v/>
      </c>
      <c r="T187" s="8" t="str">
        <f aca="false">IF($C187="","",IF(AND($M187="",$P187=""),"",IF($M187="","B",IF(ABS($S187-1)&lt;=0.3,"A",IF(OR($S187&gt;2,$S187&lt;0.5),"C","B")))))</f>
        <v/>
      </c>
    </row>
    <row r="188" customFormat="false" ht="15" hidden="false" customHeight="true" outlineLevel="0" collapsed="false">
      <c r="H188" s="8" t="str">
        <f aca="false">IF(C188="","",IF(C188&lt;1,"yes","no"))</f>
        <v/>
      </c>
      <c r="I188" s="8" t="str">
        <f aca="false">IF(C188="","",IF(C188&lt;2.6,"r75",IF(C188&lt;5.2,"r110",IF(C188&lt;9.9,"r150",IF(C188&lt;19.8,"r210","r300")))))</f>
        <v/>
      </c>
      <c r="M188" s="8" t="str">
        <f aca="false">IF($A188="","",IFERROR(IF(INDEX(O1_Community_Attributes!$V$1:$V$500,MATCH($A188,O1_Community_Attributes!$A$1:$A$500,0))="","",INDEX(O1_Community_Attributes!$V$1:$V$500,MATCH($A188,O1_Community_Attributes!$A$1:$A$500,0))),""))</f>
        <v/>
      </c>
      <c r="N188" s="8" t="str">
        <f aca="false">IF($A188="","",IFERROR(IF(INDEX(O1_Community_Attributes!$W$1:$W$500,MATCH($A188,O1_Community_Attributes!$A$1:$A$500,0))="","",INDEX(O1_Community_Attributes!$W$1:$W$500,MATCH($A188,O1_Community_Attributes!$A$1:$A$500,0))),""))</f>
        <v/>
      </c>
      <c r="O188" s="8" t="str">
        <f aca="false">IF($A188="","",IFERROR(IF(INDEX(O1_Community_Attributes!$X$1:$X$500,MATCH($A188,O1_Community_Attributes!$A$1:$A$500,0))="","",INDEX(O1_Community_Attributes!$X$1:$X$500,MATCH($A188,O1_Community_Attributes!$A$1:$A$500,0))),""))</f>
        <v/>
      </c>
      <c r="P188" s="8" t="str">
        <f aca="false">IF($A188="","",IFERROR(IF(INDEX(O1_Community_Attributes!$Y$1:$Y$500,MATCH($A188,O1_Community_Attributes!$A$1:$A$500,0))="","",INDEX(O1_Community_Attributes!$Y$1:$Y$500,MATCH($A188,O1_Community_Attributes!$A$1:$A$500,0))),""))</f>
        <v/>
      </c>
      <c r="Q188" s="8" t="str">
        <f aca="false">IF($A188="","",IFERROR(IF(INDEX(O1_Community_Attributes!$Z$1:$Z$500,MATCH($A188,O1_Community_Attributes!$A$1:$A$500,0))="","",INDEX(O1_Community_Attributes!$Z$1:$Z$500,MATCH($A188,O1_Community_Attributes!$A$1:$A$500,0))),""))</f>
        <v/>
      </c>
      <c r="R188" s="8" t="str">
        <f aca="false">IF($A188="","",IFERROR(IF(INDEX(O1_Community_Attributes!$BK$1:$BK$500,MATCH($A188,O1_Community_Attributes!$A$1:$A$500,0))="","",INDEX(O1_Community_Attributes!$BK$1:$BK$500,MATCH($A188,O1_Community_Attributes!$A$1:$A$500,0))),""))</f>
        <v/>
      </c>
      <c r="S188" s="8" t="str">
        <f aca="false">IF(OR($C188="",$M188=""),"",$M188/$C188)</f>
        <v/>
      </c>
      <c r="T188" s="8" t="str">
        <f aca="false">IF($C188="","",IF(AND($M188="",$P188=""),"",IF($M188="","B",IF(ABS($S188-1)&lt;=0.3,"A",IF(OR($S188&gt;2,$S188&lt;0.5),"C","B")))))</f>
        <v/>
      </c>
    </row>
    <row r="189" customFormat="false" ht="15" hidden="false" customHeight="true" outlineLevel="0" collapsed="false">
      <c r="H189" s="8" t="str">
        <f aca="false">IF(C189="","",IF(C189&lt;1,"yes","no"))</f>
        <v/>
      </c>
      <c r="I189" s="8" t="str">
        <f aca="false">IF(C189="","",IF(C189&lt;2.6,"r75",IF(C189&lt;5.2,"r110",IF(C189&lt;9.9,"r150",IF(C189&lt;19.8,"r210","r300")))))</f>
        <v/>
      </c>
      <c r="M189" s="8" t="str">
        <f aca="false">IF($A189="","",IFERROR(IF(INDEX(O1_Community_Attributes!$V$1:$V$500,MATCH($A189,O1_Community_Attributes!$A$1:$A$500,0))="","",INDEX(O1_Community_Attributes!$V$1:$V$500,MATCH($A189,O1_Community_Attributes!$A$1:$A$500,0))),""))</f>
        <v/>
      </c>
      <c r="N189" s="8" t="str">
        <f aca="false">IF($A189="","",IFERROR(IF(INDEX(O1_Community_Attributes!$W$1:$W$500,MATCH($A189,O1_Community_Attributes!$A$1:$A$500,0))="","",INDEX(O1_Community_Attributes!$W$1:$W$500,MATCH($A189,O1_Community_Attributes!$A$1:$A$500,0))),""))</f>
        <v/>
      </c>
      <c r="O189" s="8" t="str">
        <f aca="false">IF($A189="","",IFERROR(IF(INDEX(O1_Community_Attributes!$X$1:$X$500,MATCH($A189,O1_Community_Attributes!$A$1:$A$500,0))="","",INDEX(O1_Community_Attributes!$X$1:$X$500,MATCH($A189,O1_Community_Attributes!$A$1:$A$500,0))),""))</f>
        <v/>
      </c>
      <c r="P189" s="8" t="str">
        <f aca="false">IF($A189="","",IFERROR(IF(INDEX(O1_Community_Attributes!$Y$1:$Y$500,MATCH($A189,O1_Community_Attributes!$A$1:$A$500,0))="","",INDEX(O1_Community_Attributes!$Y$1:$Y$500,MATCH($A189,O1_Community_Attributes!$A$1:$A$500,0))),""))</f>
        <v/>
      </c>
      <c r="Q189" s="8" t="str">
        <f aca="false">IF($A189="","",IFERROR(IF(INDEX(O1_Community_Attributes!$Z$1:$Z$500,MATCH($A189,O1_Community_Attributes!$A$1:$A$500,0))="","",INDEX(O1_Community_Attributes!$Z$1:$Z$500,MATCH($A189,O1_Community_Attributes!$A$1:$A$500,0))),""))</f>
        <v/>
      </c>
      <c r="R189" s="8" t="str">
        <f aca="false">IF($A189="","",IFERROR(IF(INDEX(O1_Community_Attributes!$BK$1:$BK$500,MATCH($A189,O1_Community_Attributes!$A$1:$A$500,0))="","",INDEX(O1_Community_Attributes!$BK$1:$BK$500,MATCH($A189,O1_Community_Attributes!$A$1:$A$500,0))),""))</f>
        <v/>
      </c>
      <c r="S189" s="8" t="str">
        <f aca="false">IF(OR($C189="",$M189=""),"",$M189/$C189)</f>
        <v/>
      </c>
      <c r="T189" s="8" t="str">
        <f aca="false">IF($C189="","",IF(AND($M189="",$P189=""),"",IF($M189="","B",IF(ABS($S189-1)&lt;=0.3,"A",IF(OR($S189&gt;2,$S189&lt;0.5),"C","B")))))</f>
        <v/>
      </c>
    </row>
    <row r="190" customFormat="false" ht="15" hidden="false" customHeight="true" outlineLevel="0" collapsed="false">
      <c r="H190" s="8" t="str">
        <f aca="false">IF(C190="","",IF(C190&lt;1,"yes","no"))</f>
        <v/>
      </c>
      <c r="I190" s="8" t="str">
        <f aca="false">IF(C190="","",IF(C190&lt;2.6,"r75",IF(C190&lt;5.2,"r110",IF(C190&lt;9.9,"r150",IF(C190&lt;19.8,"r210","r300")))))</f>
        <v/>
      </c>
      <c r="M190" s="8" t="str">
        <f aca="false">IF($A190="","",IFERROR(IF(INDEX(O1_Community_Attributes!$V$1:$V$500,MATCH($A190,O1_Community_Attributes!$A$1:$A$500,0))="","",INDEX(O1_Community_Attributes!$V$1:$V$500,MATCH($A190,O1_Community_Attributes!$A$1:$A$500,0))),""))</f>
        <v/>
      </c>
      <c r="N190" s="8" t="str">
        <f aca="false">IF($A190="","",IFERROR(IF(INDEX(O1_Community_Attributes!$W$1:$W$500,MATCH($A190,O1_Community_Attributes!$A$1:$A$500,0))="","",INDEX(O1_Community_Attributes!$W$1:$W$500,MATCH($A190,O1_Community_Attributes!$A$1:$A$500,0))),""))</f>
        <v/>
      </c>
      <c r="O190" s="8" t="str">
        <f aca="false">IF($A190="","",IFERROR(IF(INDEX(O1_Community_Attributes!$X$1:$X$500,MATCH($A190,O1_Community_Attributes!$A$1:$A$500,0))="","",INDEX(O1_Community_Attributes!$X$1:$X$500,MATCH($A190,O1_Community_Attributes!$A$1:$A$500,0))),""))</f>
        <v/>
      </c>
      <c r="P190" s="8" t="str">
        <f aca="false">IF($A190="","",IFERROR(IF(INDEX(O1_Community_Attributes!$Y$1:$Y$500,MATCH($A190,O1_Community_Attributes!$A$1:$A$500,0))="","",INDEX(O1_Community_Attributes!$Y$1:$Y$500,MATCH($A190,O1_Community_Attributes!$A$1:$A$500,0))),""))</f>
        <v/>
      </c>
      <c r="Q190" s="8" t="str">
        <f aca="false">IF($A190="","",IFERROR(IF(INDEX(O1_Community_Attributes!$Z$1:$Z$500,MATCH($A190,O1_Community_Attributes!$A$1:$A$500,0))="","",INDEX(O1_Community_Attributes!$Z$1:$Z$500,MATCH($A190,O1_Community_Attributes!$A$1:$A$500,0))),""))</f>
        <v/>
      </c>
      <c r="R190" s="8" t="str">
        <f aca="false">IF($A190="","",IFERROR(IF(INDEX(O1_Community_Attributes!$BK$1:$BK$500,MATCH($A190,O1_Community_Attributes!$A$1:$A$500,0))="","",INDEX(O1_Community_Attributes!$BK$1:$BK$500,MATCH($A190,O1_Community_Attributes!$A$1:$A$500,0))),""))</f>
        <v/>
      </c>
      <c r="S190" s="8" t="str">
        <f aca="false">IF(OR($C190="",$M190=""),"",$M190/$C190)</f>
        <v/>
      </c>
      <c r="T190" s="8" t="str">
        <f aca="false">IF($C190="","",IF(AND($M190="",$P190=""),"",IF($M190="","B",IF(ABS($S190-1)&lt;=0.3,"A",IF(OR($S190&gt;2,$S190&lt;0.5),"C","B")))))</f>
        <v/>
      </c>
    </row>
    <row r="191" customFormat="false" ht="15" hidden="false" customHeight="true" outlineLevel="0" collapsed="false">
      <c r="H191" s="8" t="str">
        <f aca="false">IF(C191="","",IF(C191&lt;1,"yes","no"))</f>
        <v/>
      </c>
      <c r="I191" s="8" t="str">
        <f aca="false">IF(C191="","",IF(C191&lt;2.6,"r75",IF(C191&lt;5.2,"r110",IF(C191&lt;9.9,"r150",IF(C191&lt;19.8,"r210","r300")))))</f>
        <v/>
      </c>
      <c r="M191" s="8" t="str">
        <f aca="false">IF($A191="","",IFERROR(IF(INDEX(O1_Community_Attributes!$V$1:$V$500,MATCH($A191,O1_Community_Attributes!$A$1:$A$500,0))="","",INDEX(O1_Community_Attributes!$V$1:$V$500,MATCH($A191,O1_Community_Attributes!$A$1:$A$500,0))),""))</f>
        <v/>
      </c>
      <c r="N191" s="8" t="str">
        <f aca="false">IF($A191="","",IFERROR(IF(INDEX(O1_Community_Attributes!$W$1:$W$500,MATCH($A191,O1_Community_Attributes!$A$1:$A$500,0))="","",INDEX(O1_Community_Attributes!$W$1:$W$500,MATCH($A191,O1_Community_Attributes!$A$1:$A$500,0))),""))</f>
        <v/>
      </c>
      <c r="O191" s="8" t="str">
        <f aca="false">IF($A191="","",IFERROR(IF(INDEX(O1_Community_Attributes!$X$1:$X$500,MATCH($A191,O1_Community_Attributes!$A$1:$A$500,0))="","",INDEX(O1_Community_Attributes!$X$1:$X$500,MATCH($A191,O1_Community_Attributes!$A$1:$A$500,0))),""))</f>
        <v/>
      </c>
      <c r="P191" s="8" t="str">
        <f aca="false">IF($A191="","",IFERROR(IF(INDEX(O1_Community_Attributes!$Y$1:$Y$500,MATCH($A191,O1_Community_Attributes!$A$1:$A$500,0))="","",INDEX(O1_Community_Attributes!$Y$1:$Y$500,MATCH($A191,O1_Community_Attributes!$A$1:$A$500,0))),""))</f>
        <v/>
      </c>
      <c r="Q191" s="8" t="str">
        <f aca="false">IF($A191="","",IFERROR(IF(INDEX(O1_Community_Attributes!$Z$1:$Z$500,MATCH($A191,O1_Community_Attributes!$A$1:$A$500,0))="","",INDEX(O1_Community_Attributes!$Z$1:$Z$500,MATCH($A191,O1_Community_Attributes!$A$1:$A$500,0))),""))</f>
        <v/>
      </c>
      <c r="R191" s="8" t="str">
        <f aca="false">IF($A191="","",IFERROR(IF(INDEX(O1_Community_Attributes!$BK$1:$BK$500,MATCH($A191,O1_Community_Attributes!$A$1:$A$500,0))="","",INDEX(O1_Community_Attributes!$BK$1:$BK$500,MATCH($A191,O1_Community_Attributes!$A$1:$A$500,0))),""))</f>
        <v/>
      </c>
      <c r="S191" s="8" t="str">
        <f aca="false">IF(OR($C191="",$M191=""),"",$M191/$C191)</f>
        <v/>
      </c>
      <c r="T191" s="8" t="str">
        <f aca="false">IF($C191="","",IF(AND($M191="",$P191=""),"",IF($M191="","B",IF(ABS($S191-1)&lt;=0.3,"A",IF(OR($S191&gt;2,$S191&lt;0.5),"C","B")))))</f>
        <v/>
      </c>
    </row>
    <row r="192" customFormat="false" ht="15" hidden="false" customHeight="true" outlineLevel="0" collapsed="false">
      <c r="H192" s="8" t="str">
        <f aca="false">IF(C192="","",IF(C192&lt;1,"yes","no"))</f>
        <v/>
      </c>
      <c r="I192" s="8" t="str">
        <f aca="false">IF(C192="","",IF(C192&lt;2.6,"r75",IF(C192&lt;5.2,"r110",IF(C192&lt;9.9,"r150",IF(C192&lt;19.8,"r210","r300")))))</f>
        <v/>
      </c>
      <c r="M192" s="8" t="str">
        <f aca="false">IF($A192="","",IFERROR(IF(INDEX(O1_Community_Attributes!$V$1:$V$500,MATCH($A192,O1_Community_Attributes!$A$1:$A$500,0))="","",INDEX(O1_Community_Attributes!$V$1:$V$500,MATCH($A192,O1_Community_Attributes!$A$1:$A$500,0))),""))</f>
        <v/>
      </c>
      <c r="N192" s="8" t="str">
        <f aca="false">IF($A192="","",IFERROR(IF(INDEX(O1_Community_Attributes!$W$1:$W$500,MATCH($A192,O1_Community_Attributes!$A$1:$A$500,0))="","",INDEX(O1_Community_Attributes!$W$1:$W$500,MATCH($A192,O1_Community_Attributes!$A$1:$A$500,0))),""))</f>
        <v/>
      </c>
      <c r="O192" s="8" t="str">
        <f aca="false">IF($A192="","",IFERROR(IF(INDEX(O1_Community_Attributes!$X$1:$X$500,MATCH($A192,O1_Community_Attributes!$A$1:$A$500,0))="","",INDEX(O1_Community_Attributes!$X$1:$X$500,MATCH($A192,O1_Community_Attributes!$A$1:$A$500,0))),""))</f>
        <v/>
      </c>
      <c r="P192" s="8" t="str">
        <f aca="false">IF($A192="","",IFERROR(IF(INDEX(O1_Community_Attributes!$Y$1:$Y$500,MATCH($A192,O1_Community_Attributes!$A$1:$A$500,0))="","",INDEX(O1_Community_Attributes!$Y$1:$Y$500,MATCH($A192,O1_Community_Attributes!$A$1:$A$500,0))),""))</f>
        <v/>
      </c>
      <c r="Q192" s="8" t="str">
        <f aca="false">IF($A192="","",IFERROR(IF(INDEX(O1_Community_Attributes!$Z$1:$Z$500,MATCH($A192,O1_Community_Attributes!$A$1:$A$500,0))="","",INDEX(O1_Community_Attributes!$Z$1:$Z$500,MATCH($A192,O1_Community_Attributes!$A$1:$A$500,0))),""))</f>
        <v/>
      </c>
      <c r="R192" s="8" t="str">
        <f aca="false">IF($A192="","",IFERROR(IF(INDEX(O1_Community_Attributes!$BK$1:$BK$500,MATCH($A192,O1_Community_Attributes!$A$1:$A$500,0))="","",INDEX(O1_Community_Attributes!$BK$1:$BK$500,MATCH($A192,O1_Community_Attributes!$A$1:$A$500,0))),""))</f>
        <v/>
      </c>
      <c r="S192" s="8" t="str">
        <f aca="false">IF(OR($C192="",$M192=""),"",$M192/$C192)</f>
        <v/>
      </c>
      <c r="T192" s="8" t="str">
        <f aca="false">IF($C192="","",IF(AND($M192="",$P192=""),"",IF($M192="","B",IF(ABS($S192-1)&lt;=0.3,"A",IF(OR($S192&gt;2,$S192&lt;0.5),"C","B")))))</f>
        <v/>
      </c>
    </row>
    <row r="193" customFormat="false" ht="15" hidden="false" customHeight="true" outlineLevel="0" collapsed="false">
      <c r="H193" s="8" t="str">
        <f aca="false">IF(C193="","",IF(C193&lt;1,"yes","no"))</f>
        <v/>
      </c>
      <c r="I193" s="8" t="str">
        <f aca="false">IF(C193="","",IF(C193&lt;2.6,"r75",IF(C193&lt;5.2,"r110",IF(C193&lt;9.9,"r150",IF(C193&lt;19.8,"r210","r300")))))</f>
        <v/>
      </c>
      <c r="M193" s="8" t="str">
        <f aca="false">IF($A193="","",IFERROR(IF(INDEX(O1_Community_Attributes!$V$1:$V$500,MATCH($A193,O1_Community_Attributes!$A$1:$A$500,0))="","",INDEX(O1_Community_Attributes!$V$1:$V$500,MATCH($A193,O1_Community_Attributes!$A$1:$A$500,0))),""))</f>
        <v/>
      </c>
      <c r="N193" s="8" t="str">
        <f aca="false">IF($A193="","",IFERROR(IF(INDEX(O1_Community_Attributes!$W$1:$W$500,MATCH($A193,O1_Community_Attributes!$A$1:$A$500,0))="","",INDEX(O1_Community_Attributes!$W$1:$W$500,MATCH($A193,O1_Community_Attributes!$A$1:$A$500,0))),""))</f>
        <v/>
      </c>
      <c r="O193" s="8" t="str">
        <f aca="false">IF($A193="","",IFERROR(IF(INDEX(O1_Community_Attributes!$X$1:$X$500,MATCH($A193,O1_Community_Attributes!$A$1:$A$500,0))="","",INDEX(O1_Community_Attributes!$X$1:$X$500,MATCH($A193,O1_Community_Attributes!$A$1:$A$500,0))),""))</f>
        <v/>
      </c>
      <c r="P193" s="8" t="str">
        <f aca="false">IF($A193="","",IFERROR(IF(INDEX(O1_Community_Attributes!$Y$1:$Y$500,MATCH($A193,O1_Community_Attributes!$A$1:$A$500,0))="","",INDEX(O1_Community_Attributes!$Y$1:$Y$500,MATCH($A193,O1_Community_Attributes!$A$1:$A$500,0))),""))</f>
        <v/>
      </c>
      <c r="Q193" s="8" t="str">
        <f aca="false">IF($A193="","",IFERROR(IF(INDEX(O1_Community_Attributes!$Z$1:$Z$500,MATCH($A193,O1_Community_Attributes!$A$1:$A$500,0))="","",INDEX(O1_Community_Attributes!$Z$1:$Z$500,MATCH($A193,O1_Community_Attributes!$A$1:$A$500,0))),""))</f>
        <v/>
      </c>
      <c r="R193" s="8" t="str">
        <f aca="false">IF($A193="","",IFERROR(IF(INDEX(O1_Community_Attributes!$BK$1:$BK$500,MATCH($A193,O1_Community_Attributes!$A$1:$A$500,0))="","",INDEX(O1_Community_Attributes!$BK$1:$BK$500,MATCH($A193,O1_Community_Attributes!$A$1:$A$500,0))),""))</f>
        <v/>
      </c>
      <c r="S193" s="8" t="str">
        <f aca="false">IF(OR($C193="",$M193=""),"",$M193/$C193)</f>
        <v/>
      </c>
      <c r="T193" s="8" t="str">
        <f aca="false">IF($C193="","",IF(AND($M193="",$P193=""),"",IF($M193="","B",IF(ABS($S193-1)&lt;=0.3,"A",IF(OR($S193&gt;2,$S193&lt;0.5),"C","B")))))</f>
        <v/>
      </c>
    </row>
    <row r="194" customFormat="false" ht="15" hidden="false" customHeight="true" outlineLevel="0" collapsed="false">
      <c r="H194" s="8" t="str">
        <f aca="false">IF(C194="","",IF(C194&lt;1,"yes","no"))</f>
        <v/>
      </c>
      <c r="I194" s="8" t="str">
        <f aca="false">IF(C194="","",IF(C194&lt;2.6,"r75",IF(C194&lt;5.2,"r110",IF(C194&lt;9.9,"r150",IF(C194&lt;19.8,"r210","r300")))))</f>
        <v/>
      </c>
      <c r="M194" s="8" t="str">
        <f aca="false">IF($A194="","",IFERROR(IF(INDEX(O1_Community_Attributes!$V$1:$V$500,MATCH($A194,O1_Community_Attributes!$A$1:$A$500,0))="","",INDEX(O1_Community_Attributes!$V$1:$V$500,MATCH($A194,O1_Community_Attributes!$A$1:$A$500,0))),""))</f>
        <v/>
      </c>
      <c r="N194" s="8" t="str">
        <f aca="false">IF($A194="","",IFERROR(IF(INDEX(O1_Community_Attributes!$W$1:$W$500,MATCH($A194,O1_Community_Attributes!$A$1:$A$500,0))="","",INDEX(O1_Community_Attributes!$W$1:$W$500,MATCH($A194,O1_Community_Attributes!$A$1:$A$500,0))),""))</f>
        <v/>
      </c>
      <c r="O194" s="8" t="str">
        <f aca="false">IF($A194="","",IFERROR(IF(INDEX(O1_Community_Attributes!$X$1:$X$500,MATCH($A194,O1_Community_Attributes!$A$1:$A$500,0))="","",INDEX(O1_Community_Attributes!$X$1:$X$500,MATCH($A194,O1_Community_Attributes!$A$1:$A$500,0))),""))</f>
        <v/>
      </c>
      <c r="P194" s="8" t="str">
        <f aca="false">IF($A194="","",IFERROR(IF(INDEX(O1_Community_Attributes!$Y$1:$Y$500,MATCH($A194,O1_Community_Attributes!$A$1:$A$500,0))="","",INDEX(O1_Community_Attributes!$Y$1:$Y$500,MATCH($A194,O1_Community_Attributes!$A$1:$A$500,0))),""))</f>
        <v/>
      </c>
      <c r="Q194" s="8" t="str">
        <f aca="false">IF($A194="","",IFERROR(IF(INDEX(O1_Community_Attributes!$Z$1:$Z$500,MATCH($A194,O1_Community_Attributes!$A$1:$A$500,0))="","",INDEX(O1_Community_Attributes!$Z$1:$Z$500,MATCH($A194,O1_Community_Attributes!$A$1:$A$500,0))),""))</f>
        <v/>
      </c>
      <c r="R194" s="8" t="str">
        <f aca="false">IF($A194="","",IFERROR(IF(INDEX(O1_Community_Attributes!$BK$1:$BK$500,MATCH($A194,O1_Community_Attributes!$A$1:$A$500,0))="","",INDEX(O1_Community_Attributes!$BK$1:$BK$500,MATCH($A194,O1_Community_Attributes!$A$1:$A$500,0))),""))</f>
        <v/>
      </c>
      <c r="S194" s="8" t="str">
        <f aca="false">IF(OR($C194="",$M194=""),"",$M194/$C194)</f>
        <v/>
      </c>
      <c r="T194" s="8" t="str">
        <f aca="false">IF($C194="","",IF(AND($M194="",$P194=""),"",IF($M194="","B",IF(ABS($S194-1)&lt;=0.3,"A",IF(OR($S194&gt;2,$S194&lt;0.5),"C","B")))))</f>
        <v/>
      </c>
    </row>
    <row r="195" customFormat="false" ht="15" hidden="false" customHeight="true" outlineLevel="0" collapsed="false">
      <c r="H195" s="8" t="str">
        <f aca="false">IF(C195="","",IF(C195&lt;1,"yes","no"))</f>
        <v/>
      </c>
      <c r="I195" s="8" t="str">
        <f aca="false">IF(C195="","",IF(C195&lt;2.6,"r75",IF(C195&lt;5.2,"r110",IF(C195&lt;9.9,"r150",IF(C195&lt;19.8,"r210","r300")))))</f>
        <v/>
      </c>
      <c r="M195" s="8" t="str">
        <f aca="false">IF($A195="","",IFERROR(IF(INDEX(O1_Community_Attributes!$V$1:$V$500,MATCH($A195,O1_Community_Attributes!$A$1:$A$500,0))="","",INDEX(O1_Community_Attributes!$V$1:$V$500,MATCH($A195,O1_Community_Attributes!$A$1:$A$500,0))),""))</f>
        <v/>
      </c>
      <c r="N195" s="8" t="str">
        <f aca="false">IF($A195="","",IFERROR(IF(INDEX(O1_Community_Attributes!$W$1:$W$500,MATCH($A195,O1_Community_Attributes!$A$1:$A$500,0))="","",INDEX(O1_Community_Attributes!$W$1:$W$500,MATCH($A195,O1_Community_Attributes!$A$1:$A$500,0))),""))</f>
        <v/>
      </c>
      <c r="O195" s="8" t="str">
        <f aca="false">IF($A195="","",IFERROR(IF(INDEX(O1_Community_Attributes!$X$1:$X$500,MATCH($A195,O1_Community_Attributes!$A$1:$A$500,0))="","",INDEX(O1_Community_Attributes!$X$1:$X$500,MATCH($A195,O1_Community_Attributes!$A$1:$A$500,0))),""))</f>
        <v/>
      </c>
      <c r="P195" s="8" t="str">
        <f aca="false">IF($A195="","",IFERROR(IF(INDEX(O1_Community_Attributes!$Y$1:$Y$500,MATCH($A195,O1_Community_Attributes!$A$1:$A$500,0))="","",INDEX(O1_Community_Attributes!$Y$1:$Y$500,MATCH($A195,O1_Community_Attributes!$A$1:$A$500,0))),""))</f>
        <v/>
      </c>
      <c r="Q195" s="8" t="str">
        <f aca="false">IF($A195="","",IFERROR(IF(INDEX(O1_Community_Attributes!$Z$1:$Z$500,MATCH($A195,O1_Community_Attributes!$A$1:$A$500,0))="","",INDEX(O1_Community_Attributes!$Z$1:$Z$500,MATCH($A195,O1_Community_Attributes!$A$1:$A$500,0))),""))</f>
        <v/>
      </c>
      <c r="R195" s="8" t="str">
        <f aca="false">IF($A195="","",IFERROR(IF(INDEX(O1_Community_Attributes!$BK$1:$BK$500,MATCH($A195,O1_Community_Attributes!$A$1:$A$500,0))="","",INDEX(O1_Community_Attributes!$BK$1:$BK$500,MATCH($A195,O1_Community_Attributes!$A$1:$A$500,0))),""))</f>
        <v/>
      </c>
      <c r="S195" s="8" t="str">
        <f aca="false">IF(OR($C195="",$M195=""),"",$M195/$C195)</f>
        <v/>
      </c>
      <c r="T195" s="8" t="str">
        <f aca="false">IF($C195="","",IF(AND($M195="",$P195=""),"",IF($M195="","B",IF(ABS($S195-1)&lt;=0.3,"A",IF(OR($S195&gt;2,$S195&lt;0.5),"C","B")))))</f>
        <v/>
      </c>
    </row>
    <row r="196" customFormat="false" ht="15" hidden="false" customHeight="true" outlineLevel="0" collapsed="false">
      <c r="H196" s="8" t="str">
        <f aca="false">IF(C196="","",IF(C196&lt;1,"yes","no"))</f>
        <v/>
      </c>
      <c r="I196" s="8" t="str">
        <f aca="false">IF(C196="","",IF(C196&lt;2.6,"r75",IF(C196&lt;5.2,"r110",IF(C196&lt;9.9,"r150",IF(C196&lt;19.8,"r210","r300")))))</f>
        <v/>
      </c>
      <c r="M196" s="8" t="str">
        <f aca="false">IF($A196="","",IFERROR(IF(INDEX(O1_Community_Attributes!$V$1:$V$500,MATCH($A196,O1_Community_Attributes!$A$1:$A$500,0))="","",INDEX(O1_Community_Attributes!$V$1:$V$500,MATCH($A196,O1_Community_Attributes!$A$1:$A$500,0))),""))</f>
        <v/>
      </c>
      <c r="N196" s="8" t="str">
        <f aca="false">IF($A196="","",IFERROR(IF(INDEX(O1_Community_Attributes!$W$1:$W$500,MATCH($A196,O1_Community_Attributes!$A$1:$A$500,0))="","",INDEX(O1_Community_Attributes!$W$1:$W$500,MATCH($A196,O1_Community_Attributes!$A$1:$A$500,0))),""))</f>
        <v/>
      </c>
      <c r="O196" s="8" t="str">
        <f aca="false">IF($A196="","",IFERROR(IF(INDEX(O1_Community_Attributes!$X$1:$X$500,MATCH($A196,O1_Community_Attributes!$A$1:$A$500,0))="","",INDEX(O1_Community_Attributes!$X$1:$X$500,MATCH($A196,O1_Community_Attributes!$A$1:$A$500,0))),""))</f>
        <v/>
      </c>
      <c r="P196" s="8" t="str">
        <f aca="false">IF($A196="","",IFERROR(IF(INDEX(O1_Community_Attributes!$Y$1:$Y$500,MATCH($A196,O1_Community_Attributes!$A$1:$A$500,0))="","",INDEX(O1_Community_Attributes!$Y$1:$Y$500,MATCH($A196,O1_Community_Attributes!$A$1:$A$500,0))),""))</f>
        <v/>
      </c>
      <c r="Q196" s="8" t="str">
        <f aca="false">IF($A196="","",IFERROR(IF(INDEX(O1_Community_Attributes!$Z$1:$Z$500,MATCH($A196,O1_Community_Attributes!$A$1:$A$500,0))="","",INDEX(O1_Community_Attributes!$Z$1:$Z$500,MATCH($A196,O1_Community_Attributes!$A$1:$A$500,0))),""))</f>
        <v/>
      </c>
      <c r="R196" s="8" t="str">
        <f aca="false">IF($A196="","",IFERROR(IF(INDEX(O1_Community_Attributes!$BK$1:$BK$500,MATCH($A196,O1_Community_Attributes!$A$1:$A$500,0))="","",INDEX(O1_Community_Attributes!$BK$1:$BK$500,MATCH($A196,O1_Community_Attributes!$A$1:$A$500,0))),""))</f>
        <v/>
      </c>
      <c r="S196" s="8" t="str">
        <f aca="false">IF(OR($C196="",$M196=""),"",$M196/$C196)</f>
        <v/>
      </c>
      <c r="T196" s="8" t="str">
        <f aca="false">IF($C196="","",IF(AND($M196="",$P196=""),"",IF($M196="","B",IF(ABS($S196-1)&lt;=0.3,"A",IF(OR($S196&gt;2,$S196&lt;0.5),"C","B")))))</f>
        <v/>
      </c>
    </row>
    <row r="197" customFormat="false" ht="15" hidden="false" customHeight="true" outlineLevel="0" collapsed="false">
      <c r="H197" s="8" t="str">
        <f aca="false">IF(C197="","",IF(C197&lt;1,"yes","no"))</f>
        <v/>
      </c>
      <c r="I197" s="8" t="str">
        <f aca="false">IF(C197="","",IF(C197&lt;2.6,"r75",IF(C197&lt;5.2,"r110",IF(C197&lt;9.9,"r150",IF(C197&lt;19.8,"r210","r300")))))</f>
        <v/>
      </c>
      <c r="M197" s="8" t="str">
        <f aca="false">IF($A197="","",IFERROR(IF(INDEX(O1_Community_Attributes!$V$1:$V$500,MATCH($A197,O1_Community_Attributes!$A$1:$A$500,0))="","",INDEX(O1_Community_Attributes!$V$1:$V$500,MATCH($A197,O1_Community_Attributes!$A$1:$A$500,0))),""))</f>
        <v/>
      </c>
      <c r="N197" s="8" t="str">
        <f aca="false">IF($A197="","",IFERROR(IF(INDEX(O1_Community_Attributes!$W$1:$W$500,MATCH($A197,O1_Community_Attributes!$A$1:$A$500,0))="","",INDEX(O1_Community_Attributes!$W$1:$W$500,MATCH($A197,O1_Community_Attributes!$A$1:$A$500,0))),""))</f>
        <v/>
      </c>
      <c r="O197" s="8" t="str">
        <f aca="false">IF($A197="","",IFERROR(IF(INDEX(O1_Community_Attributes!$X$1:$X$500,MATCH($A197,O1_Community_Attributes!$A$1:$A$500,0))="","",INDEX(O1_Community_Attributes!$X$1:$X$500,MATCH($A197,O1_Community_Attributes!$A$1:$A$500,0))),""))</f>
        <v/>
      </c>
      <c r="P197" s="8" t="str">
        <f aca="false">IF($A197="","",IFERROR(IF(INDEX(O1_Community_Attributes!$Y$1:$Y$500,MATCH($A197,O1_Community_Attributes!$A$1:$A$500,0))="","",INDEX(O1_Community_Attributes!$Y$1:$Y$500,MATCH($A197,O1_Community_Attributes!$A$1:$A$500,0))),""))</f>
        <v/>
      </c>
      <c r="Q197" s="8" t="str">
        <f aca="false">IF($A197="","",IFERROR(IF(INDEX(O1_Community_Attributes!$Z$1:$Z$500,MATCH($A197,O1_Community_Attributes!$A$1:$A$500,0))="","",INDEX(O1_Community_Attributes!$Z$1:$Z$500,MATCH($A197,O1_Community_Attributes!$A$1:$A$500,0))),""))</f>
        <v/>
      </c>
      <c r="R197" s="8" t="str">
        <f aca="false">IF($A197="","",IFERROR(IF(INDEX(O1_Community_Attributes!$BK$1:$BK$500,MATCH($A197,O1_Community_Attributes!$A$1:$A$500,0))="","",INDEX(O1_Community_Attributes!$BK$1:$BK$500,MATCH($A197,O1_Community_Attributes!$A$1:$A$500,0))),""))</f>
        <v/>
      </c>
      <c r="S197" s="8" t="str">
        <f aca="false">IF(OR($C197="",$M197=""),"",$M197/$C197)</f>
        <v/>
      </c>
      <c r="T197" s="8" t="str">
        <f aca="false">IF($C197="","",IF(AND($M197="",$P197=""),"",IF($M197="","B",IF(ABS($S197-1)&lt;=0.3,"A",IF(OR($S197&gt;2,$S197&lt;0.5),"C","B")))))</f>
        <v/>
      </c>
    </row>
    <row r="198" customFormat="false" ht="15" hidden="false" customHeight="true" outlineLevel="0" collapsed="false">
      <c r="H198" s="8" t="str">
        <f aca="false">IF(C198="","",IF(C198&lt;1,"yes","no"))</f>
        <v/>
      </c>
      <c r="I198" s="8" t="str">
        <f aca="false">IF(C198="","",IF(C198&lt;2.6,"r75",IF(C198&lt;5.2,"r110",IF(C198&lt;9.9,"r150",IF(C198&lt;19.8,"r210","r300")))))</f>
        <v/>
      </c>
      <c r="M198" s="8" t="str">
        <f aca="false">IF($A198="","",IFERROR(IF(INDEX(O1_Community_Attributes!$V$1:$V$500,MATCH($A198,O1_Community_Attributes!$A$1:$A$500,0))="","",INDEX(O1_Community_Attributes!$V$1:$V$500,MATCH($A198,O1_Community_Attributes!$A$1:$A$500,0))),""))</f>
        <v/>
      </c>
      <c r="N198" s="8" t="str">
        <f aca="false">IF($A198="","",IFERROR(IF(INDEX(O1_Community_Attributes!$W$1:$W$500,MATCH($A198,O1_Community_Attributes!$A$1:$A$500,0))="","",INDEX(O1_Community_Attributes!$W$1:$W$500,MATCH($A198,O1_Community_Attributes!$A$1:$A$500,0))),""))</f>
        <v/>
      </c>
      <c r="O198" s="8" t="str">
        <f aca="false">IF($A198="","",IFERROR(IF(INDEX(O1_Community_Attributes!$X$1:$X$500,MATCH($A198,O1_Community_Attributes!$A$1:$A$500,0))="","",INDEX(O1_Community_Attributes!$X$1:$X$500,MATCH($A198,O1_Community_Attributes!$A$1:$A$500,0))),""))</f>
        <v/>
      </c>
      <c r="P198" s="8" t="str">
        <f aca="false">IF($A198="","",IFERROR(IF(INDEX(O1_Community_Attributes!$Y$1:$Y$500,MATCH($A198,O1_Community_Attributes!$A$1:$A$500,0))="","",INDEX(O1_Community_Attributes!$Y$1:$Y$500,MATCH($A198,O1_Community_Attributes!$A$1:$A$500,0))),""))</f>
        <v/>
      </c>
      <c r="Q198" s="8" t="str">
        <f aca="false">IF($A198="","",IFERROR(IF(INDEX(O1_Community_Attributes!$Z$1:$Z$500,MATCH($A198,O1_Community_Attributes!$A$1:$A$500,0))="","",INDEX(O1_Community_Attributes!$Z$1:$Z$500,MATCH($A198,O1_Community_Attributes!$A$1:$A$500,0))),""))</f>
        <v/>
      </c>
      <c r="R198" s="8" t="str">
        <f aca="false">IF($A198="","",IFERROR(IF(INDEX(O1_Community_Attributes!$BK$1:$BK$500,MATCH($A198,O1_Community_Attributes!$A$1:$A$500,0))="","",INDEX(O1_Community_Attributes!$BK$1:$BK$500,MATCH($A198,O1_Community_Attributes!$A$1:$A$500,0))),""))</f>
        <v/>
      </c>
      <c r="S198" s="8" t="str">
        <f aca="false">IF(OR($C198="",$M198=""),"",$M198/$C198)</f>
        <v/>
      </c>
      <c r="T198" s="8" t="str">
        <f aca="false">IF($C198="","",IF(AND($M198="",$P198=""),"",IF($M198="","B",IF(ABS($S198-1)&lt;=0.3,"A",IF(OR($S198&gt;2,$S198&lt;0.5),"C","B")))))</f>
        <v/>
      </c>
    </row>
    <row r="199" customFormat="false" ht="15" hidden="false" customHeight="true" outlineLevel="0" collapsed="false">
      <c r="H199" s="8" t="str">
        <f aca="false">IF(C199="","",IF(C199&lt;1,"yes","no"))</f>
        <v/>
      </c>
      <c r="I199" s="8" t="str">
        <f aca="false">IF(C199="","",IF(C199&lt;2.6,"r75",IF(C199&lt;5.2,"r110",IF(C199&lt;9.9,"r150",IF(C199&lt;19.8,"r210","r300")))))</f>
        <v/>
      </c>
      <c r="M199" s="8" t="str">
        <f aca="false">IF($A199="","",IFERROR(IF(INDEX(O1_Community_Attributes!$V$1:$V$500,MATCH($A199,O1_Community_Attributes!$A$1:$A$500,0))="","",INDEX(O1_Community_Attributes!$V$1:$V$500,MATCH($A199,O1_Community_Attributes!$A$1:$A$500,0))),""))</f>
        <v/>
      </c>
      <c r="N199" s="8" t="str">
        <f aca="false">IF($A199="","",IFERROR(IF(INDEX(O1_Community_Attributes!$W$1:$W$500,MATCH($A199,O1_Community_Attributes!$A$1:$A$500,0))="","",INDEX(O1_Community_Attributes!$W$1:$W$500,MATCH($A199,O1_Community_Attributes!$A$1:$A$500,0))),""))</f>
        <v/>
      </c>
      <c r="O199" s="8" t="str">
        <f aca="false">IF($A199="","",IFERROR(IF(INDEX(O1_Community_Attributes!$X$1:$X$500,MATCH($A199,O1_Community_Attributes!$A$1:$A$500,0))="","",INDEX(O1_Community_Attributes!$X$1:$X$500,MATCH($A199,O1_Community_Attributes!$A$1:$A$500,0))),""))</f>
        <v/>
      </c>
      <c r="P199" s="8" t="str">
        <f aca="false">IF($A199="","",IFERROR(IF(INDEX(O1_Community_Attributes!$Y$1:$Y$500,MATCH($A199,O1_Community_Attributes!$A$1:$A$500,0))="","",INDEX(O1_Community_Attributes!$Y$1:$Y$500,MATCH($A199,O1_Community_Attributes!$A$1:$A$500,0))),""))</f>
        <v/>
      </c>
      <c r="Q199" s="8" t="str">
        <f aca="false">IF($A199="","",IFERROR(IF(INDEX(O1_Community_Attributes!$Z$1:$Z$500,MATCH($A199,O1_Community_Attributes!$A$1:$A$500,0))="","",INDEX(O1_Community_Attributes!$Z$1:$Z$500,MATCH($A199,O1_Community_Attributes!$A$1:$A$500,0))),""))</f>
        <v/>
      </c>
      <c r="R199" s="8" t="str">
        <f aca="false">IF($A199="","",IFERROR(IF(INDEX(O1_Community_Attributes!$BK$1:$BK$500,MATCH($A199,O1_Community_Attributes!$A$1:$A$500,0))="","",INDEX(O1_Community_Attributes!$BK$1:$BK$500,MATCH($A199,O1_Community_Attributes!$A$1:$A$500,0))),""))</f>
        <v/>
      </c>
      <c r="S199" s="8" t="str">
        <f aca="false">IF(OR($C199="",$M199=""),"",$M199/$C199)</f>
        <v/>
      </c>
      <c r="T199" s="8" t="str">
        <f aca="false">IF($C199="","",IF(AND($M199="",$P199=""),"",IF($M199="","B",IF(ABS($S199-1)&lt;=0.3,"A",IF(OR($S199&gt;2,$S199&lt;0.5),"C","B")))))</f>
        <v/>
      </c>
    </row>
    <row r="200" customFormat="false" ht="15" hidden="false" customHeight="true" outlineLevel="0" collapsed="false">
      <c r="H200" s="8" t="str">
        <f aca="false">IF(C200="","",IF(C200&lt;1,"yes","no"))</f>
        <v/>
      </c>
      <c r="I200" s="8" t="str">
        <f aca="false">IF(C200="","",IF(C200&lt;2.6,"r75",IF(C200&lt;5.2,"r110",IF(C200&lt;9.9,"r150",IF(C200&lt;19.8,"r210","r300")))))</f>
        <v/>
      </c>
      <c r="M200" s="8" t="str">
        <f aca="false">IF($A200="","",IFERROR(IF(INDEX(O1_Community_Attributes!$V$1:$V$500,MATCH($A200,O1_Community_Attributes!$A$1:$A$500,0))="","",INDEX(O1_Community_Attributes!$V$1:$V$500,MATCH($A200,O1_Community_Attributes!$A$1:$A$500,0))),""))</f>
        <v/>
      </c>
      <c r="N200" s="8" t="str">
        <f aca="false">IF($A200="","",IFERROR(IF(INDEX(O1_Community_Attributes!$W$1:$W$500,MATCH($A200,O1_Community_Attributes!$A$1:$A$500,0))="","",INDEX(O1_Community_Attributes!$W$1:$W$500,MATCH($A200,O1_Community_Attributes!$A$1:$A$500,0))),""))</f>
        <v/>
      </c>
      <c r="O200" s="8" t="str">
        <f aca="false">IF($A200="","",IFERROR(IF(INDEX(O1_Community_Attributes!$X$1:$X$500,MATCH($A200,O1_Community_Attributes!$A$1:$A$500,0))="","",INDEX(O1_Community_Attributes!$X$1:$X$500,MATCH($A200,O1_Community_Attributes!$A$1:$A$500,0))),""))</f>
        <v/>
      </c>
      <c r="P200" s="8" t="str">
        <f aca="false">IF($A200="","",IFERROR(IF(INDEX(O1_Community_Attributes!$Y$1:$Y$500,MATCH($A200,O1_Community_Attributes!$A$1:$A$500,0))="","",INDEX(O1_Community_Attributes!$Y$1:$Y$500,MATCH($A200,O1_Community_Attributes!$A$1:$A$500,0))),""))</f>
        <v/>
      </c>
      <c r="Q200" s="8" t="str">
        <f aca="false">IF($A200="","",IFERROR(IF(INDEX(O1_Community_Attributes!$Z$1:$Z$500,MATCH($A200,O1_Community_Attributes!$A$1:$A$500,0))="","",INDEX(O1_Community_Attributes!$Z$1:$Z$500,MATCH($A200,O1_Community_Attributes!$A$1:$A$500,0))),""))</f>
        <v/>
      </c>
      <c r="R200" s="8" t="str">
        <f aca="false">IF($A200="","",IFERROR(IF(INDEX(O1_Community_Attributes!$BK$1:$BK$500,MATCH($A200,O1_Community_Attributes!$A$1:$A$500,0))="","",INDEX(O1_Community_Attributes!$BK$1:$BK$500,MATCH($A200,O1_Community_Attributes!$A$1:$A$500,0))),""))</f>
        <v/>
      </c>
      <c r="S200" s="8" t="str">
        <f aca="false">IF(OR($C200="",$M200=""),"",$M200/$C200)</f>
        <v/>
      </c>
      <c r="T200" s="8" t="str">
        <f aca="false">IF($C200="","",IF(AND($M200="",$P200=""),"",IF($M200="","B",IF(ABS($S200-1)&lt;=0.3,"A",IF(OR($S200&gt;2,$S200&lt;0.5),"C","B")))))</f>
        <v/>
      </c>
    </row>
    <row r="201" customFormat="false" ht="15" hidden="false" customHeight="true" outlineLevel="0" collapsed="false">
      <c r="H201" s="8" t="str">
        <f aca="false">IF(C201="","",IF(C201&lt;1,"yes","no"))</f>
        <v/>
      </c>
      <c r="I201" s="8" t="str">
        <f aca="false">IF(C201="","",IF(C201&lt;2.6,"r75",IF(C201&lt;5.2,"r110",IF(C201&lt;9.9,"r150",IF(C201&lt;19.8,"r210","r300")))))</f>
        <v/>
      </c>
      <c r="M201" s="8" t="str">
        <f aca="false">IF($A201="","",IFERROR(IF(INDEX(O1_Community_Attributes!$V$1:$V$500,MATCH($A201,O1_Community_Attributes!$A$1:$A$500,0))="","",INDEX(O1_Community_Attributes!$V$1:$V$500,MATCH($A201,O1_Community_Attributes!$A$1:$A$500,0))),""))</f>
        <v/>
      </c>
      <c r="N201" s="8" t="str">
        <f aca="false">IF($A201="","",IFERROR(IF(INDEX(O1_Community_Attributes!$W$1:$W$500,MATCH($A201,O1_Community_Attributes!$A$1:$A$500,0))="","",INDEX(O1_Community_Attributes!$W$1:$W$500,MATCH($A201,O1_Community_Attributes!$A$1:$A$500,0))),""))</f>
        <v/>
      </c>
      <c r="O201" s="8" t="str">
        <f aca="false">IF($A201="","",IFERROR(IF(INDEX(O1_Community_Attributes!$X$1:$X$500,MATCH($A201,O1_Community_Attributes!$A$1:$A$500,0))="","",INDEX(O1_Community_Attributes!$X$1:$X$500,MATCH($A201,O1_Community_Attributes!$A$1:$A$500,0))),""))</f>
        <v/>
      </c>
      <c r="P201" s="8" t="str">
        <f aca="false">IF($A201="","",IFERROR(IF(INDEX(O1_Community_Attributes!$Y$1:$Y$500,MATCH($A201,O1_Community_Attributes!$A$1:$A$500,0))="","",INDEX(O1_Community_Attributes!$Y$1:$Y$500,MATCH($A201,O1_Community_Attributes!$A$1:$A$500,0))),""))</f>
        <v/>
      </c>
      <c r="Q201" s="8" t="str">
        <f aca="false">IF($A201="","",IFERROR(IF(INDEX(O1_Community_Attributes!$Z$1:$Z$500,MATCH($A201,O1_Community_Attributes!$A$1:$A$500,0))="","",INDEX(O1_Community_Attributes!$Z$1:$Z$500,MATCH($A201,O1_Community_Attributes!$A$1:$A$500,0))),""))</f>
        <v/>
      </c>
      <c r="R201" s="8" t="str">
        <f aca="false">IF($A201="","",IFERROR(IF(INDEX(O1_Community_Attributes!$BK$1:$BK$500,MATCH($A201,O1_Community_Attributes!$A$1:$A$500,0))="","",INDEX(O1_Community_Attributes!$BK$1:$BK$500,MATCH($A201,O1_Community_Attributes!$A$1:$A$500,0))),""))</f>
        <v/>
      </c>
      <c r="S201" s="8" t="str">
        <f aca="false">IF(OR($C201="",$M201=""),"",$M201/$C201)</f>
        <v/>
      </c>
      <c r="T201" s="8" t="str">
        <f aca="false">IF($C201="","",IF(AND($M201="",$P201=""),"",IF($M201="","B",IF(ABS($S201-1)&lt;=0.3,"A",IF(OR($S201&gt;2,$S201&lt;0.5),"C","B")))))</f>
        <v/>
      </c>
    </row>
    <row r="202" customFormat="false" ht="15" hidden="false" customHeight="true" outlineLevel="0" collapsed="false">
      <c r="H202" s="8" t="str">
        <f aca="false">IF(C202="","",IF(C202&lt;1,"yes","no"))</f>
        <v/>
      </c>
      <c r="I202" s="8" t="str">
        <f aca="false">IF(C202="","",IF(C202&lt;2.6,"r75",IF(C202&lt;5.2,"r110",IF(C202&lt;9.9,"r150",IF(C202&lt;19.8,"r210","r300")))))</f>
        <v/>
      </c>
      <c r="M202" s="8" t="str">
        <f aca="false">IF($A202="","",IFERROR(IF(INDEX(O1_Community_Attributes!$V$1:$V$500,MATCH($A202,O1_Community_Attributes!$A$1:$A$500,0))="","",INDEX(O1_Community_Attributes!$V$1:$V$500,MATCH($A202,O1_Community_Attributes!$A$1:$A$500,0))),""))</f>
        <v/>
      </c>
      <c r="N202" s="8" t="str">
        <f aca="false">IF($A202="","",IFERROR(IF(INDEX(O1_Community_Attributes!$W$1:$W$500,MATCH($A202,O1_Community_Attributes!$A$1:$A$500,0))="","",INDEX(O1_Community_Attributes!$W$1:$W$500,MATCH($A202,O1_Community_Attributes!$A$1:$A$500,0))),""))</f>
        <v/>
      </c>
      <c r="O202" s="8" t="str">
        <f aca="false">IF($A202="","",IFERROR(IF(INDEX(O1_Community_Attributes!$X$1:$X$500,MATCH($A202,O1_Community_Attributes!$A$1:$A$500,0))="","",INDEX(O1_Community_Attributes!$X$1:$X$500,MATCH($A202,O1_Community_Attributes!$A$1:$A$500,0))),""))</f>
        <v/>
      </c>
      <c r="P202" s="8" t="str">
        <f aca="false">IF($A202="","",IFERROR(IF(INDEX(O1_Community_Attributes!$Y$1:$Y$500,MATCH($A202,O1_Community_Attributes!$A$1:$A$500,0))="","",INDEX(O1_Community_Attributes!$Y$1:$Y$500,MATCH($A202,O1_Community_Attributes!$A$1:$A$500,0))),""))</f>
        <v/>
      </c>
      <c r="Q202" s="8" t="str">
        <f aca="false">IF($A202="","",IFERROR(IF(INDEX(O1_Community_Attributes!$Z$1:$Z$500,MATCH($A202,O1_Community_Attributes!$A$1:$A$500,0))="","",INDEX(O1_Community_Attributes!$Z$1:$Z$500,MATCH($A202,O1_Community_Attributes!$A$1:$A$500,0))),""))</f>
        <v/>
      </c>
      <c r="R202" s="8" t="str">
        <f aca="false">IF($A202="","",IFERROR(IF(INDEX(O1_Community_Attributes!$BK$1:$BK$500,MATCH($A202,O1_Community_Attributes!$A$1:$A$500,0))="","",INDEX(O1_Community_Attributes!$BK$1:$BK$500,MATCH($A202,O1_Community_Attributes!$A$1:$A$500,0))),""))</f>
        <v/>
      </c>
      <c r="S202" s="8" t="str">
        <f aca="false">IF(OR($C202="",$M202=""),"",$M202/$C202)</f>
        <v/>
      </c>
      <c r="T202" s="8" t="str">
        <f aca="false">IF($C202="","",IF(AND($M202="",$P202=""),"",IF($M202="","B",IF(ABS($S202-1)&lt;=0.3,"A",IF(OR($S202&gt;2,$S202&lt;0.5),"C","B")))))</f>
        <v/>
      </c>
    </row>
    <row r="203" customFormat="false" ht="15" hidden="false" customHeight="true" outlineLevel="0" collapsed="false">
      <c r="H203" s="8" t="str">
        <f aca="false">IF(C203="","",IF(C203&lt;1,"yes","no"))</f>
        <v/>
      </c>
      <c r="I203" s="8" t="str">
        <f aca="false">IF(C203="","",IF(C203&lt;2.6,"r75",IF(C203&lt;5.2,"r110",IF(C203&lt;9.9,"r150",IF(C203&lt;19.8,"r210","r300")))))</f>
        <v/>
      </c>
      <c r="M203" s="8" t="str">
        <f aca="false">IF($A203="","",IFERROR(IF(INDEX(O1_Community_Attributes!$V$1:$V$500,MATCH($A203,O1_Community_Attributes!$A$1:$A$500,0))="","",INDEX(O1_Community_Attributes!$V$1:$V$500,MATCH($A203,O1_Community_Attributes!$A$1:$A$500,0))),""))</f>
        <v/>
      </c>
      <c r="N203" s="8" t="str">
        <f aca="false">IF($A203="","",IFERROR(IF(INDEX(O1_Community_Attributes!$W$1:$W$500,MATCH($A203,O1_Community_Attributes!$A$1:$A$500,0))="","",INDEX(O1_Community_Attributes!$W$1:$W$500,MATCH($A203,O1_Community_Attributes!$A$1:$A$500,0))),""))</f>
        <v/>
      </c>
      <c r="O203" s="8" t="str">
        <f aca="false">IF($A203="","",IFERROR(IF(INDEX(O1_Community_Attributes!$X$1:$X$500,MATCH($A203,O1_Community_Attributes!$A$1:$A$500,0))="","",INDEX(O1_Community_Attributes!$X$1:$X$500,MATCH($A203,O1_Community_Attributes!$A$1:$A$500,0))),""))</f>
        <v/>
      </c>
      <c r="P203" s="8" t="str">
        <f aca="false">IF($A203="","",IFERROR(IF(INDEX(O1_Community_Attributes!$Y$1:$Y$500,MATCH($A203,O1_Community_Attributes!$A$1:$A$500,0))="","",INDEX(O1_Community_Attributes!$Y$1:$Y$500,MATCH($A203,O1_Community_Attributes!$A$1:$A$500,0))),""))</f>
        <v/>
      </c>
      <c r="Q203" s="8" t="str">
        <f aca="false">IF($A203="","",IFERROR(IF(INDEX(O1_Community_Attributes!$Z$1:$Z$500,MATCH($A203,O1_Community_Attributes!$A$1:$A$500,0))="","",INDEX(O1_Community_Attributes!$Z$1:$Z$500,MATCH($A203,O1_Community_Attributes!$A$1:$A$500,0))),""))</f>
        <v/>
      </c>
      <c r="R203" s="8" t="str">
        <f aca="false">IF($A203="","",IFERROR(IF(INDEX(O1_Community_Attributes!$BK$1:$BK$500,MATCH($A203,O1_Community_Attributes!$A$1:$A$500,0))="","",INDEX(O1_Community_Attributes!$BK$1:$BK$500,MATCH($A203,O1_Community_Attributes!$A$1:$A$500,0))),""))</f>
        <v/>
      </c>
      <c r="S203" s="8" t="str">
        <f aca="false">IF(OR($C203="",$M203=""),"",$M203/$C203)</f>
        <v/>
      </c>
      <c r="T203" s="8" t="str">
        <f aca="false">IF($C203="","",IF(AND($M203="",$P203=""),"",IF($M203="","B",IF(ABS($S203-1)&lt;=0.3,"A",IF(OR($S203&gt;2,$S203&lt;0.5),"C","B")))))</f>
        <v/>
      </c>
    </row>
    <row r="204" customFormat="false" ht="15" hidden="false" customHeight="true" outlineLevel="0" collapsed="false">
      <c r="H204" s="8" t="str">
        <f aca="false">IF(C204="","",IF(C204&lt;1,"yes","no"))</f>
        <v/>
      </c>
      <c r="I204" s="8" t="str">
        <f aca="false">IF(C204="","",IF(C204&lt;2.6,"r75",IF(C204&lt;5.2,"r110",IF(C204&lt;9.9,"r150",IF(C204&lt;19.8,"r210","r300")))))</f>
        <v/>
      </c>
      <c r="M204" s="8" t="str">
        <f aca="false">IF($A204="","",IFERROR(IF(INDEX(O1_Community_Attributes!$V$1:$V$500,MATCH($A204,O1_Community_Attributes!$A$1:$A$500,0))="","",INDEX(O1_Community_Attributes!$V$1:$V$500,MATCH($A204,O1_Community_Attributes!$A$1:$A$500,0))),""))</f>
        <v/>
      </c>
      <c r="N204" s="8" t="str">
        <f aca="false">IF($A204="","",IFERROR(IF(INDEX(O1_Community_Attributes!$W$1:$W$500,MATCH($A204,O1_Community_Attributes!$A$1:$A$500,0))="","",INDEX(O1_Community_Attributes!$W$1:$W$500,MATCH($A204,O1_Community_Attributes!$A$1:$A$500,0))),""))</f>
        <v/>
      </c>
      <c r="O204" s="8" t="str">
        <f aca="false">IF($A204="","",IFERROR(IF(INDEX(O1_Community_Attributes!$X$1:$X$500,MATCH($A204,O1_Community_Attributes!$A$1:$A$500,0))="","",INDEX(O1_Community_Attributes!$X$1:$X$500,MATCH($A204,O1_Community_Attributes!$A$1:$A$500,0))),""))</f>
        <v/>
      </c>
      <c r="P204" s="8" t="str">
        <f aca="false">IF($A204="","",IFERROR(IF(INDEX(O1_Community_Attributes!$Y$1:$Y$500,MATCH($A204,O1_Community_Attributes!$A$1:$A$500,0))="","",INDEX(O1_Community_Attributes!$Y$1:$Y$500,MATCH($A204,O1_Community_Attributes!$A$1:$A$500,0))),""))</f>
        <v/>
      </c>
      <c r="Q204" s="8" t="str">
        <f aca="false">IF($A204="","",IFERROR(IF(INDEX(O1_Community_Attributes!$Z$1:$Z$500,MATCH($A204,O1_Community_Attributes!$A$1:$A$500,0))="","",INDEX(O1_Community_Attributes!$Z$1:$Z$500,MATCH($A204,O1_Community_Attributes!$A$1:$A$500,0))),""))</f>
        <v/>
      </c>
      <c r="R204" s="8" t="str">
        <f aca="false">IF($A204="","",IFERROR(IF(INDEX(O1_Community_Attributes!$BK$1:$BK$500,MATCH($A204,O1_Community_Attributes!$A$1:$A$500,0))="","",INDEX(O1_Community_Attributes!$BK$1:$BK$500,MATCH($A204,O1_Community_Attributes!$A$1:$A$500,0))),""))</f>
        <v/>
      </c>
      <c r="S204" s="8" t="str">
        <f aca="false">IF(OR($C204="",$M204=""),"",$M204/$C204)</f>
        <v/>
      </c>
      <c r="T204" s="8" t="str">
        <f aca="false">IF($C204="","",IF(AND($M204="",$P204=""),"",IF($M204="","B",IF(ABS($S204-1)&lt;=0.3,"A",IF(OR($S204&gt;2,$S204&lt;0.5),"C","B")))))</f>
        <v/>
      </c>
    </row>
    <row r="205" customFormat="false" ht="15" hidden="false" customHeight="true" outlineLevel="0" collapsed="false">
      <c r="H205" s="8" t="str">
        <f aca="false">IF(C205="","",IF(C205&lt;1,"yes","no"))</f>
        <v/>
      </c>
      <c r="I205" s="8" t="str">
        <f aca="false">IF(C205="","",IF(C205&lt;2.6,"r75",IF(C205&lt;5.2,"r110",IF(C205&lt;9.9,"r150",IF(C205&lt;19.8,"r210","r300")))))</f>
        <v/>
      </c>
      <c r="M205" s="8" t="str">
        <f aca="false">IF($A205="","",IFERROR(IF(INDEX(O1_Community_Attributes!$V$1:$V$500,MATCH($A205,O1_Community_Attributes!$A$1:$A$500,0))="","",INDEX(O1_Community_Attributes!$V$1:$V$500,MATCH($A205,O1_Community_Attributes!$A$1:$A$500,0))),""))</f>
        <v/>
      </c>
      <c r="N205" s="8" t="str">
        <f aca="false">IF($A205="","",IFERROR(IF(INDEX(O1_Community_Attributes!$W$1:$W$500,MATCH($A205,O1_Community_Attributes!$A$1:$A$500,0))="","",INDEX(O1_Community_Attributes!$W$1:$W$500,MATCH($A205,O1_Community_Attributes!$A$1:$A$500,0))),""))</f>
        <v/>
      </c>
      <c r="O205" s="8" t="str">
        <f aca="false">IF($A205="","",IFERROR(IF(INDEX(O1_Community_Attributes!$X$1:$X$500,MATCH($A205,O1_Community_Attributes!$A$1:$A$500,0))="","",INDEX(O1_Community_Attributes!$X$1:$X$500,MATCH($A205,O1_Community_Attributes!$A$1:$A$500,0))),""))</f>
        <v/>
      </c>
      <c r="P205" s="8" t="str">
        <f aca="false">IF($A205="","",IFERROR(IF(INDEX(O1_Community_Attributes!$Y$1:$Y$500,MATCH($A205,O1_Community_Attributes!$A$1:$A$500,0))="","",INDEX(O1_Community_Attributes!$Y$1:$Y$500,MATCH($A205,O1_Community_Attributes!$A$1:$A$500,0))),""))</f>
        <v/>
      </c>
      <c r="Q205" s="8" t="str">
        <f aca="false">IF($A205="","",IFERROR(IF(INDEX(O1_Community_Attributes!$Z$1:$Z$500,MATCH($A205,O1_Community_Attributes!$A$1:$A$500,0))="","",INDEX(O1_Community_Attributes!$Z$1:$Z$500,MATCH($A205,O1_Community_Attributes!$A$1:$A$500,0))),""))</f>
        <v/>
      </c>
      <c r="R205" s="8" t="str">
        <f aca="false">IF($A205="","",IFERROR(IF(INDEX(O1_Community_Attributes!$BK$1:$BK$500,MATCH($A205,O1_Community_Attributes!$A$1:$A$500,0))="","",INDEX(O1_Community_Attributes!$BK$1:$BK$500,MATCH($A205,O1_Community_Attributes!$A$1:$A$500,0))),""))</f>
        <v/>
      </c>
      <c r="S205" s="8" t="str">
        <f aca="false">IF(OR($C205="",$M205=""),"",$M205/$C205)</f>
        <v/>
      </c>
      <c r="T205" s="8" t="str">
        <f aca="false">IF($C205="","",IF(AND($M205="",$P205=""),"",IF($M205="","B",IF(ABS($S205-1)&lt;=0.3,"A",IF(OR($S205&gt;2,$S205&lt;0.5),"C","B")))))</f>
        <v/>
      </c>
    </row>
    <row r="206" customFormat="false" ht="15" hidden="false" customHeight="true" outlineLevel="0" collapsed="false">
      <c r="H206" s="8" t="str">
        <f aca="false">IF(C206="","",IF(C206&lt;1,"yes","no"))</f>
        <v/>
      </c>
      <c r="I206" s="8" t="str">
        <f aca="false">IF(C206="","",IF(C206&lt;2.6,"r75",IF(C206&lt;5.2,"r110",IF(C206&lt;9.9,"r150",IF(C206&lt;19.8,"r210","r300")))))</f>
        <v/>
      </c>
      <c r="M206" s="8" t="str">
        <f aca="false">IF($A206="","",IFERROR(IF(INDEX(O1_Community_Attributes!$V$1:$V$500,MATCH($A206,O1_Community_Attributes!$A$1:$A$500,0))="","",INDEX(O1_Community_Attributes!$V$1:$V$500,MATCH($A206,O1_Community_Attributes!$A$1:$A$500,0))),""))</f>
        <v/>
      </c>
      <c r="N206" s="8" t="str">
        <f aca="false">IF($A206="","",IFERROR(IF(INDEX(O1_Community_Attributes!$W$1:$W$500,MATCH($A206,O1_Community_Attributes!$A$1:$A$500,0))="","",INDEX(O1_Community_Attributes!$W$1:$W$500,MATCH($A206,O1_Community_Attributes!$A$1:$A$500,0))),""))</f>
        <v/>
      </c>
      <c r="O206" s="8" t="str">
        <f aca="false">IF($A206="","",IFERROR(IF(INDEX(O1_Community_Attributes!$X$1:$X$500,MATCH($A206,O1_Community_Attributes!$A$1:$A$500,0))="","",INDEX(O1_Community_Attributes!$X$1:$X$500,MATCH($A206,O1_Community_Attributes!$A$1:$A$500,0))),""))</f>
        <v/>
      </c>
      <c r="P206" s="8" t="str">
        <f aca="false">IF($A206="","",IFERROR(IF(INDEX(O1_Community_Attributes!$Y$1:$Y$500,MATCH($A206,O1_Community_Attributes!$A$1:$A$500,0))="","",INDEX(O1_Community_Attributes!$Y$1:$Y$500,MATCH($A206,O1_Community_Attributes!$A$1:$A$500,0))),""))</f>
        <v/>
      </c>
      <c r="Q206" s="8" t="str">
        <f aca="false">IF($A206="","",IFERROR(IF(INDEX(O1_Community_Attributes!$Z$1:$Z$500,MATCH($A206,O1_Community_Attributes!$A$1:$A$500,0))="","",INDEX(O1_Community_Attributes!$Z$1:$Z$500,MATCH($A206,O1_Community_Attributes!$A$1:$A$500,0))),""))</f>
        <v/>
      </c>
      <c r="R206" s="8" t="str">
        <f aca="false">IF($A206="","",IFERROR(IF(INDEX(O1_Community_Attributes!$BK$1:$BK$500,MATCH($A206,O1_Community_Attributes!$A$1:$A$500,0))="","",INDEX(O1_Community_Attributes!$BK$1:$BK$500,MATCH($A206,O1_Community_Attributes!$A$1:$A$500,0))),""))</f>
        <v/>
      </c>
      <c r="S206" s="8" t="str">
        <f aca="false">IF(OR($C206="",$M206=""),"",$M206/$C206)</f>
        <v/>
      </c>
      <c r="T206" s="8" t="str">
        <f aca="false">IF($C206="","",IF(AND($M206="",$P206=""),"",IF($M206="","B",IF(ABS($S206-1)&lt;=0.3,"A",IF(OR($S206&gt;2,$S206&lt;0.5),"C","B")))))</f>
        <v/>
      </c>
    </row>
    <row r="207" customFormat="false" ht="15" hidden="false" customHeight="true" outlineLevel="0" collapsed="false">
      <c r="H207" s="8" t="str">
        <f aca="false">IF(C207="","",IF(C207&lt;1,"yes","no"))</f>
        <v/>
      </c>
      <c r="I207" s="8" t="str">
        <f aca="false">IF(C207="","",IF(C207&lt;2.6,"r75",IF(C207&lt;5.2,"r110",IF(C207&lt;9.9,"r150",IF(C207&lt;19.8,"r210","r300")))))</f>
        <v/>
      </c>
      <c r="M207" s="8" t="str">
        <f aca="false">IF($A207="","",IFERROR(IF(INDEX(O1_Community_Attributes!$V$1:$V$500,MATCH($A207,O1_Community_Attributes!$A$1:$A$500,0))="","",INDEX(O1_Community_Attributes!$V$1:$V$500,MATCH($A207,O1_Community_Attributes!$A$1:$A$500,0))),""))</f>
        <v/>
      </c>
      <c r="N207" s="8" t="str">
        <f aca="false">IF($A207="","",IFERROR(IF(INDEX(O1_Community_Attributes!$W$1:$W$500,MATCH($A207,O1_Community_Attributes!$A$1:$A$500,0))="","",INDEX(O1_Community_Attributes!$W$1:$W$500,MATCH($A207,O1_Community_Attributes!$A$1:$A$500,0))),""))</f>
        <v/>
      </c>
      <c r="O207" s="8" t="str">
        <f aca="false">IF($A207="","",IFERROR(IF(INDEX(O1_Community_Attributes!$X$1:$X$500,MATCH($A207,O1_Community_Attributes!$A$1:$A$500,0))="","",INDEX(O1_Community_Attributes!$X$1:$X$500,MATCH($A207,O1_Community_Attributes!$A$1:$A$500,0))),""))</f>
        <v/>
      </c>
      <c r="P207" s="8" t="str">
        <f aca="false">IF($A207="","",IFERROR(IF(INDEX(O1_Community_Attributes!$Y$1:$Y$500,MATCH($A207,O1_Community_Attributes!$A$1:$A$500,0))="","",INDEX(O1_Community_Attributes!$Y$1:$Y$500,MATCH($A207,O1_Community_Attributes!$A$1:$A$500,0))),""))</f>
        <v/>
      </c>
      <c r="Q207" s="8" t="str">
        <f aca="false">IF($A207="","",IFERROR(IF(INDEX(O1_Community_Attributes!$Z$1:$Z$500,MATCH($A207,O1_Community_Attributes!$A$1:$A$500,0))="","",INDEX(O1_Community_Attributes!$Z$1:$Z$500,MATCH($A207,O1_Community_Attributes!$A$1:$A$500,0))),""))</f>
        <v/>
      </c>
      <c r="R207" s="8" t="str">
        <f aca="false">IF($A207="","",IFERROR(IF(INDEX(O1_Community_Attributes!$BK$1:$BK$500,MATCH($A207,O1_Community_Attributes!$A$1:$A$500,0))="","",INDEX(O1_Community_Attributes!$BK$1:$BK$500,MATCH($A207,O1_Community_Attributes!$A$1:$A$500,0))),""))</f>
        <v/>
      </c>
      <c r="S207" s="8" t="str">
        <f aca="false">IF(OR($C207="",$M207=""),"",$M207/$C207)</f>
        <v/>
      </c>
      <c r="T207" s="8" t="str">
        <f aca="false">IF($C207="","",IF(AND($M207="",$P207=""),"",IF($M207="","B",IF(ABS($S207-1)&lt;=0.3,"A",IF(OR($S207&gt;2,$S207&lt;0.5),"C","B")))))</f>
        <v/>
      </c>
    </row>
    <row r="208" customFormat="false" ht="15" hidden="false" customHeight="true" outlineLevel="0" collapsed="false">
      <c r="H208" s="8" t="str">
        <f aca="false">IF(C208="","",IF(C208&lt;1,"yes","no"))</f>
        <v/>
      </c>
      <c r="I208" s="8" t="str">
        <f aca="false">IF(C208="","",IF(C208&lt;2.6,"r75",IF(C208&lt;5.2,"r110",IF(C208&lt;9.9,"r150",IF(C208&lt;19.8,"r210","r300")))))</f>
        <v/>
      </c>
      <c r="M208" s="8" t="str">
        <f aca="false">IF($A208="","",IFERROR(IF(INDEX(O1_Community_Attributes!$V$1:$V$500,MATCH($A208,O1_Community_Attributes!$A$1:$A$500,0))="","",INDEX(O1_Community_Attributes!$V$1:$V$500,MATCH($A208,O1_Community_Attributes!$A$1:$A$500,0))),""))</f>
        <v/>
      </c>
      <c r="N208" s="8" t="str">
        <f aca="false">IF($A208="","",IFERROR(IF(INDEX(O1_Community_Attributes!$W$1:$W$500,MATCH($A208,O1_Community_Attributes!$A$1:$A$500,0))="","",INDEX(O1_Community_Attributes!$W$1:$W$500,MATCH($A208,O1_Community_Attributes!$A$1:$A$500,0))),""))</f>
        <v/>
      </c>
      <c r="O208" s="8" t="str">
        <f aca="false">IF($A208="","",IFERROR(IF(INDEX(O1_Community_Attributes!$X$1:$X$500,MATCH($A208,O1_Community_Attributes!$A$1:$A$500,0))="","",INDEX(O1_Community_Attributes!$X$1:$X$500,MATCH($A208,O1_Community_Attributes!$A$1:$A$500,0))),""))</f>
        <v/>
      </c>
      <c r="P208" s="8" t="str">
        <f aca="false">IF($A208="","",IFERROR(IF(INDEX(O1_Community_Attributes!$Y$1:$Y$500,MATCH($A208,O1_Community_Attributes!$A$1:$A$500,0))="","",INDEX(O1_Community_Attributes!$Y$1:$Y$500,MATCH($A208,O1_Community_Attributes!$A$1:$A$500,0))),""))</f>
        <v/>
      </c>
      <c r="Q208" s="8" t="str">
        <f aca="false">IF($A208="","",IFERROR(IF(INDEX(O1_Community_Attributes!$Z$1:$Z$500,MATCH($A208,O1_Community_Attributes!$A$1:$A$500,0))="","",INDEX(O1_Community_Attributes!$Z$1:$Z$500,MATCH($A208,O1_Community_Attributes!$A$1:$A$500,0))),""))</f>
        <v/>
      </c>
      <c r="R208" s="8" t="str">
        <f aca="false">IF($A208="","",IFERROR(IF(INDEX(O1_Community_Attributes!$BK$1:$BK$500,MATCH($A208,O1_Community_Attributes!$A$1:$A$500,0))="","",INDEX(O1_Community_Attributes!$BK$1:$BK$500,MATCH($A208,O1_Community_Attributes!$A$1:$A$500,0))),""))</f>
        <v/>
      </c>
      <c r="S208" s="8" t="str">
        <f aca="false">IF(OR($C208="",$M208=""),"",$M208/$C208)</f>
        <v/>
      </c>
      <c r="T208" s="8" t="str">
        <f aca="false">IF($C208="","",IF(AND($M208="",$P208=""),"",IF($M208="","B",IF(ABS($S208-1)&lt;=0.3,"A",IF(OR($S208&gt;2,$S208&lt;0.5),"C","B")))))</f>
        <v/>
      </c>
    </row>
    <row r="209" customFormat="false" ht="15" hidden="false" customHeight="true" outlineLevel="0" collapsed="false">
      <c r="H209" s="8" t="str">
        <f aca="false">IF(C209="","",IF(C209&lt;1,"yes","no"))</f>
        <v/>
      </c>
      <c r="I209" s="8" t="str">
        <f aca="false">IF(C209="","",IF(C209&lt;2.6,"r75",IF(C209&lt;5.2,"r110",IF(C209&lt;9.9,"r150",IF(C209&lt;19.8,"r210","r300")))))</f>
        <v/>
      </c>
      <c r="M209" s="8" t="str">
        <f aca="false">IF($A209="","",IFERROR(IF(INDEX(O1_Community_Attributes!$V$1:$V$500,MATCH($A209,O1_Community_Attributes!$A$1:$A$500,0))="","",INDEX(O1_Community_Attributes!$V$1:$V$500,MATCH($A209,O1_Community_Attributes!$A$1:$A$500,0))),""))</f>
        <v/>
      </c>
      <c r="N209" s="8" t="str">
        <f aca="false">IF($A209="","",IFERROR(IF(INDEX(O1_Community_Attributes!$W$1:$W$500,MATCH($A209,O1_Community_Attributes!$A$1:$A$500,0))="","",INDEX(O1_Community_Attributes!$W$1:$W$500,MATCH($A209,O1_Community_Attributes!$A$1:$A$500,0))),""))</f>
        <v/>
      </c>
      <c r="O209" s="8" t="str">
        <f aca="false">IF($A209="","",IFERROR(IF(INDEX(O1_Community_Attributes!$X$1:$X$500,MATCH($A209,O1_Community_Attributes!$A$1:$A$500,0))="","",INDEX(O1_Community_Attributes!$X$1:$X$500,MATCH($A209,O1_Community_Attributes!$A$1:$A$500,0))),""))</f>
        <v/>
      </c>
      <c r="P209" s="8" t="str">
        <f aca="false">IF($A209="","",IFERROR(IF(INDEX(O1_Community_Attributes!$Y$1:$Y$500,MATCH($A209,O1_Community_Attributes!$A$1:$A$500,0))="","",INDEX(O1_Community_Attributes!$Y$1:$Y$500,MATCH($A209,O1_Community_Attributes!$A$1:$A$500,0))),""))</f>
        <v/>
      </c>
      <c r="Q209" s="8" t="str">
        <f aca="false">IF($A209="","",IFERROR(IF(INDEX(O1_Community_Attributes!$Z$1:$Z$500,MATCH($A209,O1_Community_Attributes!$A$1:$A$500,0))="","",INDEX(O1_Community_Attributes!$Z$1:$Z$500,MATCH($A209,O1_Community_Attributes!$A$1:$A$500,0))),""))</f>
        <v/>
      </c>
      <c r="R209" s="8" t="str">
        <f aca="false">IF($A209="","",IFERROR(IF(INDEX(O1_Community_Attributes!$BK$1:$BK$500,MATCH($A209,O1_Community_Attributes!$A$1:$A$500,0))="","",INDEX(O1_Community_Attributes!$BK$1:$BK$500,MATCH($A209,O1_Community_Attributes!$A$1:$A$500,0))),""))</f>
        <v/>
      </c>
      <c r="S209" s="8" t="str">
        <f aca="false">IF(OR($C209="",$M209=""),"",$M209/$C209)</f>
        <v/>
      </c>
      <c r="T209" s="8" t="str">
        <f aca="false">IF($C209="","",IF(AND($M209="",$P209=""),"",IF($M209="","B",IF(ABS($S209-1)&lt;=0.3,"A",IF(OR($S209&gt;2,$S209&lt;0.5),"C","B")))))</f>
        <v/>
      </c>
    </row>
    <row r="210" customFormat="false" ht="15" hidden="false" customHeight="true" outlineLevel="0" collapsed="false">
      <c r="H210" s="8" t="str">
        <f aca="false">IF(C210="","",IF(C210&lt;1,"yes","no"))</f>
        <v/>
      </c>
      <c r="I210" s="8" t="str">
        <f aca="false">IF(C210="","",IF(C210&lt;2.6,"r75",IF(C210&lt;5.2,"r110",IF(C210&lt;9.9,"r150",IF(C210&lt;19.8,"r210","r300")))))</f>
        <v/>
      </c>
      <c r="M210" s="8" t="str">
        <f aca="false">IF($A210="","",IFERROR(IF(INDEX(O1_Community_Attributes!$V$1:$V$500,MATCH($A210,O1_Community_Attributes!$A$1:$A$500,0))="","",INDEX(O1_Community_Attributes!$V$1:$V$500,MATCH($A210,O1_Community_Attributes!$A$1:$A$500,0))),""))</f>
        <v/>
      </c>
      <c r="N210" s="8" t="str">
        <f aca="false">IF($A210="","",IFERROR(IF(INDEX(O1_Community_Attributes!$W$1:$W$500,MATCH($A210,O1_Community_Attributes!$A$1:$A$500,0))="","",INDEX(O1_Community_Attributes!$W$1:$W$500,MATCH($A210,O1_Community_Attributes!$A$1:$A$500,0))),""))</f>
        <v/>
      </c>
      <c r="O210" s="8" t="str">
        <f aca="false">IF($A210="","",IFERROR(IF(INDEX(O1_Community_Attributes!$X$1:$X$500,MATCH($A210,O1_Community_Attributes!$A$1:$A$500,0))="","",INDEX(O1_Community_Attributes!$X$1:$X$500,MATCH($A210,O1_Community_Attributes!$A$1:$A$500,0))),""))</f>
        <v/>
      </c>
      <c r="P210" s="8" t="str">
        <f aca="false">IF($A210="","",IFERROR(IF(INDEX(O1_Community_Attributes!$Y$1:$Y$500,MATCH($A210,O1_Community_Attributes!$A$1:$A$500,0))="","",INDEX(O1_Community_Attributes!$Y$1:$Y$500,MATCH($A210,O1_Community_Attributes!$A$1:$A$500,0))),""))</f>
        <v/>
      </c>
      <c r="Q210" s="8" t="str">
        <f aca="false">IF($A210="","",IFERROR(IF(INDEX(O1_Community_Attributes!$Z$1:$Z$500,MATCH($A210,O1_Community_Attributes!$A$1:$A$500,0))="","",INDEX(O1_Community_Attributes!$Z$1:$Z$500,MATCH($A210,O1_Community_Attributes!$A$1:$A$500,0))),""))</f>
        <v/>
      </c>
      <c r="R210" s="8" t="str">
        <f aca="false">IF($A210="","",IFERROR(IF(INDEX(O1_Community_Attributes!$BK$1:$BK$500,MATCH($A210,O1_Community_Attributes!$A$1:$A$500,0))="","",INDEX(O1_Community_Attributes!$BK$1:$BK$500,MATCH($A210,O1_Community_Attributes!$A$1:$A$500,0))),""))</f>
        <v/>
      </c>
      <c r="S210" s="8" t="str">
        <f aca="false">IF(OR($C210="",$M210=""),"",$M210/$C210)</f>
        <v/>
      </c>
      <c r="T210" s="8" t="str">
        <f aca="false">IF($C210="","",IF(AND($M210="",$P210=""),"",IF($M210="","B",IF(ABS($S210-1)&lt;=0.3,"A",IF(OR($S210&gt;2,$S210&lt;0.5),"C","B")))))</f>
        <v/>
      </c>
    </row>
    <row r="211" customFormat="false" ht="15" hidden="false" customHeight="true" outlineLevel="0" collapsed="false">
      <c r="H211" s="8" t="str">
        <f aca="false">IF(C211="","",IF(C211&lt;1,"yes","no"))</f>
        <v/>
      </c>
      <c r="I211" s="8" t="str">
        <f aca="false">IF(C211="","",IF(C211&lt;2.6,"r75",IF(C211&lt;5.2,"r110",IF(C211&lt;9.9,"r150",IF(C211&lt;19.8,"r210","r300")))))</f>
        <v/>
      </c>
      <c r="M211" s="8" t="str">
        <f aca="false">IF($A211="","",IFERROR(IF(INDEX(O1_Community_Attributes!$V$1:$V$500,MATCH($A211,O1_Community_Attributes!$A$1:$A$500,0))="","",INDEX(O1_Community_Attributes!$V$1:$V$500,MATCH($A211,O1_Community_Attributes!$A$1:$A$500,0))),""))</f>
        <v/>
      </c>
      <c r="N211" s="8" t="str">
        <f aca="false">IF($A211="","",IFERROR(IF(INDEX(O1_Community_Attributes!$W$1:$W$500,MATCH($A211,O1_Community_Attributes!$A$1:$A$500,0))="","",INDEX(O1_Community_Attributes!$W$1:$W$500,MATCH($A211,O1_Community_Attributes!$A$1:$A$500,0))),""))</f>
        <v/>
      </c>
      <c r="O211" s="8" t="str">
        <f aca="false">IF($A211="","",IFERROR(IF(INDEX(O1_Community_Attributes!$X$1:$X$500,MATCH($A211,O1_Community_Attributes!$A$1:$A$500,0))="","",INDEX(O1_Community_Attributes!$X$1:$X$500,MATCH($A211,O1_Community_Attributes!$A$1:$A$500,0))),""))</f>
        <v/>
      </c>
      <c r="P211" s="8" t="str">
        <f aca="false">IF($A211="","",IFERROR(IF(INDEX(O1_Community_Attributes!$Y$1:$Y$500,MATCH($A211,O1_Community_Attributes!$A$1:$A$500,0))="","",INDEX(O1_Community_Attributes!$Y$1:$Y$500,MATCH($A211,O1_Community_Attributes!$A$1:$A$500,0))),""))</f>
        <v/>
      </c>
      <c r="Q211" s="8" t="str">
        <f aca="false">IF($A211="","",IFERROR(IF(INDEX(O1_Community_Attributes!$Z$1:$Z$500,MATCH($A211,O1_Community_Attributes!$A$1:$A$500,0))="","",INDEX(O1_Community_Attributes!$Z$1:$Z$500,MATCH($A211,O1_Community_Attributes!$A$1:$A$500,0))),""))</f>
        <v/>
      </c>
      <c r="R211" s="8" t="str">
        <f aca="false">IF($A211="","",IFERROR(IF(INDEX(O1_Community_Attributes!$BK$1:$BK$500,MATCH($A211,O1_Community_Attributes!$A$1:$A$500,0))="","",INDEX(O1_Community_Attributes!$BK$1:$BK$500,MATCH($A211,O1_Community_Attributes!$A$1:$A$500,0))),""))</f>
        <v/>
      </c>
      <c r="S211" s="8" t="str">
        <f aca="false">IF(OR($C211="",$M211=""),"",$M211/$C211)</f>
        <v/>
      </c>
      <c r="T211" s="8" t="str">
        <f aca="false">IF($C211="","",IF(AND($M211="",$P211=""),"",IF($M211="","B",IF(ABS($S211-1)&lt;=0.3,"A",IF(OR($S211&gt;2,$S211&lt;0.5),"C","B")))))</f>
        <v/>
      </c>
    </row>
    <row r="212" customFormat="false" ht="15" hidden="false" customHeight="true" outlineLevel="0" collapsed="false">
      <c r="H212" s="8" t="str">
        <f aca="false">IF(C212="","",IF(C212&lt;1,"yes","no"))</f>
        <v/>
      </c>
      <c r="I212" s="8" t="str">
        <f aca="false">IF(C212="","",IF(C212&lt;2.6,"r75",IF(C212&lt;5.2,"r110",IF(C212&lt;9.9,"r150",IF(C212&lt;19.8,"r210","r300")))))</f>
        <v/>
      </c>
      <c r="M212" s="8" t="str">
        <f aca="false">IF($A212="","",IFERROR(IF(INDEX(O1_Community_Attributes!$V$1:$V$500,MATCH($A212,O1_Community_Attributes!$A$1:$A$500,0))="","",INDEX(O1_Community_Attributes!$V$1:$V$500,MATCH($A212,O1_Community_Attributes!$A$1:$A$500,0))),""))</f>
        <v/>
      </c>
      <c r="N212" s="8" t="str">
        <f aca="false">IF($A212="","",IFERROR(IF(INDEX(O1_Community_Attributes!$W$1:$W$500,MATCH($A212,O1_Community_Attributes!$A$1:$A$500,0))="","",INDEX(O1_Community_Attributes!$W$1:$W$500,MATCH($A212,O1_Community_Attributes!$A$1:$A$500,0))),""))</f>
        <v/>
      </c>
      <c r="O212" s="8" t="str">
        <f aca="false">IF($A212="","",IFERROR(IF(INDEX(O1_Community_Attributes!$X$1:$X$500,MATCH($A212,O1_Community_Attributes!$A$1:$A$500,0))="","",INDEX(O1_Community_Attributes!$X$1:$X$500,MATCH($A212,O1_Community_Attributes!$A$1:$A$500,0))),""))</f>
        <v/>
      </c>
      <c r="P212" s="8" t="str">
        <f aca="false">IF($A212="","",IFERROR(IF(INDEX(O1_Community_Attributes!$Y$1:$Y$500,MATCH($A212,O1_Community_Attributes!$A$1:$A$500,0))="","",INDEX(O1_Community_Attributes!$Y$1:$Y$500,MATCH($A212,O1_Community_Attributes!$A$1:$A$500,0))),""))</f>
        <v/>
      </c>
      <c r="Q212" s="8" t="str">
        <f aca="false">IF($A212="","",IFERROR(IF(INDEX(O1_Community_Attributes!$Z$1:$Z$500,MATCH($A212,O1_Community_Attributes!$A$1:$A$500,0))="","",INDEX(O1_Community_Attributes!$Z$1:$Z$500,MATCH($A212,O1_Community_Attributes!$A$1:$A$500,0))),""))</f>
        <v/>
      </c>
      <c r="R212" s="8" t="str">
        <f aca="false">IF($A212="","",IFERROR(IF(INDEX(O1_Community_Attributes!$BK$1:$BK$500,MATCH($A212,O1_Community_Attributes!$A$1:$A$500,0))="","",INDEX(O1_Community_Attributes!$BK$1:$BK$500,MATCH($A212,O1_Community_Attributes!$A$1:$A$500,0))),""))</f>
        <v/>
      </c>
      <c r="S212" s="8" t="str">
        <f aca="false">IF(OR($C212="",$M212=""),"",$M212/$C212)</f>
        <v/>
      </c>
      <c r="T212" s="8" t="str">
        <f aca="false">IF($C212="","",IF(AND($M212="",$P212=""),"",IF($M212="","B",IF(ABS($S212-1)&lt;=0.3,"A",IF(OR($S212&gt;2,$S212&lt;0.5),"C","B")))))</f>
        <v/>
      </c>
    </row>
    <row r="213" customFormat="false" ht="15" hidden="false" customHeight="true" outlineLevel="0" collapsed="false">
      <c r="H213" s="8" t="str">
        <f aca="false">IF(C213="","",IF(C213&lt;1,"yes","no"))</f>
        <v/>
      </c>
      <c r="I213" s="8" t="str">
        <f aca="false">IF(C213="","",IF(C213&lt;2.6,"r75",IF(C213&lt;5.2,"r110",IF(C213&lt;9.9,"r150",IF(C213&lt;19.8,"r210","r300")))))</f>
        <v/>
      </c>
      <c r="M213" s="8" t="str">
        <f aca="false">IF($A213="","",IFERROR(IF(INDEX(O1_Community_Attributes!$V$1:$V$500,MATCH($A213,O1_Community_Attributes!$A$1:$A$500,0))="","",INDEX(O1_Community_Attributes!$V$1:$V$500,MATCH($A213,O1_Community_Attributes!$A$1:$A$500,0))),""))</f>
        <v/>
      </c>
      <c r="N213" s="8" t="str">
        <f aca="false">IF($A213="","",IFERROR(IF(INDEX(O1_Community_Attributes!$W$1:$W$500,MATCH($A213,O1_Community_Attributes!$A$1:$A$500,0))="","",INDEX(O1_Community_Attributes!$W$1:$W$500,MATCH($A213,O1_Community_Attributes!$A$1:$A$500,0))),""))</f>
        <v/>
      </c>
      <c r="O213" s="8" t="str">
        <f aca="false">IF($A213="","",IFERROR(IF(INDEX(O1_Community_Attributes!$X$1:$X$500,MATCH($A213,O1_Community_Attributes!$A$1:$A$500,0))="","",INDEX(O1_Community_Attributes!$X$1:$X$500,MATCH($A213,O1_Community_Attributes!$A$1:$A$500,0))),""))</f>
        <v/>
      </c>
      <c r="P213" s="8" t="str">
        <f aca="false">IF($A213="","",IFERROR(IF(INDEX(O1_Community_Attributes!$Y$1:$Y$500,MATCH($A213,O1_Community_Attributes!$A$1:$A$500,0))="","",INDEX(O1_Community_Attributes!$Y$1:$Y$500,MATCH($A213,O1_Community_Attributes!$A$1:$A$500,0))),""))</f>
        <v/>
      </c>
      <c r="Q213" s="8" t="str">
        <f aca="false">IF($A213="","",IFERROR(IF(INDEX(O1_Community_Attributes!$Z$1:$Z$500,MATCH($A213,O1_Community_Attributes!$A$1:$A$500,0))="","",INDEX(O1_Community_Attributes!$Z$1:$Z$500,MATCH($A213,O1_Community_Attributes!$A$1:$A$500,0))),""))</f>
        <v/>
      </c>
      <c r="R213" s="8" t="str">
        <f aca="false">IF($A213="","",IFERROR(IF(INDEX(O1_Community_Attributes!$BK$1:$BK$500,MATCH($A213,O1_Community_Attributes!$A$1:$A$500,0))="","",INDEX(O1_Community_Attributes!$BK$1:$BK$500,MATCH($A213,O1_Community_Attributes!$A$1:$A$500,0))),""))</f>
        <v/>
      </c>
      <c r="S213" s="8" t="str">
        <f aca="false">IF(OR($C213="",$M213=""),"",$M213/$C213)</f>
        <v/>
      </c>
      <c r="T213" s="8" t="str">
        <f aca="false">IF($C213="","",IF(AND($M213="",$P213=""),"",IF($M213="","B",IF(ABS($S213-1)&lt;=0.3,"A",IF(OR($S213&gt;2,$S213&lt;0.5),"C","B")))))</f>
        <v/>
      </c>
    </row>
    <row r="214" customFormat="false" ht="15" hidden="false" customHeight="true" outlineLevel="0" collapsed="false">
      <c r="H214" s="8" t="str">
        <f aca="false">IF(C214="","",IF(C214&lt;1,"yes","no"))</f>
        <v/>
      </c>
      <c r="I214" s="8" t="str">
        <f aca="false">IF(C214="","",IF(C214&lt;2.6,"r75",IF(C214&lt;5.2,"r110",IF(C214&lt;9.9,"r150",IF(C214&lt;19.8,"r210","r300")))))</f>
        <v/>
      </c>
      <c r="M214" s="8" t="str">
        <f aca="false">IF($A214="","",IFERROR(IF(INDEX(O1_Community_Attributes!$V$1:$V$500,MATCH($A214,O1_Community_Attributes!$A$1:$A$500,0))="","",INDEX(O1_Community_Attributes!$V$1:$V$500,MATCH($A214,O1_Community_Attributes!$A$1:$A$500,0))),""))</f>
        <v/>
      </c>
      <c r="N214" s="8" t="str">
        <f aca="false">IF($A214="","",IFERROR(IF(INDEX(O1_Community_Attributes!$W$1:$W$500,MATCH($A214,O1_Community_Attributes!$A$1:$A$500,0))="","",INDEX(O1_Community_Attributes!$W$1:$W$500,MATCH($A214,O1_Community_Attributes!$A$1:$A$500,0))),""))</f>
        <v/>
      </c>
      <c r="O214" s="8" t="str">
        <f aca="false">IF($A214="","",IFERROR(IF(INDEX(O1_Community_Attributes!$X$1:$X$500,MATCH($A214,O1_Community_Attributes!$A$1:$A$500,0))="","",INDEX(O1_Community_Attributes!$X$1:$X$500,MATCH($A214,O1_Community_Attributes!$A$1:$A$500,0))),""))</f>
        <v/>
      </c>
      <c r="P214" s="8" t="str">
        <f aca="false">IF($A214="","",IFERROR(IF(INDEX(O1_Community_Attributes!$Y$1:$Y$500,MATCH($A214,O1_Community_Attributes!$A$1:$A$500,0))="","",INDEX(O1_Community_Attributes!$Y$1:$Y$500,MATCH($A214,O1_Community_Attributes!$A$1:$A$500,0))),""))</f>
        <v/>
      </c>
      <c r="Q214" s="8" t="str">
        <f aca="false">IF($A214="","",IFERROR(IF(INDEX(O1_Community_Attributes!$Z$1:$Z$500,MATCH($A214,O1_Community_Attributes!$A$1:$A$500,0))="","",INDEX(O1_Community_Attributes!$Z$1:$Z$500,MATCH($A214,O1_Community_Attributes!$A$1:$A$500,0))),""))</f>
        <v/>
      </c>
      <c r="R214" s="8" t="str">
        <f aca="false">IF($A214="","",IFERROR(IF(INDEX(O1_Community_Attributes!$BK$1:$BK$500,MATCH($A214,O1_Community_Attributes!$A$1:$A$500,0))="","",INDEX(O1_Community_Attributes!$BK$1:$BK$500,MATCH($A214,O1_Community_Attributes!$A$1:$A$500,0))),""))</f>
        <v/>
      </c>
      <c r="S214" s="8" t="str">
        <f aca="false">IF(OR($C214="",$M214=""),"",$M214/$C214)</f>
        <v/>
      </c>
      <c r="T214" s="8" t="str">
        <f aca="false">IF($C214="","",IF(AND($M214="",$P214=""),"",IF($M214="","B",IF(ABS($S214-1)&lt;=0.3,"A",IF(OR($S214&gt;2,$S214&lt;0.5),"C","B")))))</f>
        <v/>
      </c>
    </row>
    <row r="215" customFormat="false" ht="15" hidden="false" customHeight="true" outlineLevel="0" collapsed="false">
      <c r="H215" s="8" t="str">
        <f aca="false">IF(C215="","",IF(C215&lt;1,"yes","no"))</f>
        <v/>
      </c>
      <c r="I215" s="8" t="str">
        <f aca="false">IF(C215="","",IF(C215&lt;2.6,"r75",IF(C215&lt;5.2,"r110",IF(C215&lt;9.9,"r150",IF(C215&lt;19.8,"r210","r300")))))</f>
        <v/>
      </c>
      <c r="M215" s="8" t="str">
        <f aca="false">IF($A215="","",IFERROR(IF(INDEX(O1_Community_Attributes!$V$1:$V$500,MATCH($A215,O1_Community_Attributes!$A$1:$A$500,0))="","",INDEX(O1_Community_Attributes!$V$1:$V$500,MATCH($A215,O1_Community_Attributes!$A$1:$A$500,0))),""))</f>
        <v/>
      </c>
      <c r="N215" s="8" t="str">
        <f aca="false">IF($A215="","",IFERROR(IF(INDEX(O1_Community_Attributes!$W$1:$W$500,MATCH($A215,O1_Community_Attributes!$A$1:$A$500,0))="","",INDEX(O1_Community_Attributes!$W$1:$W$500,MATCH($A215,O1_Community_Attributes!$A$1:$A$500,0))),""))</f>
        <v/>
      </c>
      <c r="O215" s="8" t="str">
        <f aca="false">IF($A215="","",IFERROR(IF(INDEX(O1_Community_Attributes!$X$1:$X$500,MATCH($A215,O1_Community_Attributes!$A$1:$A$500,0))="","",INDEX(O1_Community_Attributes!$X$1:$X$500,MATCH($A215,O1_Community_Attributes!$A$1:$A$500,0))),""))</f>
        <v/>
      </c>
      <c r="P215" s="8" t="str">
        <f aca="false">IF($A215="","",IFERROR(IF(INDEX(O1_Community_Attributes!$Y$1:$Y$500,MATCH($A215,O1_Community_Attributes!$A$1:$A$500,0))="","",INDEX(O1_Community_Attributes!$Y$1:$Y$500,MATCH($A215,O1_Community_Attributes!$A$1:$A$500,0))),""))</f>
        <v/>
      </c>
      <c r="Q215" s="8" t="str">
        <f aca="false">IF($A215="","",IFERROR(IF(INDEX(O1_Community_Attributes!$Z$1:$Z$500,MATCH($A215,O1_Community_Attributes!$A$1:$A$500,0))="","",INDEX(O1_Community_Attributes!$Z$1:$Z$500,MATCH($A215,O1_Community_Attributes!$A$1:$A$500,0))),""))</f>
        <v/>
      </c>
      <c r="R215" s="8" t="str">
        <f aca="false">IF($A215="","",IFERROR(IF(INDEX(O1_Community_Attributes!$BK$1:$BK$500,MATCH($A215,O1_Community_Attributes!$A$1:$A$500,0))="","",INDEX(O1_Community_Attributes!$BK$1:$BK$500,MATCH($A215,O1_Community_Attributes!$A$1:$A$500,0))),""))</f>
        <v/>
      </c>
      <c r="S215" s="8" t="str">
        <f aca="false">IF(OR($C215="",$M215=""),"",$M215/$C215)</f>
        <v/>
      </c>
      <c r="T215" s="8" t="str">
        <f aca="false">IF($C215="","",IF(AND($M215="",$P215=""),"",IF($M215="","B",IF(ABS($S215-1)&lt;=0.3,"A",IF(OR($S215&gt;2,$S215&lt;0.5),"C","B")))))</f>
        <v/>
      </c>
    </row>
    <row r="216" customFormat="false" ht="15" hidden="false" customHeight="true" outlineLevel="0" collapsed="false">
      <c r="H216" s="8" t="str">
        <f aca="false">IF(C216="","",IF(C216&lt;1,"yes","no"))</f>
        <v/>
      </c>
      <c r="I216" s="8" t="str">
        <f aca="false">IF(C216="","",IF(C216&lt;2.6,"r75",IF(C216&lt;5.2,"r110",IF(C216&lt;9.9,"r150",IF(C216&lt;19.8,"r210","r300")))))</f>
        <v/>
      </c>
      <c r="M216" s="8" t="str">
        <f aca="false">IF($A216="","",IFERROR(IF(INDEX(O1_Community_Attributes!$V$1:$V$500,MATCH($A216,O1_Community_Attributes!$A$1:$A$500,0))="","",INDEX(O1_Community_Attributes!$V$1:$V$500,MATCH($A216,O1_Community_Attributes!$A$1:$A$500,0))),""))</f>
        <v/>
      </c>
      <c r="N216" s="8" t="str">
        <f aca="false">IF($A216="","",IFERROR(IF(INDEX(O1_Community_Attributes!$W$1:$W$500,MATCH($A216,O1_Community_Attributes!$A$1:$A$500,0))="","",INDEX(O1_Community_Attributes!$W$1:$W$500,MATCH($A216,O1_Community_Attributes!$A$1:$A$500,0))),""))</f>
        <v/>
      </c>
      <c r="O216" s="8" t="str">
        <f aca="false">IF($A216="","",IFERROR(IF(INDEX(O1_Community_Attributes!$X$1:$X$500,MATCH($A216,O1_Community_Attributes!$A$1:$A$500,0))="","",INDEX(O1_Community_Attributes!$X$1:$X$500,MATCH($A216,O1_Community_Attributes!$A$1:$A$500,0))),""))</f>
        <v/>
      </c>
      <c r="P216" s="8" t="str">
        <f aca="false">IF($A216="","",IFERROR(IF(INDEX(O1_Community_Attributes!$Y$1:$Y$500,MATCH($A216,O1_Community_Attributes!$A$1:$A$500,0))="","",INDEX(O1_Community_Attributes!$Y$1:$Y$500,MATCH($A216,O1_Community_Attributes!$A$1:$A$500,0))),""))</f>
        <v/>
      </c>
      <c r="Q216" s="8" t="str">
        <f aca="false">IF($A216="","",IFERROR(IF(INDEX(O1_Community_Attributes!$Z$1:$Z$500,MATCH($A216,O1_Community_Attributes!$A$1:$A$500,0))="","",INDEX(O1_Community_Attributes!$Z$1:$Z$500,MATCH($A216,O1_Community_Attributes!$A$1:$A$500,0))),""))</f>
        <v/>
      </c>
      <c r="R216" s="8" t="str">
        <f aca="false">IF($A216="","",IFERROR(IF(INDEX(O1_Community_Attributes!$BK$1:$BK$500,MATCH($A216,O1_Community_Attributes!$A$1:$A$500,0))="","",INDEX(O1_Community_Attributes!$BK$1:$BK$500,MATCH($A216,O1_Community_Attributes!$A$1:$A$500,0))),""))</f>
        <v/>
      </c>
      <c r="S216" s="8" t="str">
        <f aca="false">IF(OR($C216="",$M216=""),"",$M216/$C216)</f>
        <v/>
      </c>
      <c r="T216" s="8" t="str">
        <f aca="false">IF($C216="","",IF(AND($M216="",$P216=""),"",IF($M216="","B",IF(ABS($S216-1)&lt;=0.3,"A",IF(OR($S216&gt;2,$S216&lt;0.5),"C","B")))))</f>
        <v/>
      </c>
    </row>
    <row r="217" customFormat="false" ht="15" hidden="false" customHeight="true" outlineLevel="0" collapsed="false">
      <c r="H217" s="8" t="str">
        <f aca="false">IF(C217="","",IF(C217&lt;1,"yes","no"))</f>
        <v/>
      </c>
      <c r="I217" s="8" t="str">
        <f aca="false">IF(C217="","",IF(C217&lt;2.6,"r75",IF(C217&lt;5.2,"r110",IF(C217&lt;9.9,"r150",IF(C217&lt;19.8,"r210","r300")))))</f>
        <v/>
      </c>
      <c r="M217" s="8" t="str">
        <f aca="false">IF($A217="","",IFERROR(IF(INDEX(O1_Community_Attributes!$V$1:$V$500,MATCH($A217,O1_Community_Attributes!$A$1:$A$500,0))="","",INDEX(O1_Community_Attributes!$V$1:$V$500,MATCH($A217,O1_Community_Attributes!$A$1:$A$500,0))),""))</f>
        <v/>
      </c>
      <c r="N217" s="8" t="str">
        <f aca="false">IF($A217="","",IFERROR(IF(INDEX(O1_Community_Attributes!$W$1:$W$500,MATCH($A217,O1_Community_Attributes!$A$1:$A$500,0))="","",INDEX(O1_Community_Attributes!$W$1:$W$500,MATCH($A217,O1_Community_Attributes!$A$1:$A$500,0))),""))</f>
        <v/>
      </c>
      <c r="O217" s="8" t="str">
        <f aca="false">IF($A217="","",IFERROR(IF(INDEX(O1_Community_Attributes!$X$1:$X$500,MATCH($A217,O1_Community_Attributes!$A$1:$A$500,0))="","",INDEX(O1_Community_Attributes!$X$1:$X$500,MATCH($A217,O1_Community_Attributes!$A$1:$A$500,0))),""))</f>
        <v/>
      </c>
      <c r="P217" s="8" t="str">
        <f aca="false">IF($A217="","",IFERROR(IF(INDEX(O1_Community_Attributes!$Y$1:$Y$500,MATCH($A217,O1_Community_Attributes!$A$1:$A$500,0))="","",INDEX(O1_Community_Attributes!$Y$1:$Y$500,MATCH($A217,O1_Community_Attributes!$A$1:$A$500,0))),""))</f>
        <v/>
      </c>
      <c r="Q217" s="8" t="str">
        <f aca="false">IF($A217="","",IFERROR(IF(INDEX(O1_Community_Attributes!$Z$1:$Z$500,MATCH($A217,O1_Community_Attributes!$A$1:$A$500,0))="","",INDEX(O1_Community_Attributes!$Z$1:$Z$500,MATCH($A217,O1_Community_Attributes!$A$1:$A$500,0))),""))</f>
        <v/>
      </c>
      <c r="R217" s="8" t="str">
        <f aca="false">IF($A217="","",IFERROR(IF(INDEX(O1_Community_Attributes!$BK$1:$BK$500,MATCH($A217,O1_Community_Attributes!$A$1:$A$500,0))="","",INDEX(O1_Community_Attributes!$BK$1:$BK$500,MATCH($A217,O1_Community_Attributes!$A$1:$A$500,0))),""))</f>
        <v/>
      </c>
      <c r="S217" s="8" t="str">
        <f aca="false">IF(OR($C217="",$M217=""),"",$M217/$C217)</f>
        <v/>
      </c>
      <c r="T217" s="8" t="str">
        <f aca="false">IF($C217="","",IF(AND($M217="",$P217=""),"",IF($M217="","B",IF(ABS($S217-1)&lt;=0.3,"A",IF(OR($S217&gt;2,$S217&lt;0.5),"C","B")))))</f>
        <v/>
      </c>
    </row>
    <row r="218" customFormat="false" ht="15" hidden="false" customHeight="true" outlineLevel="0" collapsed="false">
      <c r="H218" s="8" t="str">
        <f aca="false">IF(C218="","",IF(C218&lt;1,"yes","no"))</f>
        <v/>
      </c>
      <c r="I218" s="8" t="str">
        <f aca="false">IF(C218="","",IF(C218&lt;2.6,"r75",IF(C218&lt;5.2,"r110",IF(C218&lt;9.9,"r150",IF(C218&lt;19.8,"r210","r300")))))</f>
        <v/>
      </c>
      <c r="M218" s="8" t="str">
        <f aca="false">IF($A218="","",IFERROR(IF(INDEX(O1_Community_Attributes!$V$1:$V$500,MATCH($A218,O1_Community_Attributes!$A$1:$A$500,0))="","",INDEX(O1_Community_Attributes!$V$1:$V$500,MATCH($A218,O1_Community_Attributes!$A$1:$A$500,0))),""))</f>
        <v/>
      </c>
      <c r="N218" s="8" t="str">
        <f aca="false">IF($A218="","",IFERROR(IF(INDEX(O1_Community_Attributes!$W$1:$W$500,MATCH($A218,O1_Community_Attributes!$A$1:$A$500,0))="","",INDEX(O1_Community_Attributes!$W$1:$W$500,MATCH($A218,O1_Community_Attributes!$A$1:$A$500,0))),""))</f>
        <v/>
      </c>
      <c r="O218" s="8" t="str">
        <f aca="false">IF($A218="","",IFERROR(IF(INDEX(O1_Community_Attributes!$X$1:$X$500,MATCH($A218,O1_Community_Attributes!$A$1:$A$500,0))="","",INDEX(O1_Community_Attributes!$X$1:$X$500,MATCH($A218,O1_Community_Attributes!$A$1:$A$500,0))),""))</f>
        <v/>
      </c>
      <c r="P218" s="8" t="str">
        <f aca="false">IF($A218="","",IFERROR(IF(INDEX(O1_Community_Attributes!$Y$1:$Y$500,MATCH($A218,O1_Community_Attributes!$A$1:$A$500,0))="","",INDEX(O1_Community_Attributes!$Y$1:$Y$500,MATCH($A218,O1_Community_Attributes!$A$1:$A$500,0))),""))</f>
        <v/>
      </c>
      <c r="Q218" s="8" t="str">
        <f aca="false">IF($A218="","",IFERROR(IF(INDEX(O1_Community_Attributes!$Z$1:$Z$500,MATCH($A218,O1_Community_Attributes!$A$1:$A$500,0))="","",INDEX(O1_Community_Attributes!$Z$1:$Z$500,MATCH($A218,O1_Community_Attributes!$A$1:$A$500,0))),""))</f>
        <v/>
      </c>
      <c r="R218" s="8" t="str">
        <f aca="false">IF($A218="","",IFERROR(IF(INDEX(O1_Community_Attributes!$BK$1:$BK$500,MATCH($A218,O1_Community_Attributes!$A$1:$A$500,0))="","",INDEX(O1_Community_Attributes!$BK$1:$BK$500,MATCH($A218,O1_Community_Attributes!$A$1:$A$500,0))),""))</f>
        <v/>
      </c>
      <c r="S218" s="8" t="str">
        <f aca="false">IF(OR($C218="",$M218=""),"",$M218/$C218)</f>
        <v/>
      </c>
      <c r="T218" s="8" t="str">
        <f aca="false">IF($C218="","",IF(AND($M218="",$P218=""),"",IF($M218="","B",IF(ABS($S218-1)&lt;=0.3,"A",IF(OR($S218&gt;2,$S218&lt;0.5),"C","B")))))</f>
        <v/>
      </c>
    </row>
    <row r="219" customFormat="false" ht="15" hidden="false" customHeight="true" outlineLevel="0" collapsed="false">
      <c r="H219" s="8" t="str">
        <f aca="false">IF(C219="","",IF(C219&lt;1,"yes","no"))</f>
        <v/>
      </c>
      <c r="I219" s="8" t="str">
        <f aca="false">IF(C219="","",IF(C219&lt;2.6,"r75",IF(C219&lt;5.2,"r110",IF(C219&lt;9.9,"r150",IF(C219&lt;19.8,"r210","r300")))))</f>
        <v/>
      </c>
      <c r="M219" s="8" t="str">
        <f aca="false">IF($A219="","",IFERROR(IF(INDEX(O1_Community_Attributes!$V$1:$V$500,MATCH($A219,O1_Community_Attributes!$A$1:$A$500,0))="","",INDEX(O1_Community_Attributes!$V$1:$V$500,MATCH($A219,O1_Community_Attributes!$A$1:$A$500,0))),""))</f>
        <v/>
      </c>
      <c r="N219" s="8" t="str">
        <f aca="false">IF($A219="","",IFERROR(IF(INDEX(O1_Community_Attributes!$W$1:$W$500,MATCH($A219,O1_Community_Attributes!$A$1:$A$500,0))="","",INDEX(O1_Community_Attributes!$W$1:$W$500,MATCH($A219,O1_Community_Attributes!$A$1:$A$500,0))),""))</f>
        <v/>
      </c>
      <c r="O219" s="8" t="str">
        <f aca="false">IF($A219="","",IFERROR(IF(INDEX(O1_Community_Attributes!$X$1:$X$500,MATCH($A219,O1_Community_Attributes!$A$1:$A$500,0))="","",INDEX(O1_Community_Attributes!$X$1:$X$500,MATCH($A219,O1_Community_Attributes!$A$1:$A$500,0))),""))</f>
        <v/>
      </c>
      <c r="P219" s="8" t="str">
        <f aca="false">IF($A219="","",IFERROR(IF(INDEX(O1_Community_Attributes!$Y$1:$Y$500,MATCH($A219,O1_Community_Attributes!$A$1:$A$500,0))="","",INDEX(O1_Community_Attributes!$Y$1:$Y$500,MATCH($A219,O1_Community_Attributes!$A$1:$A$500,0))),""))</f>
        <v/>
      </c>
      <c r="Q219" s="8" t="str">
        <f aca="false">IF($A219="","",IFERROR(IF(INDEX(O1_Community_Attributes!$Z$1:$Z$500,MATCH($A219,O1_Community_Attributes!$A$1:$A$500,0))="","",INDEX(O1_Community_Attributes!$Z$1:$Z$500,MATCH($A219,O1_Community_Attributes!$A$1:$A$500,0))),""))</f>
        <v/>
      </c>
      <c r="R219" s="8" t="str">
        <f aca="false">IF($A219="","",IFERROR(IF(INDEX(O1_Community_Attributes!$BK$1:$BK$500,MATCH($A219,O1_Community_Attributes!$A$1:$A$500,0))="","",INDEX(O1_Community_Attributes!$BK$1:$BK$500,MATCH($A219,O1_Community_Attributes!$A$1:$A$500,0))),""))</f>
        <v/>
      </c>
      <c r="S219" s="8" t="str">
        <f aca="false">IF(OR($C219="",$M219=""),"",$M219/$C219)</f>
        <v/>
      </c>
      <c r="T219" s="8" t="str">
        <f aca="false">IF($C219="","",IF(AND($M219="",$P219=""),"",IF($M219="","B",IF(ABS($S219-1)&lt;=0.3,"A",IF(OR($S219&gt;2,$S219&lt;0.5),"C","B")))))</f>
        <v/>
      </c>
    </row>
    <row r="220" customFormat="false" ht="15" hidden="false" customHeight="true" outlineLevel="0" collapsed="false">
      <c r="H220" s="8" t="str">
        <f aca="false">IF(C220="","",IF(C220&lt;1,"yes","no"))</f>
        <v/>
      </c>
      <c r="I220" s="8" t="str">
        <f aca="false">IF(C220="","",IF(C220&lt;2.6,"r75",IF(C220&lt;5.2,"r110",IF(C220&lt;9.9,"r150",IF(C220&lt;19.8,"r210","r300")))))</f>
        <v/>
      </c>
      <c r="M220" s="8" t="str">
        <f aca="false">IF($A220="","",IFERROR(IF(INDEX(O1_Community_Attributes!$V$1:$V$500,MATCH($A220,O1_Community_Attributes!$A$1:$A$500,0))="","",INDEX(O1_Community_Attributes!$V$1:$V$500,MATCH($A220,O1_Community_Attributes!$A$1:$A$500,0))),""))</f>
        <v/>
      </c>
      <c r="N220" s="8" t="str">
        <f aca="false">IF($A220="","",IFERROR(IF(INDEX(O1_Community_Attributes!$W$1:$W$500,MATCH($A220,O1_Community_Attributes!$A$1:$A$500,0))="","",INDEX(O1_Community_Attributes!$W$1:$W$500,MATCH($A220,O1_Community_Attributes!$A$1:$A$500,0))),""))</f>
        <v/>
      </c>
      <c r="O220" s="8" t="str">
        <f aca="false">IF($A220="","",IFERROR(IF(INDEX(O1_Community_Attributes!$X$1:$X$500,MATCH($A220,O1_Community_Attributes!$A$1:$A$500,0))="","",INDEX(O1_Community_Attributes!$X$1:$X$500,MATCH($A220,O1_Community_Attributes!$A$1:$A$500,0))),""))</f>
        <v/>
      </c>
      <c r="P220" s="8" t="str">
        <f aca="false">IF($A220="","",IFERROR(IF(INDEX(O1_Community_Attributes!$Y$1:$Y$500,MATCH($A220,O1_Community_Attributes!$A$1:$A$500,0))="","",INDEX(O1_Community_Attributes!$Y$1:$Y$500,MATCH($A220,O1_Community_Attributes!$A$1:$A$500,0))),""))</f>
        <v/>
      </c>
      <c r="Q220" s="8" t="str">
        <f aca="false">IF($A220="","",IFERROR(IF(INDEX(O1_Community_Attributes!$Z$1:$Z$500,MATCH($A220,O1_Community_Attributes!$A$1:$A$500,0))="","",INDEX(O1_Community_Attributes!$Z$1:$Z$500,MATCH($A220,O1_Community_Attributes!$A$1:$A$500,0))),""))</f>
        <v/>
      </c>
      <c r="R220" s="8" t="str">
        <f aca="false">IF($A220="","",IFERROR(IF(INDEX(O1_Community_Attributes!$BK$1:$BK$500,MATCH($A220,O1_Community_Attributes!$A$1:$A$500,0))="","",INDEX(O1_Community_Attributes!$BK$1:$BK$500,MATCH($A220,O1_Community_Attributes!$A$1:$A$500,0))),""))</f>
        <v/>
      </c>
      <c r="S220" s="8" t="str">
        <f aca="false">IF(OR($C220="",$M220=""),"",$M220/$C220)</f>
        <v/>
      </c>
      <c r="T220" s="8" t="str">
        <f aca="false">IF($C220="","",IF(AND($M220="",$P220=""),"",IF($M220="","B",IF(ABS($S220-1)&lt;=0.3,"A",IF(OR($S220&gt;2,$S220&lt;0.5),"C","B")))))</f>
        <v/>
      </c>
    </row>
    <row r="221" customFormat="false" ht="15" hidden="false" customHeight="true" outlineLevel="0" collapsed="false">
      <c r="H221" s="8" t="str">
        <f aca="false">IF(C221="","",IF(C221&lt;1,"yes","no"))</f>
        <v/>
      </c>
      <c r="I221" s="8" t="str">
        <f aca="false">IF(C221="","",IF(C221&lt;2.6,"r75",IF(C221&lt;5.2,"r110",IF(C221&lt;9.9,"r150",IF(C221&lt;19.8,"r210","r300")))))</f>
        <v/>
      </c>
      <c r="M221" s="8" t="str">
        <f aca="false">IF($A221="","",IFERROR(IF(INDEX(O1_Community_Attributes!$V$1:$V$500,MATCH($A221,O1_Community_Attributes!$A$1:$A$500,0))="","",INDEX(O1_Community_Attributes!$V$1:$V$500,MATCH($A221,O1_Community_Attributes!$A$1:$A$500,0))),""))</f>
        <v/>
      </c>
      <c r="N221" s="8" t="str">
        <f aca="false">IF($A221="","",IFERROR(IF(INDEX(O1_Community_Attributes!$W$1:$W$500,MATCH($A221,O1_Community_Attributes!$A$1:$A$500,0))="","",INDEX(O1_Community_Attributes!$W$1:$W$500,MATCH($A221,O1_Community_Attributes!$A$1:$A$500,0))),""))</f>
        <v/>
      </c>
      <c r="O221" s="8" t="str">
        <f aca="false">IF($A221="","",IFERROR(IF(INDEX(O1_Community_Attributes!$X$1:$X$500,MATCH($A221,O1_Community_Attributes!$A$1:$A$500,0))="","",INDEX(O1_Community_Attributes!$X$1:$X$500,MATCH($A221,O1_Community_Attributes!$A$1:$A$500,0))),""))</f>
        <v/>
      </c>
      <c r="P221" s="8" t="str">
        <f aca="false">IF($A221="","",IFERROR(IF(INDEX(O1_Community_Attributes!$Y$1:$Y$500,MATCH($A221,O1_Community_Attributes!$A$1:$A$500,0))="","",INDEX(O1_Community_Attributes!$Y$1:$Y$500,MATCH($A221,O1_Community_Attributes!$A$1:$A$500,0))),""))</f>
        <v/>
      </c>
      <c r="Q221" s="8" t="str">
        <f aca="false">IF($A221="","",IFERROR(IF(INDEX(O1_Community_Attributes!$Z$1:$Z$500,MATCH($A221,O1_Community_Attributes!$A$1:$A$500,0))="","",INDEX(O1_Community_Attributes!$Z$1:$Z$500,MATCH($A221,O1_Community_Attributes!$A$1:$A$500,0))),""))</f>
        <v/>
      </c>
      <c r="R221" s="8" t="str">
        <f aca="false">IF($A221="","",IFERROR(IF(INDEX(O1_Community_Attributes!$BK$1:$BK$500,MATCH($A221,O1_Community_Attributes!$A$1:$A$500,0))="","",INDEX(O1_Community_Attributes!$BK$1:$BK$500,MATCH($A221,O1_Community_Attributes!$A$1:$A$500,0))),""))</f>
        <v/>
      </c>
      <c r="S221" s="8" t="str">
        <f aca="false">IF(OR($C221="",$M221=""),"",$M221/$C221)</f>
        <v/>
      </c>
      <c r="T221" s="8" t="str">
        <f aca="false">IF($C221="","",IF(AND($M221="",$P221=""),"",IF($M221="","B",IF(ABS($S221-1)&lt;=0.3,"A",IF(OR($S221&gt;2,$S221&lt;0.5),"C","B")))))</f>
        <v/>
      </c>
    </row>
    <row r="222" customFormat="false" ht="15" hidden="false" customHeight="true" outlineLevel="0" collapsed="false">
      <c r="H222" s="8" t="str">
        <f aca="false">IF(C222="","",IF(C222&lt;1,"yes","no"))</f>
        <v/>
      </c>
      <c r="I222" s="8" t="str">
        <f aca="false">IF(C222="","",IF(C222&lt;2.6,"r75",IF(C222&lt;5.2,"r110",IF(C222&lt;9.9,"r150",IF(C222&lt;19.8,"r210","r300")))))</f>
        <v/>
      </c>
      <c r="M222" s="8" t="str">
        <f aca="false">IF($A222="","",IFERROR(IF(INDEX(O1_Community_Attributes!$V$1:$V$500,MATCH($A222,O1_Community_Attributes!$A$1:$A$500,0))="","",INDEX(O1_Community_Attributes!$V$1:$V$500,MATCH($A222,O1_Community_Attributes!$A$1:$A$500,0))),""))</f>
        <v/>
      </c>
      <c r="N222" s="8" t="str">
        <f aca="false">IF($A222="","",IFERROR(IF(INDEX(O1_Community_Attributes!$W$1:$W$500,MATCH($A222,O1_Community_Attributes!$A$1:$A$500,0))="","",INDEX(O1_Community_Attributes!$W$1:$W$500,MATCH($A222,O1_Community_Attributes!$A$1:$A$500,0))),""))</f>
        <v/>
      </c>
      <c r="O222" s="8" t="str">
        <f aca="false">IF($A222="","",IFERROR(IF(INDEX(O1_Community_Attributes!$X$1:$X$500,MATCH($A222,O1_Community_Attributes!$A$1:$A$500,0))="","",INDEX(O1_Community_Attributes!$X$1:$X$500,MATCH($A222,O1_Community_Attributes!$A$1:$A$500,0))),""))</f>
        <v/>
      </c>
      <c r="P222" s="8" t="str">
        <f aca="false">IF($A222="","",IFERROR(IF(INDEX(O1_Community_Attributes!$Y$1:$Y$500,MATCH($A222,O1_Community_Attributes!$A$1:$A$500,0))="","",INDEX(O1_Community_Attributes!$Y$1:$Y$500,MATCH($A222,O1_Community_Attributes!$A$1:$A$500,0))),""))</f>
        <v/>
      </c>
      <c r="Q222" s="8" t="str">
        <f aca="false">IF($A222="","",IFERROR(IF(INDEX(O1_Community_Attributes!$Z$1:$Z$500,MATCH($A222,O1_Community_Attributes!$A$1:$A$500,0))="","",INDEX(O1_Community_Attributes!$Z$1:$Z$500,MATCH($A222,O1_Community_Attributes!$A$1:$A$500,0))),""))</f>
        <v/>
      </c>
      <c r="R222" s="8" t="str">
        <f aca="false">IF($A222="","",IFERROR(IF(INDEX(O1_Community_Attributes!$BK$1:$BK$500,MATCH($A222,O1_Community_Attributes!$A$1:$A$500,0))="","",INDEX(O1_Community_Attributes!$BK$1:$BK$500,MATCH($A222,O1_Community_Attributes!$A$1:$A$500,0))),""))</f>
        <v/>
      </c>
      <c r="S222" s="8" t="str">
        <f aca="false">IF(OR($C222="",$M222=""),"",$M222/$C222)</f>
        <v/>
      </c>
      <c r="T222" s="8" t="str">
        <f aca="false">IF($C222="","",IF(AND($M222="",$P222=""),"",IF($M222="","B",IF(ABS($S222-1)&lt;=0.3,"A",IF(OR($S222&gt;2,$S222&lt;0.5),"C","B")))))</f>
        <v/>
      </c>
    </row>
    <row r="223" customFormat="false" ht="15" hidden="false" customHeight="true" outlineLevel="0" collapsed="false">
      <c r="H223" s="8" t="str">
        <f aca="false">IF(C223="","",IF(C223&lt;1,"yes","no"))</f>
        <v/>
      </c>
      <c r="I223" s="8" t="str">
        <f aca="false">IF(C223="","",IF(C223&lt;2.6,"r75",IF(C223&lt;5.2,"r110",IF(C223&lt;9.9,"r150",IF(C223&lt;19.8,"r210","r300")))))</f>
        <v/>
      </c>
      <c r="M223" s="8" t="str">
        <f aca="false">IF($A223="","",IFERROR(IF(INDEX(O1_Community_Attributes!$V$1:$V$500,MATCH($A223,O1_Community_Attributes!$A$1:$A$500,0))="","",INDEX(O1_Community_Attributes!$V$1:$V$500,MATCH($A223,O1_Community_Attributes!$A$1:$A$500,0))),""))</f>
        <v/>
      </c>
      <c r="N223" s="8" t="str">
        <f aca="false">IF($A223="","",IFERROR(IF(INDEX(O1_Community_Attributes!$W$1:$W$500,MATCH($A223,O1_Community_Attributes!$A$1:$A$500,0))="","",INDEX(O1_Community_Attributes!$W$1:$W$500,MATCH($A223,O1_Community_Attributes!$A$1:$A$500,0))),""))</f>
        <v/>
      </c>
      <c r="O223" s="8" t="str">
        <f aca="false">IF($A223="","",IFERROR(IF(INDEX(O1_Community_Attributes!$X$1:$X$500,MATCH($A223,O1_Community_Attributes!$A$1:$A$500,0))="","",INDEX(O1_Community_Attributes!$X$1:$X$500,MATCH($A223,O1_Community_Attributes!$A$1:$A$500,0))),""))</f>
        <v/>
      </c>
      <c r="P223" s="8" t="str">
        <f aca="false">IF($A223="","",IFERROR(IF(INDEX(O1_Community_Attributes!$Y$1:$Y$500,MATCH($A223,O1_Community_Attributes!$A$1:$A$500,0))="","",INDEX(O1_Community_Attributes!$Y$1:$Y$500,MATCH($A223,O1_Community_Attributes!$A$1:$A$500,0))),""))</f>
        <v/>
      </c>
      <c r="Q223" s="8" t="str">
        <f aca="false">IF($A223="","",IFERROR(IF(INDEX(O1_Community_Attributes!$Z$1:$Z$500,MATCH($A223,O1_Community_Attributes!$A$1:$A$500,0))="","",INDEX(O1_Community_Attributes!$Z$1:$Z$500,MATCH($A223,O1_Community_Attributes!$A$1:$A$500,0))),""))</f>
        <v/>
      </c>
      <c r="R223" s="8" t="str">
        <f aca="false">IF($A223="","",IFERROR(IF(INDEX(O1_Community_Attributes!$BK$1:$BK$500,MATCH($A223,O1_Community_Attributes!$A$1:$A$500,0))="","",INDEX(O1_Community_Attributes!$BK$1:$BK$500,MATCH($A223,O1_Community_Attributes!$A$1:$A$500,0))),""))</f>
        <v/>
      </c>
      <c r="S223" s="8" t="str">
        <f aca="false">IF(OR($C223="",$M223=""),"",$M223/$C223)</f>
        <v/>
      </c>
      <c r="T223" s="8" t="str">
        <f aca="false">IF($C223="","",IF(AND($M223="",$P223=""),"",IF($M223="","B",IF(ABS($S223-1)&lt;=0.3,"A",IF(OR($S223&gt;2,$S223&lt;0.5),"C","B")))))</f>
        <v/>
      </c>
    </row>
    <row r="224" customFormat="false" ht="15" hidden="false" customHeight="true" outlineLevel="0" collapsed="false">
      <c r="H224" s="8" t="str">
        <f aca="false">IF(C224="","",IF(C224&lt;1,"yes","no"))</f>
        <v/>
      </c>
      <c r="I224" s="8" t="str">
        <f aca="false">IF(C224="","",IF(C224&lt;2.6,"r75",IF(C224&lt;5.2,"r110",IF(C224&lt;9.9,"r150",IF(C224&lt;19.8,"r210","r300")))))</f>
        <v/>
      </c>
      <c r="M224" s="8" t="str">
        <f aca="false">IF($A224="","",IFERROR(IF(INDEX(O1_Community_Attributes!$V$1:$V$500,MATCH($A224,O1_Community_Attributes!$A$1:$A$500,0))="","",INDEX(O1_Community_Attributes!$V$1:$V$500,MATCH($A224,O1_Community_Attributes!$A$1:$A$500,0))),""))</f>
        <v/>
      </c>
      <c r="N224" s="8" t="str">
        <f aca="false">IF($A224="","",IFERROR(IF(INDEX(O1_Community_Attributes!$W$1:$W$500,MATCH($A224,O1_Community_Attributes!$A$1:$A$500,0))="","",INDEX(O1_Community_Attributes!$W$1:$W$500,MATCH($A224,O1_Community_Attributes!$A$1:$A$500,0))),""))</f>
        <v/>
      </c>
      <c r="O224" s="8" t="str">
        <f aca="false">IF($A224="","",IFERROR(IF(INDEX(O1_Community_Attributes!$X$1:$X$500,MATCH($A224,O1_Community_Attributes!$A$1:$A$500,0))="","",INDEX(O1_Community_Attributes!$X$1:$X$500,MATCH($A224,O1_Community_Attributes!$A$1:$A$500,0))),""))</f>
        <v/>
      </c>
      <c r="P224" s="8" t="str">
        <f aca="false">IF($A224="","",IFERROR(IF(INDEX(O1_Community_Attributes!$Y$1:$Y$500,MATCH($A224,O1_Community_Attributes!$A$1:$A$500,0))="","",INDEX(O1_Community_Attributes!$Y$1:$Y$500,MATCH($A224,O1_Community_Attributes!$A$1:$A$500,0))),""))</f>
        <v/>
      </c>
      <c r="Q224" s="8" t="str">
        <f aca="false">IF($A224="","",IFERROR(IF(INDEX(O1_Community_Attributes!$Z$1:$Z$500,MATCH($A224,O1_Community_Attributes!$A$1:$A$500,0))="","",INDEX(O1_Community_Attributes!$Z$1:$Z$500,MATCH($A224,O1_Community_Attributes!$A$1:$A$500,0))),""))</f>
        <v/>
      </c>
      <c r="R224" s="8" t="str">
        <f aca="false">IF($A224="","",IFERROR(IF(INDEX(O1_Community_Attributes!$BK$1:$BK$500,MATCH($A224,O1_Community_Attributes!$A$1:$A$500,0))="","",INDEX(O1_Community_Attributes!$BK$1:$BK$500,MATCH($A224,O1_Community_Attributes!$A$1:$A$500,0))),""))</f>
        <v/>
      </c>
      <c r="S224" s="8" t="str">
        <f aca="false">IF(OR($C224="",$M224=""),"",$M224/$C224)</f>
        <v/>
      </c>
      <c r="T224" s="8" t="str">
        <f aca="false">IF($C224="","",IF(AND($M224="",$P224=""),"",IF($M224="","B",IF(ABS($S224-1)&lt;=0.3,"A",IF(OR($S224&gt;2,$S224&lt;0.5),"C","B")))))</f>
        <v/>
      </c>
    </row>
    <row r="225" customFormat="false" ht="15" hidden="false" customHeight="true" outlineLevel="0" collapsed="false">
      <c r="H225" s="8" t="str">
        <f aca="false">IF(C225="","",IF(C225&lt;1,"yes","no"))</f>
        <v/>
      </c>
      <c r="I225" s="8" t="str">
        <f aca="false">IF(C225="","",IF(C225&lt;2.6,"r75",IF(C225&lt;5.2,"r110",IF(C225&lt;9.9,"r150",IF(C225&lt;19.8,"r210","r300")))))</f>
        <v/>
      </c>
      <c r="M225" s="8" t="str">
        <f aca="false">IF($A225="","",IFERROR(IF(INDEX(O1_Community_Attributes!$V$1:$V$500,MATCH($A225,O1_Community_Attributes!$A$1:$A$500,0))="","",INDEX(O1_Community_Attributes!$V$1:$V$500,MATCH($A225,O1_Community_Attributes!$A$1:$A$500,0))),""))</f>
        <v/>
      </c>
      <c r="N225" s="8" t="str">
        <f aca="false">IF($A225="","",IFERROR(IF(INDEX(O1_Community_Attributes!$W$1:$W$500,MATCH($A225,O1_Community_Attributes!$A$1:$A$500,0))="","",INDEX(O1_Community_Attributes!$W$1:$W$500,MATCH($A225,O1_Community_Attributes!$A$1:$A$500,0))),""))</f>
        <v/>
      </c>
      <c r="O225" s="8" t="str">
        <f aca="false">IF($A225="","",IFERROR(IF(INDEX(O1_Community_Attributes!$X$1:$X$500,MATCH($A225,O1_Community_Attributes!$A$1:$A$500,0))="","",INDEX(O1_Community_Attributes!$X$1:$X$500,MATCH($A225,O1_Community_Attributes!$A$1:$A$500,0))),""))</f>
        <v/>
      </c>
      <c r="P225" s="8" t="str">
        <f aca="false">IF($A225="","",IFERROR(IF(INDEX(O1_Community_Attributes!$Y$1:$Y$500,MATCH($A225,O1_Community_Attributes!$A$1:$A$500,0))="","",INDEX(O1_Community_Attributes!$Y$1:$Y$500,MATCH($A225,O1_Community_Attributes!$A$1:$A$500,0))),""))</f>
        <v/>
      </c>
      <c r="Q225" s="8" t="str">
        <f aca="false">IF($A225="","",IFERROR(IF(INDEX(O1_Community_Attributes!$Z$1:$Z$500,MATCH($A225,O1_Community_Attributes!$A$1:$A$500,0))="","",INDEX(O1_Community_Attributes!$Z$1:$Z$500,MATCH($A225,O1_Community_Attributes!$A$1:$A$500,0))),""))</f>
        <v/>
      </c>
      <c r="R225" s="8" t="str">
        <f aca="false">IF($A225="","",IFERROR(IF(INDEX(O1_Community_Attributes!$BK$1:$BK$500,MATCH($A225,O1_Community_Attributes!$A$1:$A$500,0))="","",INDEX(O1_Community_Attributes!$BK$1:$BK$500,MATCH($A225,O1_Community_Attributes!$A$1:$A$500,0))),""))</f>
        <v/>
      </c>
      <c r="S225" s="8" t="str">
        <f aca="false">IF(OR($C225="",$M225=""),"",$M225/$C225)</f>
        <v/>
      </c>
      <c r="T225" s="8" t="str">
        <f aca="false">IF($C225="","",IF(AND($M225="",$P225=""),"",IF($M225="","B",IF(ABS($S225-1)&lt;=0.3,"A",IF(OR($S225&gt;2,$S225&lt;0.5),"C","B")))))</f>
        <v/>
      </c>
    </row>
    <row r="226" customFormat="false" ht="15" hidden="false" customHeight="true" outlineLevel="0" collapsed="false">
      <c r="H226" s="8" t="str">
        <f aca="false">IF(C226="","",IF(C226&lt;1,"yes","no"))</f>
        <v/>
      </c>
      <c r="I226" s="8" t="str">
        <f aca="false">IF(C226="","",IF(C226&lt;2.6,"r75",IF(C226&lt;5.2,"r110",IF(C226&lt;9.9,"r150",IF(C226&lt;19.8,"r210","r300")))))</f>
        <v/>
      </c>
      <c r="M226" s="8" t="str">
        <f aca="false">IF($A226="","",IFERROR(IF(INDEX(O1_Community_Attributes!$V$1:$V$500,MATCH($A226,O1_Community_Attributes!$A$1:$A$500,0))="","",INDEX(O1_Community_Attributes!$V$1:$V$500,MATCH($A226,O1_Community_Attributes!$A$1:$A$500,0))),""))</f>
        <v/>
      </c>
      <c r="N226" s="8" t="str">
        <f aca="false">IF($A226="","",IFERROR(IF(INDEX(O1_Community_Attributes!$W$1:$W$500,MATCH($A226,O1_Community_Attributes!$A$1:$A$500,0))="","",INDEX(O1_Community_Attributes!$W$1:$W$500,MATCH($A226,O1_Community_Attributes!$A$1:$A$500,0))),""))</f>
        <v/>
      </c>
      <c r="O226" s="8" t="str">
        <f aca="false">IF($A226="","",IFERROR(IF(INDEX(O1_Community_Attributes!$X$1:$X$500,MATCH($A226,O1_Community_Attributes!$A$1:$A$500,0))="","",INDEX(O1_Community_Attributes!$X$1:$X$500,MATCH($A226,O1_Community_Attributes!$A$1:$A$500,0))),""))</f>
        <v/>
      </c>
      <c r="P226" s="8" t="str">
        <f aca="false">IF($A226="","",IFERROR(IF(INDEX(O1_Community_Attributes!$Y$1:$Y$500,MATCH($A226,O1_Community_Attributes!$A$1:$A$500,0))="","",INDEX(O1_Community_Attributes!$Y$1:$Y$500,MATCH($A226,O1_Community_Attributes!$A$1:$A$500,0))),""))</f>
        <v/>
      </c>
      <c r="Q226" s="8" t="str">
        <f aca="false">IF($A226="","",IFERROR(IF(INDEX(O1_Community_Attributes!$Z$1:$Z$500,MATCH($A226,O1_Community_Attributes!$A$1:$A$500,0))="","",INDEX(O1_Community_Attributes!$Z$1:$Z$500,MATCH($A226,O1_Community_Attributes!$A$1:$A$500,0))),""))</f>
        <v/>
      </c>
      <c r="R226" s="8" t="str">
        <f aca="false">IF($A226="","",IFERROR(IF(INDEX(O1_Community_Attributes!$BK$1:$BK$500,MATCH($A226,O1_Community_Attributes!$A$1:$A$500,0))="","",INDEX(O1_Community_Attributes!$BK$1:$BK$500,MATCH($A226,O1_Community_Attributes!$A$1:$A$500,0))),""))</f>
        <v/>
      </c>
      <c r="S226" s="8" t="str">
        <f aca="false">IF(OR($C226="",$M226=""),"",$M226/$C226)</f>
        <v/>
      </c>
      <c r="T226" s="8" t="str">
        <f aca="false">IF($C226="","",IF(AND($M226="",$P226=""),"",IF($M226="","B",IF(ABS($S226-1)&lt;=0.3,"A",IF(OR($S226&gt;2,$S226&lt;0.5),"C","B")))))</f>
        <v/>
      </c>
    </row>
    <row r="227" customFormat="false" ht="15" hidden="false" customHeight="true" outlineLevel="0" collapsed="false">
      <c r="H227" s="8" t="str">
        <f aca="false">IF(C227="","",IF(C227&lt;1,"yes","no"))</f>
        <v/>
      </c>
      <c r="I227" s="8" t="str">
        <f aca="false">IF(C227="","",IF(C227&lt;2.6,"r75",IF(C227&lt;5.2,"r110",IF(C227&lt;9.9,"r150",IF(C227&lt;19.8,"r210","r300")))))</f>
        <v/>
      </c>
      <c r="M227" s="8" t="str">
        <f aca="false">IF($A227="","",IFERROR(IF(INDEX(O1_Community_Attributes!$V$1:$V$500,MATCH($A227,O1_Community_Attributes!$A$1:$A$500,0))="","",INDEX(O1_Community_Attributes!$V$1:$V$500,MATCH($A227,O1_Community_Attributes!$A$1:$A$500,0))),""))</f>
        <v/>
      </c>
      <c r="N227" s="8" t="str">
        <f aca="false">IF($A227="","",IFERROR(IF(INDEX(O1_Community_Attributes!$W$1:$W$500,MATCH($A227,O1_Community_Attributes!$A$1:$A$500,0))="","",INDEX(O1_Community_Attributes!$W$1:$W$500,MATCH($A227,O1_Community_Attributes!$A$1:$A$500,0))),""))</f>
        <v/>
      </c>
      <c r="O227" s="8" t="str">
        <f aca="false">IF($A227="","",IFERROR(IF(INDEX(O1_Community_Attributes!$X$1:$X$500,MATCH($A227,O1_Community_Attributes!$A$1:$A$500,0))="","",INDEX(O1_Community_Attributes!$X$1:$X$500,MATCH($A227,O1_Community_Attributes!$A$1:$A$500,0))),""))</f>
        <v/>
      </c>
      <c r="P227" s="8" t="str">
        <f aca="false">IF($A227="","",IFERROR(IF(INDEX(O1_Community_Attributes!$Y$1:$Y$500,MATCH($A227,O1_Community_Attributes!$A$1:$A$500,0))="","",INDEX(O1_Community_Attributes!$Y$1:$Y$500,MATCH($A227,O1_Community_Attributes!$A$1:$A$500,0))),""))</f>
        <v/>
      </c>
      <c r="Q227" s="8" t="str">
        <f aca="false">IF($A227="","",IFERROR(IF(INDEX(O1_Community_Attributes!$Z$1:$Z$500,MATCH($A227,O1_Community_Attributes!$A$1:$A$500,0))="","",INDEX(O1_Community_Attributes!$Z$1:$Z$500,MATCH($A227,O1_Community_Attributes!$A$1:$A$500,0))),""))</f>
        <v/>
      </c>
      <c r="R227" s="8" t="str">
        <f aca="false">IF($A227="","",IFERROR(IF(INDEX(O1_Community_Attributes!$BK$1:$BK$500,MATCH($A227,O1_Community_Attributes!$A$1:$A$500,0))="","",INDEX(O1_Community_Attributes!$BK$1:$BK$500,MATCH($A227,O1_Community_Attributes!$A$1:$A$500,0))),""))</f>
        <v/>
      </c>
      <c r="S227" s="8" t="str">
        <f aca="false">IF(OR($C227="",$M227=""),"",$M227/$C227)</f>
        <v/>
      </c>
      <c r="T227" s="8" t="str">
        <f aca="false">IF($C227="","",IF(AND($M227="",$P227=""),"",IF($M227="","B",IF(ABS($S227-1)&lt;=0.3,"A",IF(OR($S227&gt;2,$S227&lt;0.5),"C","B")))))</f>
        <v/>
      </c>
    </row>
    <row r="228" customFormat="false" ht="15" hidden="false" customHeight="true" outlineLevel="0" collapsed="false">
      <c r="H228" s="8" t="str">
        <f aca="false">IF(C228="","",IF(C228&lt;1,"yes","no"))</f>
        <v/>
      </c>
      <c r="I228" s="8" t="str">
        <f aca="false">IF(C228="","",IF(C228&lt;2.6,"r75",IF(C228&lt;5.2,"r110",IF(C228&lt;9.9,"r150",IF(C228&lt;19.8,"r210","r300")))))</f>
        <v/>
      </c>
      <c r="M228" s="8" t="str">
        <f aca="false">IF($A228="","",IFERROR(IF(INDEX(O1_Community_Attributes!$V$1:$V$500,MATCH($A228,O1_Community_Attributes!$A$1:$A$500,0))="","",INDEX(O1_Community_Attributes!$V$1:$V$500,MATCH($A228,O1_Community_Attributes!$A$1:$A$500,0))),""))</f>
        <v/>
      </c>
      <c r="N228" s="8" t="str">
        <f aca="false">IF($A228="","",IFERROR(IF(INDEX(O1_Community_Attributes!$W$1:$W$500,MATCH($A228,O1_Community_Attributes!$A$1:$A$500,0))="","",INDEX(O1_Community_Attributes!$W$1:$W$500,MATCH($A228,O1_Community_Attributes!$A$1:$A$500,0))),""))</f>
        <v/>
      </c>
      <c r="O228" s="8" t="str">
        <f aca="false">IF($A228="","",IFERROR(IF(INDEX(O1_Community_Attributes!$X$1:$X$500,MATCH($A228,O1_Community_Attributes!$A$1:$A$500,0))="","",INDEX(O1_Community_Attributes!$X$1:$X$500,MATCH($A228,O1_Community_Attributes!$A$1:$A$500,0))),""))</f>
        <v/>
      </c>
      <c r="P228" s="8" t="str">
        <f aca="false">IF($A228="","",IFERROR(IF(INDEX(O1_Community_Attributes!$Y$1:$Y$500,MATCH($A228,O1_Community_Attributes!$A$1:$A$500,0))="","",INDEX(O1_Community_Attributes!$Y$1:$Y$500,MATCH($A228,O1_Community_Attributes!$A$1:$A$500,0))),""))</f>
        <v/>
      </c>
      <c r="Q228" s="8" t="str">
        <f aca="false">IF($A228="","",IFERROR(IF(INDEX(O1_Community_Attributes!$Z$1:$Z$500,MATCH($A228,O1_Community_Attributes!$A$1:$A$500,0))="","",INDEX(O1_Community_Attributes!$Z$1:$Z$500,MATCH($A228,O1_Community_Attributes!$A$1:$A$500,0))),""))</f>
        <v/>
      </c>
      <c r="R228" s="8" t="str">
        <f aca="false">IF($A228="","",IFERROR(IF(INDEX(O1_Community_Attributes!$BK$1:$BK$500,MATCH($A228,O1_Community_Attributes!$A$1:$A$500,0))="","",INDEX(O1_Community_Attributes!$BK$1:$BK$500,MATCH($A228,O1_Community_Attributes!$A$1:$A$500,0))),""))</f>
        <v/>
      </c>
      <c r="S228" s="8" t="str">
        <f aca="false">IF(OR($C228="",$M228=""),"",$M228/$C228)</f>
        <v/>
      </c>
      <c r="T228" s="8" t="str">
        <f aca="false">IF($C228="","",IF(AND($M228="",$P228=""),"",IF($M228="","B",IF(ABS($S228-1)&lt;=0.3,"A",IF(OR($S228&gt;2,$S228&lt;0.5),"C","B")))))</f>
        <v/>
      </c>
    </row>
    <row r="229" customFormat="false" ht="15" hidden="false" customHeight="true" outlineLevel="0" collapsed="false">
      <c r="H229" s="8" t="str">
        <f aca="false">IF(C229="","",IF(C229&lt;1,"yes","no"))</f>
        <v/>
      </c>
      <c r="I229" s="8" t="str">
        <f aca="false">IF(C229="","",IF(C229&lt;2.6,"r75",IF(C229&lt;5.2,"r110",IF(C229&lt;9.9,"r150",IF(C229&lt;19.8,"r210","r300")))))</f>
        <v/>
      </c>
      <c r="M229" s="8" t="str">
        <f aca="false">IF($A229="","",IFERROR(IF(INDEX(O1_Community_Attributes!$V$1:$V$500,MATCH($A229,O1_Community_Attributes!$A$1:$A$500,0))="","",INDEX(O1_Community_Attributes!$V$1:$V$500,MATCH($A229,O1_Community_Attributes!$A$1:$A$500,0))),""))</f>
        <v/>
      </c>
      <c r="N229" s="8" t="str">
        <f aca="false">IF($A229="","",IFERROR(IF(INDEX(O1_Community_Attributes!$W$1:$W$500,MATCH($A229,O1_Community_Attributes!$A$1:$A$500,0))="","",INDEX(O1_Community_Attributes!$W$1:$W$500,MATCH($A229,O1_Community_Attributes!$A$1:$A$500,0))),""))</f>
        <v/>
      </c>
      <c r="O229" s="8" t="str">
        <f aca="false">IF($A229="","",IFERROR(IF(INDEX(O1_Community_Attributes!$X$1:$X$500,MATCH($A229,O1_Community_Attributes!$A$1:$A$500,0))="","",INDEX(O1_Community_Attributes!$X$1:$X$500,MATCH($A229,O1_Community_Attributes!$A$1:$A$500,0))),""))</f>
        <v/>
      </c>
      <c r="P229" s="8" t="str">
        <f aca="false">IF($A229="","",IFERROR(IF(INDEX(O1_Community_Attributes!$Y$1:$Y$500,MATCH($A229,O1_Community_Attributes!$A$1:$A$500,0))="","",INDEX(O1_Community_Attributes!$Y$1:$Y$500,MATCH($A229,O1_Community_Attributes!$A$1:$A$500,0))),""))</f>
        <v/>
      </c>
      <c r="Q229" s="8" t="str">
        <f aca="false">IF($A229="","",IFERROR(IF(INDEX(O1_Community_Attributes!$Z$1:$Z$500,MATCH($A229,O1_Community_Attributes!$A$1:$A$500,0))="","",INDEX(O1_Community_Attributes!$Z$1:$Z$500,MATCH($A229,O1_Community_Attributes!$A$1:$A$500,0))),""))</f>
        <v/>
      </c>
      <c r="R229" s="8" t="str">
        <f aca="false">IF($A229="","",IFERROR(IF(INDEX(O1_Community_Attributes!$BK$1:$BK$500,MATCH($A229,O1_Community_Attributes!$A$1:$A$500,0))="","",INDEX(O1_Community_Attributes!$BK$1:$BK$500,MATCH($A229,O1_Community_Attributes!$A$1:$A$500,0))),""))</f>
        <v/>
      </c>
      <c r="S229" s="8" t="str">
        <f aca="false">IF(OR($C229="",$M229=""),"",$M229/$C229)</f>
        <v/>
      </c>
      <c r="T229" s="8" t="str">
        <f aca="false">IF($C229="","",IF(AND($M229="",$P229=""),"",IF($M229="","B",IF(ABS($S229-1)&lt;=0.3,"A",IF(OR($S229&gt;2,$S229&lt;0.5),"C","B")))))</f>
        <v/>
      </c>
    </row>
    <row r="230" customFormat="false" ht="15" hidden="false" customHeight="true" outlineLevel="0" collapsed="false">
      <c r="H230" s="8" t="str">
        <f aca="false">IF(C230="","",IF(C230&lt;1,"yes","no"))</f>
        <v/>
      </c>
      <c r="I230" s="8" t="str">
        <f aca="false">IF(C230="","",IF(C230&lt;2.6,"r75",IF(C230&lt;5.2,"r110",IF(C230&lt;9.9,"r150",IF(C230&lt;19.8,"r210","r300")))))</f>
        <v/>
      </c>
      <c r="M230" s="8" t="str">
        <f aca="false">IF($A230="","",IFERROR(IF(INDEX(O1_Community_Attributes!$V$1:$V$500,MATCH($A230,O1_Community_Attributes!$A$1:$A$500,0))="","",INDEX(O1_Community_Attributes!$V$1:$V$500,MATCH($A230,O1_Community_Attributes!$A$1:$A$500,0))),""))</f>
        <v/>
      </c>
      <c r="N230" s="8" t="str">
        <f aca="false">IF($A230="","",IFERROR(IF(INDEX(O1_Community_Attributes!$W$1:$W$500,MATCH($A230,O1_Community_Attributes!$A$1:$A$500,0))="","",INDEX(O1_Community_Attributes!$W$1:$W$500,MATCH($A230,O1_Community_Attributes!$A$1:$A$500,0))),""))</f>
        <v/>
      </c>
      <c r="O230" s="8" t="str">
        <f aca="false">IF($A230="","",IFERROR(IF(INDEX(O1_Community_Attributes!$X$1:$X$500,MATCH($A230,O1_Community_Attributes!$A$1:$A$500,0))="","",INDEX(O1_Community_Attributes!$X$1:$X$500,MATCH($A230,O1_Community_Attributes!$A$1:$A$500,0))),""))</f>
        <v/>
      </c>
      <c r="P230" s="8" t="str">
        <f aca="false">IF($A230="","",IFERROR(IF(INDEX(O1_Community_Attributes!$Y$1:$Y$500,MATCH($A230,O1_Community_Attributes!$A$1:$A$500,0))="","",INDEX(O1_Community_Attributes!$Y$1:$Y$500,MATCH($A230,O1_Community_Attributes!$A$1:$A$500,0))),""))</f>
        <v/>
      </c>
      <c r="Q230" s="8" t="str">
        <f aca="false">IF($A230="","",IFERROR(IF(INDEX(O1_Community_Attributes!$Z$1:$Z$500,MATCH($A230,O1_Community_Attributes!$A$1:$A$500,0))="","",INDEX(O1_Community_Attributes!$Z$1:$Z$500,MATCH($A230,O1_Community_Attributes!$A$1:$A$500,0))),""))</f>
        <v/>
      </c>
      <c r="R230" s="8" t="str">
        <f aca="false">IF($A230="","",IFERROR(IF(INDEX(O1_Community_Attributes!$BK$1:$BK$500,MATCH($A230,O1_Community_Attributes!$A$1:$A$500,0))="","",INDEX(O1_Community_Attributes!$BK$1:$BK$500,MATCH($A230,O1_Community_Attributes!$A$1:$A$500,0))),""))</f>
        <v/>
      </c>
      <c r="S230" s="8" t="str">
        <f aca="false">IF(OR($C230="",$M230=""),"",$M230/$C230)</f>
        <v/>
      </c>
      <c r="T230" s="8" t="str">
        <f aca="false">IF($C230="","",IF(AND($M230="",$P230=""),"",IF($M230="","B",IF(ABS($S230-1)&lt;=0.3,"A",IF(OR($S230&gt;2,$S230&lt;0.5),"C","B")))))</f>
        <v/>
      </c>
    </row>
    <row r="231" customFormat="false" ht="15" hidden="false" customHeight="true" outlineLevel="0" collapsed="false">
      <c r="H231" s="8" t="str">
        <f aca="false">IF(C231="","",IF(C231&lt;1,"yes","no"))</f>
        <v/>
      </c>
      <c r="I231" s="8" t="str">
        <f aca="false">IF(C231="","",IF(C231&lt;2.6,"r75",IF(C231&lt;5.2,"r110",IF(C231&lt;9.9,"r150",IF(C231&lt;19.8,"r210","r300")))))</f>
        <v/>
      </c>
      <c r="M231" s="8" t="str">
        <f aca="false">IF($A231="","",IFERROR(IF(INDEX(O1_Community_Attributes!$V$1:$V$500,MATCH($A231,O1_Community_Attributes!$A$1:$A$500,0))="","",INDEX(O1_Community_Attributes!$V$1:$V$500,MATCH($A231,O1_Community_Attributes!$A$1:$A$500,0))),""))</f>
        <v/>
      </c>
      <c r="N231" s="8" t="str">
        <f aca="false">IF($A231="","",IFERROR(IF(INDEX(O1_Community_Attributes!$W$1:$W$500,MATCH($A231,O1_Community_Attributes!$A$1:$A$500,0))="","",INDEX(O1_Community_Attributes!$W$1:$W$500,MATCH($A231,O1_Community_Attributes!$A$1:$A$500,0))),""))</f>
        <v/>
      </c>
      <c r="O231" s="8" t="str">
        <f aca="false">IF($A231="","",IFERROR(IF(INDEX(O1_Community_Attributes!$X$1:$X$500,MATCH($A231,O1_Community_Attributes!$A$1:$A$500,0))="","",INDEX(O1_Community_Attributes!$X$1:$X$500,MATCH($A231,O1_Community_Attributes!$A$1:$A$500,0))),""))</f>
        <v/>
      </c>
      <c r="P231" s="8" t="str">
        <f aca="false">IF($A231="","",IFERROR(IF(INDEX(O1_Community_Attributes!$Y$1:$Y$500,MATCH($A231,O1_Community_Attributes!$A$1:$A$500,0))="","",INDEX(O1_Community_Attributes!$Y$1:$Y$500,MATCH($A231,O1_Community_Attributes!$A$1:$A$500,0))),""))</f>
        <v/>
      </c>
      <c r="Q231" s="8" t="str">
        <f aca="false">IF($A231="","",IFERROR(IF(INDEX(O1_Community_Attributes!$Z$1:$Z$500,MATCH($A231,O1_Community_Attributes!$A$1:$A$500,0))="","",INDEX(O1_Community_Attributes!$Z$1:$Z$500,MATCH($A231,O1_Community_Attributes!$A$1:$A$500,0))),""))</f>
        <v/>
      </c>
      <c r="R231" s="8" t="str">
        <f aca="false">IF($A231="","",IFERROR(IF(INDEX(O1_Community_Attributes!$BK$1:$BK$500,MATCH($A231,O1_Community_Attributes!$A$1:$A$500,0))="","",INDEX(O1_Community_Attributes!$BK$1:$BK$500,MATCH($A231,O1_Community_Attributes!$A$1:$A$500,0))),""))</f>
        <v/>
      </c>
      <c r="S231" s="8" t="str">
        <f aca="false">IF(OR($C231="",$M231=""),"",$M231/$C231)</f>
        <v/>
      </c>
      <c r="T231" s="8" t="str">
        <f aca="false">IF($C231="","",IF(AND($M231="",$P231=""),"",IF($M231="","B",IF(ABS($S231-1)&lt;=0.3,"A",IF(OR($S231&gt;2,$S231&lt;0.5),"C","B")))))</f>
        <v/>
      </c>
    </row>
    <row r="232" customFormat="false" ht="15" hidden="false" customHeight="true" outlineLevel="0" collapsed="false">
      <c r="H232" s="8" t="str">
        <f aca="false">IF(C232="","",IF(C232&lt;1,"yes","no"))</f>
        <v/>
      </c>
      <c r="I232" s="8" t="str">
        <f aca="false">IF(C232="","",IF(C232&lt;2.6,"r75",IF(C232&lt;5.2,"r110",IF(C232&lt;9.9,"r150",IF(C232&lt;19.8,"r210","r300")))))</f>
        <v/>
      </c>
      <c r="M232" s="8" t="str">
        <f aca="false">IF($A232="","",IFERROR(IF(INDEX(O1_Community_Attributes!$V$1:$V$500,MATCH($A232,O1_Community_Attributes!$A$1:$A$500,0))="","",INDEX(O1_Community_Attributes!$V$1:$V$500,MATCH($A232,O1_Community_Attributes!$A$1:$A$500,0))),""))</f>
        <v/>
      </c>
      <c r="N232" s="8" t="str">
        <f aca="false">IF($A232="","",IFERROR(IF(INDEX(O1_Community_Attributes!$W$1:$W$500,MATCH($A232,O1_Community_Attributes!$A$1:$A$500,0))="","",INDEX(O1_Community_Attributes!$W$1:$W$500,MATCH($A232,O1_Community_Attributes!$A$1:$A$500,0))),""))</f>
        <v/>
      </c>
      <c r="O232" s="8" t="str">
        <f aca="false">IF($A232="","",IFERROR(IF(INDEX(O1_Community_Attributes!$X$1:$X$500,MATCH($A232,O1_Community_Attributes!$A$1:$A$500,0))="","",INDEX(O1_Community_Attributes!$X$1:$X$500,MATCH($A232,O1_Community_Attributes!$A$1:$A$500,0))),""))</f>
        <v/>
      </c>
      <c r="P232" s="8" t="str">
        <f aca="false">IF($A232="","",IFERROR(IF(INDEX(O1_Community_Attributes!$Y$1:$Y$500,MATCH($A232,O1_Community_Attributes!$A$1:$A$500,0))="","",INDEX(O1_Community_Attributes!$Y$1:$Y$500,MATCH($A232,O1_Community_Attributes!$A$1:$A$500,0))),""))</f>
        <v/>
      </c>
      <c r="Q232" s="8" t="str">
        <f aca="false">IF($A232="","",IFERROR(IF(INDEX(O1_Community_Attributes!$Z$1:$Z$500,MATCH($A232,O1_Community_Attributes!$A$1:$A$500,0))="","",INDEX(O1_Community_Attributes!$Z$1:$Z$500,MATCH($A232,O1_Community_Attributes!$A$1:$A$500,0))),""))</f>
        <v/>
      </c>
      <c r="R232" s="8" t="str">
        <f aca="false">IF($A232="","",IFERROR(IF(INDEX(O1_Community_Attributes!$BK$1:$BK$500,MATCH($A232,O1_Community_Attributes!$A$1:$A$500,0))="","",INDEX(O1_Community_Attributes!$BK$1:$BK$500,MATCH($A232,O1_Community_Attributes!$A$1:$A$500,0))),""))</f>
        <v/>
      </c>
      <c r="S232" s="8" t="str">
        <f aca="false">IF(OR($C232="",$M232=""),"",$M232/$C232)</f>
        <v/>
      </c>
      <c r="T232" s="8" t="str">
        <f aca="false">IF($C232="","",IF(AND($M232="",$P232=""),"",IF($M232="","B",IF(ABS($S232-1)&lt;=0.3,"A",IF(OR($S232&gt;2,$S232&lt;0.5),"C","B")))))</f>
        <v/>
      </c>
    </row>
    <row r="233" customFormat="false" ht="15" hidden="false" customHeight="true" outlineLevel="0" collapsed="false">
      <c r="H233" s="8" t="str">
        <f aca="false">IF(C233="","",IF(C233&lt;1,"yes","no"))</f>
        <v/>
      </c>
      <c r="I233" s="8" t="str">
        <f aca="false">IF(C233="","",IF(C233&lt;2.6,"r75",IF(C233&lt;5.2,"r110",IF(C233&lt;9.9,"r150",IF(C233&lt;19.8,"r210","r300")))))</f>
        <v/>
      </c>
      <c r="M233" s="8" t="str">
        <f aca="false">IF($A233="","",IFERROR(IF(INDEX(O1_Community_Attributes!$V$1:$V$500,MATCH($A233,O1_Community_Attributes!$A$1:$A$500,0))="","",INDEX(O1_Community_Attributes!$V$1:$V$500,MATCH($A233,O1_Community_Attributes!$A$1:$A$500,0))),""))</f>
        <v/>
      </c>
      <c r="N233" s="8" t="str">
        <f aca="false">IF($A233="","",IFERROR(IF(INDEX(O1_Community_Attributes!$W$1:$W$500,MATCH($A233,O1_Community_Attributes!$A$1:$A$500,0))="","",INDEX(O1_Community_Attributes!$W$1:$W$500,MATCH($A233,O1_Community_Attributes!$A$1:$A$500,0))),""))</f>
        <v/>
      </c>
      <c r="O233" s="8" t="str">
        <f aca="false">IF($A233="","",IFERROR(IF(INDEX(O1_Community_Attributes!$X$1:$X$500,MATCH($A233,O1_Community_Attributes!$A$1:$A$500,0))="","",INDEX(O1_Community_Attributes!$X$1:$X$500,MATCH($A233,O1_Community_Attributes!$A$1:$A$500,0))),""))</f>
        <v/>
      </c>
      <c r="P233" s="8" t="str">
        <f aca="false">IF($A233="","",IFERROR(IF(INDEX(O1_Community_Attributes!$Y$1:$Y$500,MATCH($A233,O1_Community_Attributes!$A$1:$A$500,0))="","",INDEX(O1_Community_Attributes!$Y$1:$Y$500,MATCH($A233,O1_Community_Attributes!$A$1:$A$500,0))),""))</f>
        <v/>
      </c>
      <c r="Q233" s="8" t="str">
        <f aca="false">IF($A233="","",IFERROR(IF(INDEX(O1_Community_Attributes!$Z$1:$Z$500,MATCH($A233,O1_Community_Attributes!$A$1:$A$500,0))="","",INDEX(O1_Community_Attributes!$Z$1:$Z$500,MATCH($A233,O1_Community_Attributes!$A$1:$A$500,0))),""))</f>
        <v/>
      </c>
      <c r="R233" s="8" t="str">
        <f aca="false">IF($A233="","",IFERROR(IF(INDEX(O1_Community_Attributes!$BK$1:$BK$500,MATCH($A233,O1_Community_Attributes!$A$1:$A$500,0))="","",INDEX(O1_Community_Attributes!$BK$1:$BK$500,MATCH($A233,O1_Community_Attributes!$A$1:$A$500,0))),""))</f>
        <v/>
      </c>
      <c r="S233" s="8" t="str">
        <f aca="false">IF(OR($C233="",$M233=""),"",$M233/$C233)</f>
        <v/>
      </c>
      <c r="T233" s="8" t="str">
        <f aca="false">IF($C233="","",IF(AND($M233="",$P233=""),"",IF($M233="","B",IF(ABS($S233-1)&lt;=0.3,"A",IF(OR($S233&gt;2,$S233&lt;0.5),"C","B")))))</f>
        <v/>
      </c>
    </row>
    <row r="234" customFormat="false" ht="15" hidden="false" customHeight="true" outlineLevel="0" collapsed="false">
      <c r="H234" s="8" t="str">
        <f aca="false">IF(C234="","",IF(C234&lt;1,"yes","no"))</f>
        <v/>
      </c>
      <c r="I234" s="8" t="str">
        <f aca="false">IF(C234="","",IF(C234&lt;2.6,"r75",IF(C234&lt;5.2,"r110",IF(C234&lt;9.9,"r150",IF(C234&lt;19.8,"r210","r300")))))</f>
        <v/>
      </c>
      <c r="M234" s="8" t="str">
        <f aca="false">IF($A234="","",IFERROR(IF(INDEX(O1_Community_Attributes!$V$1:$V$500,MATCH($A234,O1_Community_Attributes!$A$1:$A$500,0))="","",INDEX(O1_Community_Attributes!$V$1:$V$500,MATCH($A234,O1_Community_Attributes!$A$1:$A$500,0))),""))</f>
        <v/>
      </c>
      <c r="N234" s="8" t="str">
        <f aca="false">IF($A234="","",IFERROR(IF(INDEX(O1_Community_Attributes!$W$1:$W$500,MATCH($A234,O1_Community_Attributes!$A$1:$A$500,0))="","",INDEX(O1_Community_Attributes!$W$1:$W$500,MATCH($A234,O1_Community_Attributes!$A$1:$A$500,0))),""))</f>
        <v/>
      </c>
      <c r="O234" s="8" t="str">
        <f aca="false">IF($A234="","",IFERROR(IF(INDEX(O1_Community_Attributes!$X$1:$X$500,MATCH($A234,O1_Community_Attributes!$A$1:$A$500,0))="","",INDEX(O1_Community_Attributes!$X$1:$X$500,MATCH($A234,O1_Community_Attributes!$A$1:$A$500,0))),""))</f>
        <v/>
      </c>
      <c r="P234" s="8" t="str">
        <f aca="false">IF($A234="","",IFERROR(IF(INDEX(O1_Community_Attributes!$Y$1:$Y$500,MATCH($A234,O1_Community_Attributes!$A$1:$A$500,0))="","",INDEX(O1_Community_Attributes!$Y$1:$Y$500,MATCH($A234,O1_Community_Attributes!$A$1:$A$500,0))),""))</f>
        <v/>
      </c>
      <c r="Q234" s="8" t="str">
        <f aca="false">IF($A234="","",IFERROR(IF(INDEX(O1_Community_Attributes!$Z$1:$Z$500,MATCH($A234,O1_Community_Attributes!$A$1:$A$500,0))="","",INDEX(O1_Community_Attributes!$Z$1:$Z$500,MATCH($A234,O1_Community_Attributes!$A$1:$A$500,0))),""))</f>
        <v/>
      </c>
      <c r="R234" s="8" t="str">
        <f aca="false">IF($A234="","",IFERROR(IF(INDEX(O1_Community_Attributes!$BK$1:$BK$500,MATCH($A234,O1_Community_Attributes!$A$1:$A$500,0))="","",INDEX(O1_Community_Attributes!$BK$1:$BK$500,MATCH($A234,O1_Community_Attributes!$A$1:$A$500,0))),""))</f>
        <v/>
      </c>
      <c r="S234" s="8" t="str">
        <f aca="false">IF(OR($C234="",$M234=""),"",$M234/$C234)</f>
        <v/>
      </c>
      <c r="T234" s="8" t="str">
        <f aca="false">IF($C234="","",IF(AND($M234="",$P234=""),"",IF($M234="","B",IF(ABS($S234-1)&lt;=0.3,"A",IF(OR($S234&gt;2,$S234&lt;0.5),"C","B")))))</f>
        <v/>
      </c>
    </row>
    <row r="235" customFormat="false" ht="15" hidden="false" customHeight="true" outlineLevel="0" collapsed="false">
      <c r="H235" s="8" t="str">
        <f aca="false">IF(C235="","",IF(C235&lt;1,"yes","no"))</f>
        <v/>
      </c>
      <c r="I235" s="8" t="str">
        <f aca="false">IF(C235="","",IF(C235&lt;2.6,"r75",IF(C235&lt;5.2,"r110",IF(C235&lt;9.9,"r150",IF(C235&lt;19.8,"r210","r300")))))</f>
        <v/>
      </c>
      <c r="M235" s="8" t="str">
        <f aca="false">IF($A235="","",IFERROR(IF(INDEX(O1_Community_Attributes!$V$1:$V$500,MATCH($A235,O1_Community_Attributes!$A$1:$A$500,0))="","",INDEX(O1_Community_Attributes!$V$1:$V$500,MATCH($A235,O1_Community_Attributes!$A$1:$A$500,0))),""))</f>
        <v/>
      </c>
      <c r="N235" s="8" t="str">
        <f aca="false">IF($A235="","",IFERROR(IF(INDEX(O1_Community_Attributes!$W$1:$W$500,MATCH($A235,O1_Community_Attributes!$A$1:$A$500,0))="","",INDEX(O1_Community_Attributes!$W$1:$W$500,MATCH($A235,O1_Community_Attributes!$A$1:$A$500,0))),""))</f>
        <v/>
      </c>
      <c r="O235" s="8" t="str">
        <f aca="false">IF($A235="","",IFERROR(IF(INDEX(O1_Community_Attributes!$X$1:$X$500,MATCH($A235,O1_Community_Attributes!$A$1:$A$500,0))="","",INDEX(O1_Community_Attributes!$X$1:$X$500,MATCH($A235,O1_Community_Attributes!$A$1:$A$500,0))),""))</f>
        <v/>
      </c>
      <c r="P235" s="8" t="str">
        <f aca="false">IF($A235="","",IFERROR(IF(INDEX(O1_Community_Attributes!$Y$1:$Y$500,MATCH($A235,O1_Community_Attributes!$A$1:$A$500,0))="","",INDEX(O1_Community_Attributes!$Y$1:$Y$500,MATCH($A235,O1_Community_Attributes!$A$1:$A$500,0))),""))</f>
        <v/>
      </c>
      <c r="Q235" s="8" t="str">
        <f aca="false">IF($A235="","",IFERROR(IF(INDEX(O1_Community_Attributes!$Z$1:$Z$500,MATCH($A235,O1_Community_Attributes!$A$1:$A$500,0))="","",INDEX(O1_Community_Attributes!$Z$1:$Z$500,MATCH($A235,O1_Community_Attributes!$A$1:$A$500,0))),""))</f>
        <v/>
      </c>
      <c r="R235" s="8" t="str">
        <f aca="false">IF($A235="","",IFERROR(IF(INDEX(O1_Community_Attributes!$BK$1:$BK$500,MATCH($A235,O1_Community_Attributes!$A$1:$A$500,0))="","",INDEX(O1_Community_Attributes!$BK$1:$BK$500,MATCH($A235,O1_Community_Attributes!$A$1:$A$500,0))),""))</f>
        <v/>
      </c>
      <c r="S235" s="8" t="str">
        <f aca="false">IF(OR($C235="",$M235=""),"",$M235/$C235)</f>
        <v/>
      </c>
      <c r="T235" s="8" t="str">
        <f aca="false">IF($C235="","",IF(AND($M235="",$P235=""),"",IF($M235="","B",IF(ABS($S235-1)&lt;=0.3,"A",IF(OR($S235&gt;2,$S235&lt;0.5),"C","B")))))</f>
        <v/>
      </c>
    </row>
    <row r="236" customFormat="false" ht="15" hidden="false" customHeight="true" outlineLevel="0" collapsed="false">
      <c r="H236" s="8" t="str">
        <f aca="false">IF(C236="","",IF(C236&lt;1,"yes","no"))</f>
        <v/>
      </c>
      <c r="I236" s="8" t="str">
        <f aca="false">IF(C236="","",IF(C236&lt;2.6,"r75",IF(C236&lt;5.2,"r110",IF(C236&lt;9.9,"r150",IF(C236&lt;19.8,"r210","r300")))))</f>
        <v/>
      </c>
      <c r="M236" s="8" t="str">
        <f aca="false">IF($A236="","",IFERROR(IF(INDEX(O1_Community_Attributes!$V$1:$V$500,MATCH($A236,O1_Community_Attributes!$A$1:$A$500,0))="","",INDEX(O1_Community_Attributes!$V$1:$V$500,MATCH($A236,O1_Community_Attributes!$A$1:$A$500,0))),""))</f>
        <v/>
      </c>
      <c r="N236" s="8" t="str">
        <f aca="false">IF($A236="","",IFERROR(IF(INDEX(O1_Community_Attributes!$W$1:$W$500,MATCH($A236,O1_Community_Attributes!$A$1:$A$500,0))="","",INDEX(O1_Community_Attributes!$W$1:$W$500,MATCH($A236,O1_Community_Attributes!$A$1:$A$500,0))),""))</f>
        <v/>
      </c>
      <c r="O236" s="8" t="str">
        <f aca="false">IF($A236="","",IFERROR(IF(INDEX(O1_Community_Attributes!$X$1:$X$500,MATCH($A236,O1_Community_Attributes!$A$1:$A$500,0))="","",INDEX(O1_Community_Attributes!$X$1:$X$500,MATCH($A236,O1_Community_Attributes!$A$1:$A$500,0))),""))</f>
        <v/>
      </c>
      <c r="P236" s="8" t="str">
        <f aca="false">IF($A236="","",IFERROR(IF(INDEX(O1_Community_Attributes!$Y$1:$Y$500,MATCH($A236,O1_Community_Attributes!$A$1:$A$500,0))="","",INDEX(O1_Community_Attributes!$Y$1:$Y$500,MATCH($A236,O1_Community_Attributes!$A$1:$A$500,0))),""))</f>
        <v/>
      </c>
      <c r="Q236" s="8" t="str">
        <f aca="false">IF($A236="","",IFERROR(IF(INDEX(O1_Community_Attributes!$Z$1:$Z$500,MATCH($A236,O1_Community_Attributes!$A$1:$A$500,0))="","",INDEX(O1_Community_Attributes!$Z$1:$Z$500,MATCH($A236,O1_Community_Attributes!$A$1:$A$500,0))),""))</f>
        <v/>
      </c>
      <c r="R236" s="8" t="str">
        <f aca="false">IF($A236="","",IFERROR(IF(INDEX(O1_Community_Attributes!$BK$1:$BK$500,MATCH($A236,O1_Community_Attributes!$A$1:$A$500,0))="","",INDEX(O1_Community_Attributes!$BK$1:$BK$500,MATCH($A236,O1_Community_Attributes!$A$1:$A$500,0))),""))</f>
        <v/>
      </c>
      <c r="S236" s="8" t="str">
        <f aca="false">IF(OR($C236="",$M236=""),"",$M236/$C236)</f>
        <v/>
      </c>
      <c r="T236" s="8" t="str">
        <f aca="false">IF($C236="","",IF(AND($M236="",$P236=""),"",IF($M236="","B",IF(ABS($S236-1)&lt;=0.3,"A",IF(OR($S236&gt;2,$S236&lt;0.5),"C","B")))))</f>
        <v/>
      </c>
    </row>
    <row r="237" customFormat="false" ht="15" hidden="false" customHeight="true" outlineLevel="0" collapsed="false">
      <c r="H237" s="8" t="str">
        <f aca="false">IF(C237="","",IF(C237&lt;1,"yes","no"))</f>
        <v/>
      </c>
      <c r="I237" s="8" t="str">
        <f aca="false">IF(C237="","",IF(C237&lt;2.6,"r75",IF(C237&lt;5.2,"r110",IF(C237&lt;9.9,"r150",IF(C237&lt;19.8,"r210","r300")))))</f>
        <v/>
      </c>
      <c r="M237" s="8" t="str">
        <f aca="false">IF($A237="","",IFERROR(IF(INDEX(O1_Community_Attributes!$V$1:$V$500,MATCH($A237,O1_Community_Attributes!$A$1:$A$500,0))="","",INDEX(O1_Community_Attributes!$V$1:$V$500,MATCH($A237,O1_Community_Attributes!$A$1:$A$500,0))),""))</f>
        <v/>
      </c>
      <c r="N237" s="8" t="str">
        <f aca="false">IF($A237="","",IFERROR(IF(INDEX(O1_Community_Attributes!$W$1:$W$500,MATCH($A237,O1_Community_Attributes!$A$1:$A$500,0))="","",INDEX(O1_Community_Attributes!$W$1:$W$500,MATCH($A237,O1_Community_Attributes!$A$1:$A$500,0))),""))</f>
        <v/>
      </c>
      <c r="O237" s="8" t="str">
        <f aca="false">IF($A237="","",IFERROR(IF(INDEX(O1_Community_Attributes!$X$1:$X$500,MATCH($A237,O1_Community_Attributes!$A$1:$A$500,0))="","",INDEX(O1_Community_Attributes!$X$1:$X$500,MATCH($A237,O1_Community_Attributes!$A$1:$A$500,0))),""))</f>
        <v/>
      </c>
      <c r="P237" s="8" t="str">
        <f aca="false">IF($A237="","",IFERROR(IF(INDEX(O1_Community_Attributes!$Y$1:$Y$500,MATCH($A237,O1_Community_Attributes!$A$1:$A$500,0))="","",INDEX(O1_Community_Attributes!$Y$1:$Y$500,MATCH($A237,O1_Community_Attributes!$A$1:$A$500,0))),""))</f>
        <v/>
      </c>
      <c r="Q237" s="8" t="str">
        <f aca="false">IF($A237="","",IFERROR(IF(INDEX(O1_Community_Attributes!$Z$1:$Z$500,MATCH($A237,O1_Community_Attributes!$A$1:$A$500,0))="","",INDEX(O1_Community_Attributes!$Z$1:$Z$500,MATCH($A237,O1_Community_Attributes!$A$1:$A$500,0))),""))</f>
        <v/>
      </c>
      <c r="R237" s="8" t="str">
        <f aca="false">IF($A237="","",IFERROR(IF(INDEX(O1_Community_Attributes!$BK$1:$BK$500,MATCH($A237,O1_Community_Attributes!$A$1:$A$500,0))="","",INDEX(O1_Community_Attributes!$BK$1:$BK$500,MATCH($A237,O1_Community_Attributes!$A$1:$A$500,0))),""))</f>
        <v/>
      </c>
      <c r="S237" s="8" t="str">
        <f aca="false">IF(OR($C237="",$M237=""),"",$M237/$C237)</f>
        <v/>
      </c>
      <c r="T237" s="8" t="str">
        <f aca="false">IF($C237="","",IF(AND($M237="",$P237=""),"",IF($M237="","B",IF(ABS($S237-1)&lt;=0.3,"A",IF(OR($S237&gt;2,$S237&lt;0.5),"C","B")))))</f>
        <v/>
      </c>
    </row>
    <row r="238" customFormat="false" ht="15" hidden="false" customHeight="true" outlineLevel="0" collapsed="false">
      <c r="H238" s="8" t="str">
        <f aca="false">IF(C238="","",IF(C238&lt;1,"yes","no"))</f>
        <v/>
      </c>
      <c r="I238" s="8" t="str">
        <f aca="false">IF(C238="","",IF(C238&lt;2.6,"r75",IF(C238&lt;5.2,"r110",IF(C238&lt;9.9,"r150",IF(C238&lt;19.8,"r210","r300")))))</f>
        <v/>
      </c>
      <c r="M238" s="8" t="str">
        <f aca="false">IF($A238="","",IFERROR(IF(INDEX(O1_Community_Attributes!$V$1:$V$500,MATCH($A238,O1_Community_Attributes!$A$1:$A$500,0))="","",INDEX(O1_Community_Attributes!$V$1:$V$500,MATCH($A238,O1_Community_Attributes!$A$1:$A$500,0))),""))</f>
        <v/>
      </c>
      <c r="N238" s="8" t="str">
        <f aca="false">IF($A238="","",IFERROR(IF(INDEX(O1_Community_Attributes!$W$1:$W$500,MATCH($A238,O1_Community_Attributes!$A$1:$A$500,0))="","",INDEX(O1_Community_Attributes!$W$1:$W$500,MATCH($A238,O1_Community_Attributes!$A$1:$A$500,0))),""))</f>
        <v/>
      </c>
      <c r="O238" s="8" t="str">
        <f aca="false">IF($A238="","",IFERROR(IF(INDEX(O1_Community_Attributes!$X$1:$X$500,MATCH($A238,O1_Community_Attributes!$A$1:$A$500,0))="","",INDEX(O1_Community_Attributes!$X$1:$X$500,MATCH($A238,O1_Community_Attributes!$A$1:$A$500,0))),""))</f>
        <v/>
      </c>
      <c r="P238" s="8" t="str">
        <f aca="false">IF($A238="","",IFERROR(IF(INDEX(O1_Community_Attributes!$Y$1:$Y$500,MATCH($A238,O1_Community_Attributes!$A$1:$A$500,0))="","",INDEX(O1_Community_Attributes!$Y$1:$Y$500,MATCH($A238,O1_Community_Attributes!$A$1:$A$500,0))),""))</f>
        <v/>
      </c>
      <c r="Q238" s="8" t="str">
        <f aca="false">IF($A238="","",IFERROR(IF(INDEX(O1_Community_Attributes!$Z$1:$Z$500,MATCH($A238,O1_Community_Attributes!$A$1:$A$500,0))="","",INDEX(O1_Community_Attributes!$Z$1:$Z$500,MATCH($A238,O1_Community_Attributes!$A$1:$A$500,0))),""))</f>
        <v/>
      </c>
      <c r="R238" s="8" t="str">
        <f aca="false">IF($A238="","",IFERROR(IF(INDEX(O1_Community_Attributes!$BK$1:$BK$500,MATCH($A238,O1_Community_Attributes!$A$1:$A$500,0))="","",INDEX(O1_Community_Attributes!$BK$1:$BK$500,MATCH($A238,O1_Community_Attributes!$A$1:$A$500,0))),""))</f>
        <v/>
      </c>
      <c r="S238" s="8" t="str">
        <f aca="false">IF(OR($C238="",$M238=""),"",$M238/$C238)</f>
        <v/>
      </c>
      <c r="T238" s="8" t="str">
        <f aca="false">IF($C238="","",IF(AND($M238="",$P238=""),"",IF($M238="","B",IF(ABS($S238-1)&lt;=0.3,"A",IF(OR($S238&gt;2,$S238&lt;0.5),"C","B")))))</f>
        <v/>
      </c>
    </row>
    <row r="239" customFormat="false" ht="15" hidden="false" customHeight="true" outlineLevel="0" collapsed="false">
      <c r="H239" s="8" t="str">
        <f aca="false">IF(C239="","",IF(C239&lt;1,"yes","no"))</f>
        <v/>
      </c>
      <c r="I239" s="8" t="str">
        <f aca="false">IF(C239="","",IF(C239&lt;2.6,"r75",IF(C239&lt;5.2,"r110",IF(C239&lt;9.9,"r150",IF(C239&lt;19.8,"r210","r300")))))</f>
        <v/>
      </c>
      <c r="M239" s="8" t="str">
        <f aca="false">IF($A239="","",IFERROR(IF(INDEX(O1_Community_Attributes!$V$1:$V$500,MATCH($A239,O1_Community_Attributes!$A$1:$A$500,0))="","",INDEX(O1_Community_Attributes!$V$1:$V$500,MATCH($A239,O1_Community_Attributes!$A$1:$A$500,0))),""))</f>
        <v/>
      </c>
      <c r="N239" s="8" t="str">
        <f aca="false">IF($A239="","",IFERROR(IF(INDEX(O1_Community_Attributes!$W$1:$W$500,MATCH($A239,O1_Community_Attributes!$A$1:$A$500,0))="","",INDEX(O1_Community_Attributes!$W$1:$W$500,MATCH($A239,O1_Community_Attributes!$A$1:$A$500,0))),""))</f>
        <v/>
      </c>
      <c r="O239" s="8" t="str">
        <f aca="false">IF($A239="","",IFERROR(IF(INDEX(O1_Community_Attributes!$X$1:$X$500,MATCH($A239,O1_Community_Attributes!$A$1:$A$500,0))="","",INDEX(O1_Community_Attributes!$X$1:$X$500,MATCH($A239,O1_Community_Attributes!$A$1:$A$500,0))),""))</f>
        <v/>
      </c>
      <c r="P239" s="8" t="str">
        <f aca="false">IF($A239="","",IFERROR(IF(INDEX(O1_Community_Attributes!$Y$1:$Y$500,MATCH($A239,O1_Community_Attributes!$A$1:$A$500,0))="","",INDEX(O1_Community_Attributes!$Y$1:$Y$500,MATCH($A239,O1_Community_Attributes!$A$1:$A$500,0))),""))</f>
        <v/>
      </c>
      <c r="Q239" s="8" t="str">
        <f aca="false">IF($A239="","",IFERROR(IF(INDEX(O1_Community_Attributes!$Z$1:$Z$500,MATCH($A239,O1_Community_Attributes!$A$1:$A$500,0))="","",INDEX(O1_Community_Attributes!$Z$1:$Z$500,MATCH($A239,O1_Community_Attributes!$A$1:$A$500,0))),""))</f>
        <v/>
      </c>
      <c r="R239" s="8" t="str">
        <f aca="false">IF($A239="","",IFERROR(IF(INDEX(O1_Community_Attributes!$BK$1:$BK$500,MATCH($A239,O1_Community_Attributes!$A$1:$A$500,0))="","",INDEX(O1_Community_Attributes!$BK$1:$BK$500,MATCH($A239,O1_Community_Attributes!$A$1:$A$500,0))),""))</f>
        <v/>
      </c>
      <c r="S239" s="8" t="str">
        <f aca="false">IF(OR($C239="",$M239=""),"",$M239/$C239)</f>
        <v/>
      </c>
      <c r="T239" s="8" t="str">
        <f aca="false">IF($C239="","",IF(AND($M239="",$P239=""),"",IF($M239="","B",IF(ABS($S239-1)&lt;=0.3,"A",IF(OR($S239&gt;2,$S239&lt;0.5),"C","B")))))</f>
        <v/>
      </c>
    </row>
    <row r="240" customFormat="false" ht="15" hidden="false" customHeight="true" outlineLevel="0" collapsed="false">
      <c r="H240" s="8" t="str">
        <f aca="false">IF(C240="","",IF(C240&lt;1,"yes","no"))</f>
        <v/>
      </c>
      <c r="I240" s="8" t="str">
        <f aca="false">IF(C240="","",IF(C240&lt;2.6,"r75",IF(C240&lt;5.2,"r110",IF(C240&lt;9.9,"r150",IF(C240&lt;19.8,"r210","r300")))))</f>
        <v/>
      </c>
      <c r="M240" s="8" t="str">
        <f aca="false">IF($A240="","",IFERROR(IF(INDEX(O1_Community_Attributes!$V$1:$V$500,MATCH($A240,O1_Community_Attributes!$A$1:$A$500,0))="","",INDEX(O1_Community_Attributes!$V$1:$V$500,MATCH($A240,O1_Community_Attributes!$A$1:$A$500,0))),""))</f>
        <v/>
      </c>
      <c r="N240" s="8" t="str">
        <f aca="false">IF($A240="","",IFERROR(IF(INDEX(O1_Community_Attributes!$W$1:$W$500,MATCH($A240,O1_Community_Attributes!$A$1:$A$500,0))="","",INDEX(O1_Community_Attributes!$W$1:$W$500,MATCH($A240,O1_Community_Attributes!$A$1:$A$500,0))),""))</f>
        <v/>
      </c>
      <c r="O240" s="8" t="str">
        <f aca="false">IF($A240="","",IFERROR(IF(INDEX(O1_Community_Attributes!$X$1:$X$500,MATCH($A240,O1_Community_Attributes!$A$1:$A$500,0))="","",INDEX(O1_Community_Attributes!$X$1:$X$500,MATCH($A240,O1_Community_Attributes!$A$1:$A$500,0))),""))</f>
        <v/>
      </c>
      <c r="P240" s="8" t="str">
        <f aca="false">IF($A240="","",IFERROR(IF(INDEX(O1_Community_Attributes!$Y$1:$Y$500,MATCH($A240,O1_Community_Attributes!$A$1:$A$500,0))="","",INDEX(O1_Community_Attributes!$Y$1:$Y$500,MATCH($A240,O1_Community_Attributes!$A$1:$A$500,0))),""))</f>
        <v/>
      </c>
      <c r="Q240" s="8" t="str">
        <f aca="false">IF($A240="","",IFERROR(IF(INDEX(O1_Community_Attributes!$Z$1:$Z$500,MATCH($A240,O1_Community_Attributes!$A$1:$A$500,0))="","",INDEX(O1_Community_Attributes!$Z$1:$Z$500,MATCH($A240,O1_Community_Attributes!$A$1:$A$500,0))),""))</f>
        <v/>
      </c>
      <c r="R240" s="8" t="str">
        <f aca="false">IF($A240="","",IFERROR(IF(INDEX(O1_Community_Attributes!$BK$1:$BK$500,MATCH($A240,O1_Community_Attributes!$A$1:$A$500,0))="","",INDEX(O1_Community_Attributes!$BK$1:$BK$500,MATCH($A240,O1_Community_Attributes!$A$1:$A$500,0))),""))</f>
        <v/>
      </c>
      <c r="S240" s="8" t="str">
        <f aca="false">IF(OR($C240="",$M240=""),"",$M240/$C240)</f>
        <v/>
      </c>
      <c r="T240" s="8" t="str">
        <f aca="false">IF($C240="","",IF(AND($M240="",$P240=""),"",IF($M240="","B",IF(ABS($S240-1)&lt;=0.3,"A",IF(OR($S240&gt;2,$S240&lt;0.5),"C","B")))))</f>
        <v/>
      </c>
    </row>
    <row r="241" customFormat="false" ht="15" hidden="false" customHeight="true" outlineLevel="0" collapsed="false">
      <c r="H241" s="8" t="str">
        <f aca="false">IF(C241="","",IF(C241&lt;1,"yes","no"))</f>
        <v/>
      </c>
      <c r="I241" s="8" t="str">
        <f aca="false">IF(C241="","",IF(C241&lt;2.6,"r75",IF(C241&lt;5.2,"r110",IF(C241&lt;9.9,"r150",IF(C241&lt;19.8,"r210","r300")))))</f>
        <v/>
      </c>
      <c r="M241" s="8" t="str">
        <f aca="false">IF($A241="","",IFERROR(IF(INDEX(O1_Community_Attributes!$V$1:$V$500,MATCH($A241,O1_Community_Attributes!$A$1:$A$500,0))="","",INDEX(O1_Community_Attributes!$V$1:$V$500,MATCH($A241,O1_Community_Attributes!$A$1:$A$500,0))),""))</f>
        <v/>
      </c>
      <c r="N241" s="8" t="str">
        <f aca="false">IF($A241="","",IFERROR(IF(INDEX(O1_Community_Attributes!$W$1:$W$500,MATCH($A241,O1_Community_Attributes!$A$1:$A$500,0))="","",INDEX(O1_Community_Attributes!$W$1:$W$500,MATCH($A241,O1_Community_Attributes!$A$1:$A$500,0))),""))</f>
        <v/>
      </c>
      <c r="O241" s="8" t="str">
        <f aca="false">IF($A241="","",IFERROR(IF(INDEX(O1_Community_Attributes!$X$1:$X$500,MATCH($A241,O1_Community_Attributes!$A$1:$A$500,0))="","",INDEX(O1_Community_Attributes!$X$1:$X$500,MATCH($A241,O1_Community_Attributes!$A$1:$A$500,0))),""))</f>
        <v/>
      </c>
      <c r="P241" s="8" t="str">
        <f aca="false">IF($A241="","",IFERROR(IF(INDEX(O1_Community_Attributes!$Y$1:$Y$500,MATCH($A241,O1_Community_Attributes!$A$1:$A$500,0))="","",INDEX(O1_Community_Attributes!$Y$1:$Y$500,MATCH($A241,O1_Community_Attributes!$A$1:$A$500,0))),""))</f>
        <v/>
      </c>
      <c r="Q241" s="8" t="str">
        <f aca="false">IF($A241="","",IFERROR(IF(INDEX(O1_Community_Attributes!$Z$1:$Z$500,MATCH($A241,O1_Community_Attributes!$A$1:$A$500,0))="","",INDEX(O1_Community_Attributes!$Z$1:$Z$500,MATCH($A241,O1_Community_Attributes!$A$1:$A$500,0))),""))</f>
        <v/>
      </c>
      <c r="R241" s="8" t="str">
        <f aca="false">IF($A241="","",IFERROR(IF(INDEX(O1_Community_Attributes!$BK$1:$BK$500,MATCH($A241,O1_Community_Attributes!$A$1:$A$500,0))="","",INDEX(O1_Community_Attributes!$BK$1:$BK$500,MATCH($A241,O1_Community_Attributes!$A$1:$A$500,0))),""))</f>
        <v/>
      </c>
      <c r="S241" s="8" t="str">
        <f aca="false">IF(OR($C241="",$M241=""),"",$M241/$C241)</f>
        <v/>
      </c>
      <c r="T241" s="8" t="str">
        <f aca="false">IF($C241="","",IF(AND($M241="",$P241=""),"",IF($M241="","B",IF(ABS($S241-1)&lt;=0.3,"A",IF(OR($S241&gt;2,$S241&lt;0.5),"C","B")))))</f>
        <v/>
      </c>
    </row>
    <row r="242" customFormat="false" ht="15" hidden="false" customHeight="true" outlineLevel="0" collapsed="false">
      <c r="H242" s="8" t="str">
        <f aca="false">IF(C242="","",IF(C242&lt;1,"yes","no"))</f>
        <v/>
      </c>
      <c r="I242" s="8" t="str">
        <f aca="false">IF(C242="","",IF(C242&lt;2.6,"r75",IF(C242&lt;5.2,"r110",IF(C242&lt;9.9,"r150",IF(C242&lt;19.8,"r210","r300")))))</f>
        <v/>
      </c>
      <c r="M242" s="8" t="str">
        <f aca="false">IF($A242="","",IFERROR(IF(INDEX(O1_Community_Attributes!$V$1:$V$500,MATCH($A242,O1_Community_Attributes!$A$1:$A$500,0))="","",INDEX(O1_Community_Attributes!$V$1:$V$500,MATCH($A242,O1_Community_Attributes!$A$1:$A$500,0))),""))</f>
        <v/>
      </c>
      <c r="N242" s="8" t="str">
        <f aca="false">IF($A242="","",IFERROR(IF(INDEX(O1_Community_Attributes!$W$1:$W$500,MATCH($A242,O1_Community_Attributes!$A$1:$A$500,0))="","",INDEX(O1_Community_Attributes!$W$1:$W$500,MATCH($A242,O1_Community_Attributes!$A$1:$A$500,0))),""))</f>
        <v/>
      </c>
      <c r="O242" s="8" t="str">
        <f aca="false">IF($A242="","",IFERROR(IF(INDEX(O1_Community_Attributes!$X$1:$X$500,MATCH($A242,O1_Community_Attributes!$A$1:$A$500,0))="","",INDEX(O1_Community_Attributes!$X$1:$X$500,MATCH($A242,O1_Community_Attributes!$A$1:$A$500,0))),""))</f>
        <v/>
      </c>
      <c r="P242" s="8" t="str">
        <f aca="false">IF($A242="","",IFERROR(IF(INDEX(O1_Community_Attributes!$Y$1:$Y$500,MATCH($A242,O1_Community_Attributes!$A$1:$A$500,0))="","",INDEX(O1_Community_Attributes!$Y$1:$Y$500,MATCH($A242,O1_Community_Attributes!$A$1:$A$500,0))),""))</f>
        <v/>
      </c>
      <c r="Q242" s="8" t="str">
        <f aca="false">IF($A242="","",IFERROR(IF(INDEX(O1_Community_Attributes!$Z$1:$Z$500,MATCH($A242,O1_Community_Attributes!$A$1:$A$500,0))="","",INDEX(O1_Community_Attributes!$Z$1:$Z$500,MATCH($A242,O1_Community_Attributes!$A$1:$A$500,0))),""))</f>
        <v/>
      </c>
      <c r="R242" s="8" t="str">
        <f aca="false">IF($A242="","",IFERROR(IF(INDEX(O1_Community_Attributes!$BK$1:$BK$500,MATCH($A242,O1_Community_Attributes!$A$1:$A$500,0))="","",INDEX(O1_Community_Attributes!$BK$1:$BK$500,MATCH($A242,O1_Community_Attributes!$A$1:$A$500,0))),""))</f>
        <v/>
      </c>
      <c r="S242" s="8" t="str">
        <f aca="false">IF(OR($C242="",$M242=""),"",$M242/$C242)</f>
        <v/>
      </c>
      <c r="T242" s="8" t="str">
        <f aca="false">IF($C242="","",IF(AND($M242="",$P242=""),"",IF($M242="","B",IF(ABS($S242-1)&lt;=0.3,"A",IF(OR($S242&gt;2,$S242&lt;0.5),"C","B")))))</f>
        <v/>
      </c>
    </row>
    <row r="243" customFormat="false" ht="15" hidden="false" customHeight="true" outlineLevel="0" collapsed="false">
      <c r="H243" s="8" t="str">
        <f aca="false">IF(C243="","",IF(C243&lt;1,"yes","no"))</f>
        <v/>
      </c>
      <c r="I243" s="8" t="str">
        <f aca="false">IF(C243="","",IF(C243&lt;2.6,"r75",IF(C243&lt;5.2,"r110",IF(C243&lt;9.9,"r150",IF(C243&lt;19.8,"r210","r300")))))</f>
        <v/>
      </c>
      <c r="M243" s="8" t="str">
        <f aca="false">IF($A243="","",IFERROR(IF(INDEX(O1_Community_Attributes!$V$1:$V$500,MATCH($A243,O1_Community_Attributes!$A$1:$A$500,0))="","",INDEX(O1_Community_Attributes!$V$1:$V$500,MATCH($A243,O1_Community_Attributes!$A$1:$A$500,0))),""))</f>
        <v/>
      </c>
      <c r="N243" s="8" t="str">
        <f aca="false">IF($A243="","",IFERROR(IF(INDEX(O1_Community_Attributes!$W$1:$W$500,MATCH($A243,O1_Community_Attributes!$A$1:$A$500,0))="","",INDEX(O1_Community_Attributes!$W$1:$W$500,MATCH($A243,O1_Community_Attributes!$A$1:$A$500,0))),""))</f>
        <v/>
      </c>
      <c r="O243" s="8" t="str">
        <f aca="false">IF($A243="","",IFERROR(IF(INDEX(O1_Community_Attributes!$X$1:$X$500,MATCH($A243,O1_Community_Attributes!$A$1:$A$500,0))="","",INDEX(O1_Community_Attributes!$X$1:$X$500,MATCH($A243,O1_Community_Attributes!$A$1:$A$500,0))),""))</f>
        <v/>
      </c>
      <c r="P243" s="8" t="str">
        <f aca="false">IF($A243="","",IFERROR(IF(INDEX(O1_Community_Attributes!$Y$1:$Y$500,MATCH($A243,O1_Community_Attributes!$A$1:$A$500,0))="","",INDEX(O1_Community_Attributes!$Y$1:$Y$500,MATCH($A243,O1_Community_Attributes!$A$1:$A$500,0))),""))</f>
        <v/>
      </c>
      <c r="Q243" s="8" t="str">
        <f aca="false">IF($A243="","",IFERROR(IF(INDEX(O1_Community_Attributes!$Z$1:$Z$500,MATCH($A243,O1_Community_Attributes!$A$1:$A$500,0))="","",INDEX(O1_Community_Attributes!$Z$1:$Z$500,MATCH($A243,O1_Community_Attributes!$A$1:$A$500,0))),""))</f>
        <v/>
      </c>
      <c r="R243" s="8" t="str">
        <f aca="false">IF($A243="","",IFERROR(IF(INDEX(O1_Community_Attributes!$BK$1:$BK$500,MATCH($A243,O1_Community_Attributes!$A$1:$A$500,0))="","",INDEX(O1_Community_Attributes!$BK$1:$BK$500,MATCH($A243,O1_Community_Attributes!$A$1:$A$500,0))),""))</f>
        <v/>
      </c>
      <c r="S243" s="8" t="str">
        <f aca="false">IF(OR($C243="",$M243=""),"",$M243/$C243)</f>
        <v/>
      </c>
      <c r="T243" s="8" t="str">
        <f aca="false">IF($C243="","",IF(AND($M243="",$P243=""),"",IF($M243="","B",IF(ABS($S243-1)&lt;=0.3,"A",IF(OR($S243&gt;2,$S243&lt;0.5),"C","B")))))</f>
        <v/>
      </c>
    </row>
    <row r="244" customFormat="false" ht="15" hidden="false" customHeight="true" outlineLevel="0" collapsed="false">
      <c r="H244" s="8" t="str">
        <f aca="false">IF(C244="","",IF(C244&lt;1,"yes","no"))</f>
        <v/>
      </c>
      <c r="I244" s="8" t="str">
        <f aca="false">IF(C244="","",IF(C244&lt;2.6,"r75",IF(C244&lt;5.2,"r110",IF(C244&lt;9.9,"r150",IF(C244&lt;19.8,"r210","r300")))))</f>
        <v/>
      </c>
      <c r="M244" s="8" t="str">
        <f aca="false">IF($A244="","",IFERROR(IF(INDEX(O1_Community_Attributes!$V$1:$V$500,MATCH($A244,O1_Community_Attributes!$A$1:$A$500,0))="","",INDEX(O1_Community_Attributes!$V$1:$V$500,MATCH($A244,O1_Community_Attributes!$A$1:$A$500,0))),""))</f>
        <v/>
      </c>
      <c r="N244" s="8" t="str">
        <f aca="false">IF($A244="","",IFERROR(IF(INDEX(O1_Community_Attributes!$W$1:$W$500,MATCH($A244,O1_Community_Attributes!$A$1:$A$500,0))="","",INDEX(O1_Community_Attributes!$W$1:$W$500,MATCH($A244,O1_Community_Attributes!$A$1:$A$500,0))),""))</f>
        <v/>
      </c>
      <c r="O244" s="8" t="str">
        <f aca="false">IF($A244="","",IFERROR(IF(INDEX(O1_Community_Attributes!$X$1:$X$500,MATCH($A244,O1_Community_Attributes!$A$1:$A$500,0))="","",INDEX(O1_Community_Attributes!$X$1:$X$500,MATCH($A244,O1_Community_Attributes!$A$1:$A$500,0))),""))</f>
        <v/>
      </c>
      <c r="P244" s="8" t="str">
        <f aca="false">IF($A244="","",IFERROR(IF(INDEX(O1_Community_Attributes!$Y$1:$Y$500,MATCH($A244,O1_Community_Attributes!$A$1:$A$500,0))="","",INDEX(O1_Community_Attributes!$Y$1:$Y$500,MATCH($A244,O1_Community_Attributes!$A$1:$A$500,0))),""))</f>
        <v/>
      </c>
      <c r="Q244" s="8" t="str">
        <f aca="false">IF($A244="","",IFERROR(IF(INDEX(O1_Community_Attributes!$Z$1:$Z$500,MATCH($A244,O1_Community_Attributes!$A$1:$A$500,0))="","",INDEX(O1_Community_Attributes!$Z$1:$Z$500,MATCH($A244,O1_Community_Attributes!$A$1:$A$500,0))),""))</f>
        <v/>
      </c>
      <c r="R244" s="8" t="str">
        <f aca="false">IF($A244="","",IFERROR(IF(INDEX(O1_Community_Attributes!$BK$1:$BK$500,MATCH($A244,O1_Community_Attributes!$A$1:$A$500,0))="","",INDEX(O1_Community_Attributes!$BK$1:$BK$500,MATCH($A244,O1_Community_Attributes!$A$1:$A$500,0))),""))</f>
        <v/>
      </c>
      <c r="S244" s="8" t="str">
        <f aca="false">IF(OR($C244="",$M244=""),"",$M244/$C244)</f>
        <v/>
      </c>
      <c r="T244" s="8" t="str">
        <f aca="false">IF($C244="","",IF(AND($M244="",$P244=""),"",IF($M244="","B",IF(ABS($S244-1)&lt;=0.3,"A",IF(OR($S244&gt;2,$S244&lt;0.5),"C","B")))))</f>
        <v/>
      </c>
    </row>
    <row r="245" customFormat="false" ht="15" hidden="false" customHeight="true" outlineLevel="0" collapsed="false">
      <c r="H245" s="8" t="str">
        <f aca="false">IF(C245="","",IF(C245&lt;1,"yes","no"))</f>
        <v/>
      </c>
      <c r="I245" s="8" t="str">
        <f aca="false">IF(C245="","",IF(C245&lt;2.6,"r75",IF(C245&lt;5.2,"r110",IF(C245&lt;9.9,"r150",IF(C245&lt;19.8,"r210","r300")))))</f>
        <v/>
      </c>
      <c r="M245" s="8" t="str">
        <f aca="false">IF($A245="","",IFERROR(IF(INDEX(O1_Community_Attributes!$V$1:$V$500,MATCH($A245,O1_Community_Attributes!$A$1:$A$500,0))="","",INDEX(O1_Community_Attributes!$V$1:$V$500,MATCH($A245,O1_Community_Attributes!$A$1:$A$500,0))),""))</f>
        <v/>
      </c>
      <c r="N245" s="8" t="str">
        <f aca="false">IF($A245="","",IFERROR(IF(INDEX(O1_Community_Attributes!$W$1:$W$500,MATCH($A245,O1_Community_Attributes!$A$1:$A$500,0))="","",INDEX(O1_Community_Attributes!$W$1:$W$500,MATCH($A245,O1_Community_Attributes!$A$1:$A$500,0))),""))</f>
        <v/>
      </c>
      <c r="O245" s="8" t="str">
        <f aca="false">IF($A245="","",IFERROR(IF(INDEX(O1_Community_Attributes!$X$1:$X$500,MATCH($A245,O1_Community_Attributes!$A$1:$A$500,0))="","",INDEX(O1_Community_Attributes!$X$1:$X$500,MATCH($A245,O1_Community_Attributes!$A$1:$A$500,0))),""))</f>
        <v/>
      </c>
      <c r="P245" s="8" t="str">
        <f aca="false">IF($A245="","",IFERROR(IF(INDEX(O1_Community_Attributes!$Y$1:$Y$500,MATCH($A245,O1_Community_Attributes!$A$1:$A$500,0))="","",INDEX(O1_Community_Attributes!$Y$1:$Y$500,MATCH($A245,O1_Community_Attributes!$A$1:$A$500,0))),""))</f>
        <v/>
      </c>
      <c r="Q245" s="8" t="str">
        <f aca="false">IF($A245="","",IFERROR(IF(INDEX(O1_Community_Attributes!$Z$1:$Z$500,MATCH($A245,O1_Community_Attributes!$A$1:$A$500,0))="","",INDEX(O1_Community_Attributes!$Z$1:$Z$500,MATCH($A245,O1_Community_Attributes!$A$1:$A$500,0))),""))</f>
        <v/>
      </c>
      <c r="R245" s="8" t="str">
        <f aca="false">IF($A245="","",IFERROR(IF(INDEX(O1_Community_Attributes!$BK$1:$BK$500,MATCH($A245,O1_Community_Attributes!$A$1:$A$500,0))="","",INDEX(O1_Community_Attributes!$BK$1:$BK$500,MATCH($A245,O1_Community_Attributes!$A$1:$A$500,0))),""))</f>
        <v/>
      </c>
      <c r="S245" s="8" t="str">
        <f aca="false">IF(OR($C245="",$M245=""),"",$M245/$C245)</f>
        <v/>
      </c>
      <c r="T245" s="8" t="str">
        <f aca="false">IF($C245="","",IF(AND($M245="",$P245=""),"",IF($M245="","B",IF(ABS($S245-1)&lt;=0.3,"A",IF(OR($S245&gt;2,$S245&lt;0.5),"C","B")))))</f>
        <v/>
      </c>
    </row>
    <row r="246" customFormat="false" ht="15" hidden="false" customHeight="true" outlineLevel="0" collapsed="false">
      <c r="H246" s="8" t="str">
        <f aca="false">IF(C246="","",IF(C246&lt;1,"yes","no"))</f>
        <v/>
      </c>
      <c r="I246" s="8" t="str">
        <f aca="false">IF(C246="","",IF(C246&lt;2.6,"r75",IF(C246&lt;5.2,"r110",IF(C246&lt;9.9,"r150",IF(C246&lt;19.8,"r210","r300")))))</f>
        <v/>
      </c>
      <c r="M246" s="8" t="str">
        <f aca="false">IF($A246="","",IFERROR(IF(INDEX(O1_Community_Attributes!$V$1:$V$500,MATCH($A246,O1_Community_Attributes!$A$1:$A$500,0))="","",INDEX(O1_Community_Attributes!$V$1:$V$500,MATCH($A246,O1_Community_Attributes!$A$1:$A$500,0))),""))</f>
        <v/>
      </c>
      <c r="N246" s="8" t="str">
        <f aca="false">IF($A246="","",IFERROR(IF(INDEX(O1_Community_Attributes!$W$1:$W$500,MATCH($A246,O1_Community_Attributes!$A$1:$A$500,0))="","",INDEX(O1_Community_Attributes!$W$1:$W$500,MATCH($A246,O1_Community_Attributes!$A$1:$A$500,0))),""))</f>
        <v/>
      </c>
      <c r="O246" s="8" t="str">
        <f aca="false">IF($A246="","",IFERROR(IF(INDEX(O1_Community_Attributes!$X$1:$X$500,MATCH($A246,O1_Community_Attributes!$A$1:$A$500,0))="","",INDEX(O1_Community_Attributes!$X$1:$X$500,MATCH($A246,O1_Community_Attributes!$A$1:$A$500,0))),""))</f>
        <v/>
      </c>
      <c r="P246" s="8" t="str">
        <f aca="false">IF($A246="","",IFERROR(IF(INDEX(O1_Community_Attributes!$Y$1:$Y$500,MATCH($A246,O1_Community_Attributes!$A$1:$A$500,0))="","",INDEX(O1_Community_Attributes!$Y$1:$Y$500,MATCH($A246,O1_Community_Attributes!$A$1:$A$500,0))),""))</f>
        <v/>
      </c>
      <c r="Q246" s="8" t="str">
        <f aca="false">IF($A246="","",IFERROR(IF(INDEX(O1_Community_Attributes!$Z$1:$Z$500,MATCH($A246,O1_Community_Attributes!$A$1:$A$500,0))="","",INDEX(O1_Community_Attributes!$Z$1:$Z$500,MATCH($A246,O1_Community_Attributes!$A$1:$A$500,0))),""))</f>
        <v/>
      </c>
      <c r="R246" s="8" t="str">
        <f aca="false">IF($A246="","",IFERROR(IF(INDEX(O1_Community_Attributes!$BK$1:$BK$500,MATCH($A246,O1_Community_Attributes!$A$1:$A$500,0))="","",INDEX(O1_Community_Attributes!$BK$1:$BK$500,MATCH($A246,O1_Community_Attributes!$A$1:$A$500,0))),""))</f>
        <v/>
      </c>
      <c r="S246" s="8" t="str">
        <f aca="false">IF(OR($C246="",$M246=""),"",$M246/$C246)</f>
        <v/>
      </c>
      <c r="T246" s="8" t="str">
        <f aca="false">IF($C246="","",IF(AND($M246="",$P246=""),"",IF($M246="","B",IF(ABS($S246-1)&lt;=0.3,"A",IF(OR($S246&gt;2,$S246&lt;0.5),"C","B")))))</f>
        <v/>
      </c>
    </row>
    <row r="247" customFormat="false" ht="15" hidden="false" customHeight="true" outlineLevel="0" collapsed="false">
      <c r="H247" s="8" t="str">
        <f aca="false">IF(C247="","",IF(C247&lt;1,"yes","no"))</f>
        <v/>
      </c>
      <c r="I247" s="8" t="str">
        <f aca="false">IF(C247="","",IF(C247&lt;2.6,"r75",IF(C247&lt;5.2,"r110",IF(C247&lt;9.9,"r150",IF(C247&lt;19.8,"r210","r300")))))</f>
        <v/>
      </c>
      <c r="M247" s="8" t="str">
        <f aca="false">IF($A247="","",IFERROR(IF(INDEX(O1_Community_Attributes!$V$1:$V$500,MATCH($A247,O1_Community_Attributes!$A$1:$A$500,0))="","",INDEX(O1_Community_Attributes!$V$1:$V$500,MATCH($A247,O1_Community_Attributes!$A$1:$A$500,0))),""))</f>
        <v/>
      </c>
      <c r="N247" s="8" t="str">
        <f aca="false">IF($A247="","",IFERROR(IF(INDEX(O1_Community_Attributes!$W$1:$W$500,MATCH($A247,O1_Community_Attributes!$A$1:$A$500,0))="","",INDEX(O1_Community_Attributes!$W$1:$W$500,MATCH($A247,O1_Community_Attributes!$A$1:$A$500,0))),""))</f>
        <v/>
      </c>
      <c r="O247" s="8" t="str">
        <f aca="false">IF($A247="","",IFERROR(IF(INDEX(O1_Community_Attributes!$X$1:$X$500,MATCH($A247,O1_Community_Attributes!$A$1:$A$500,0))="","",INDEX(O1_Community_Attributes!$X$1:$X$500,MATCH($A247,O1_Community_Attributes!$A$1:$A$500,0))),""))</f>
        <v/>
      </c>
      <c r="P247" s="8" t="str">
        <f aca="false">IF($A247="","",IFERROR(IF(INDEX(O1_Community_Attributes!$Y$1:$Y$500,MATCH($A247,O1_Community_Attributes!$A$1:$A$500,0))="","",INDEX(O1_Community_Attributes!$Y$1:$Y$500,MATCH($A247,O1_Community_Attributes!$A$1:$A$500,0))),""))</f>
        <v/>
      </c>
      <c r="Q247" s="8" t="str">
        <f aca="false">IF($A247="","",IFERROR(IF(INDEX(O1_Community_Attributes!$Z$1:$Z$500,MATCH($A247,O1_Community_Attributes!$A$1:$A$500,0))="","",INDEX(O1_Community_Attributes!$Z$1:$Z$500,MATCH($A247,O1_Community_Attributes!$A$1:$A$500,0))),""))</f>
        <v/>
      </c>
      <c r="R247" s="8" t="str">
        <f aca="false">IF($A247="","",IFERROR(IF(INDEX(O1_Community_Attributes!$BK$1:$BK$500,MATCH($A247,O1_Community_Attributes!$A$1:$A$500,0))="","",INDEX(O1_Community_Attributes!$BK$1:$BK$500,MATCH($A247,O1_Community_Attributes!$A$1:$A$500,0))),""))</f>
        <v/>
      </c>
      <c r="S247" s="8" t="str">
        <f aca="false">IF(OR($C247="",$M247=""),"",$M247/$C247)</f>
        <v/>
      </c>
      <c r="T247" s="8" t="str">
        <f aca="false">IF($C247="","",IF(AND($M247="",$P247=""),"",IF($M247="","B",IF(ABS($S247-1)&lt;=0.3,"A",IF(OR($S247&gt;2,$S247&lt;0.5),"C","B")))))</f>
        <v/>
      </c>
    </row>
    <row r="248" customFormat="false" ht="15" hidden="false" customHeight="true" outlineLevel="0" collapsed="false">
      <c r="H248" s="8" t="str">
        <f aca="false">IF(C248="","",IF(C248&lt;1,"yes","no"))</f>
        <v/>
      </c>
      <c r="I248" s="8" t="str">
        <f aca="false">IF(C248="","",IF(C248&lt;2.6,"r75",IF(C248&lt;5.2,"r110",IF(C248&lt;9.9,"r150",IF(C248&lt;19.8,"r210","r300")))))</f>
        <v/>
      </c>
      <c r="M248" s="8" t="str">
        <f aca="false">IF($A248="","",IFERROR(IF(INDEX(O1_Community_Attributes!$V$1:$V$500,MATCH($A248,O1_Community_Attributes!$A$1:$A$500,0))="","",INDEX(O1_Community_Attributes!$V$1:$V$500,MATCH($A248,O1_Community_Attributes!$A$1:$A$500,0))),""))</f>
        <v/>
      </c>
      <c r="N248" s="8" t="str">
        <f aca="false">IF($A248="","",IFERROR(IF(INDEX(O1_Community_Attributes!$W$1:$W$500,MATCH($A248,O1_Community_Attributes!$A$1:$A$500,0))="","",INDEX(O1_Community_Attributes!$W$1:$W$500,MATCH($A248,O1_Community_Attributes!$A$1:$A$500,0))),""))</f>
        <v/>
      </c>
      <c r="O248" s="8" t="str">
        <f aca="false">IF($A248="","",IFERROR(IF(INDEX(O1_Community_Attributes!$X$1:$X$500,MATCH($A248,O1_Community_Attributes!$A$1:$A$500,0))="","",INDEX(O1_Community_Attributes!$X$1:$X$500,MATCH($A248,O1_Community_Attributes!$A$1:$A$500,0))),""))</f>
        <v/>
      </c>
      <c r="P248" s="8" t="str">
        <f aca="false">IF($A248="","",IFERROR(IF(INDEX(O1_Community_Attributes!$Y$1:$Y$500,MATCH($A248,O1_Community_Attributes!$A$1:$A$500,0))="","",INDEX(O1_Community_Attributes!$Y$1:$Y$500,MATCH($A248,O1_Community_Attributes!$A$1:$A$500,0))),""))</f>
        <v/>
      </c>
      <c r="Q248" s="8" t="str">
        <f aca="false">IF($A248="","",IFERROR(IF(INDEX(O1_Community_Attributes!$Z$1:$Z$500,MATCH($A248,O1_Community_Attributes!$A$1:$A$500,0))="","",INDEX(O1_Community_Attributes!$Z$1:$Z$500,MATCH($A248,O1_Community_Attributes!$A$1:$A$500,0))),""))</f>
        <v/>
      </c>
      <c r="R248" s="8" t="str">
        <f aca="false">IF($A248="","",IFERROR(IF(INDEX(O1_Community_Attributes!$BK$1:$BK$500,MATCH($A248,O1_Community_Attributes!$A$1:$A$500,0))="","",INDEX(O1_Community_Attributes!$BK$1:$BK$500,MATCH($A248,O1_Community_Attributes!$A$1:$A$500,0))),""))</f>
        <v/>
      </c>
      <c r="S248" s="8" t="str">
        <f aca="false">IF(OR($C248="",$M248=""),"",$M248/$C248)</f>
        <v/>
      </c>
      <c r="T248" s="8" t="str">
        <f aca="false">IF($C248="","",IF(AND($M248="",$P248=""),"",IF($M248="","B",IF(ABS($S248-1)&lt;=0.3,"A",IF(OR($S248&gt;2,$S248&lt;0.5),"C","B")))))</f>
        <v/>
      </c>
    </row>
    <row r="249" customFormat="false" ht="15" hidden="false" customHeight="true" outlineLevel="0" collapsed="false">
      <c r="H249" s="8" t="str">
        <f aca="false">IF(C249="","",IF(C249&lt;1,"yes","no"))</f>
        <v/>
      </c>
      <c r="I249" s="8" t="str">
        <f aca="false">IF(C249="","",IF(C249&lt;2.6,"r75",IF(C249&lt;5.2,"r110",IF(C249&lt;9.9,"r150",IF(C249&lt;19.8,"r210","r300")))))</f>
        <v/>
      </c>
      <c r="M249" s="8" t="str">
        <f aca="false">IF($A249="","",IFERROR(IF(INDEX(O1_Community_Attributes!$V$1:$V$500,MATCH($A249,O1_Community_Attributes!$A$1:$A$500,0))="","",INDEX(O1_Community_Attributes!$V$1:$V$500,MATCH($A249,O1_Community_Attributes!$A$1:$A$500,0))),""))</f>
        <v/>
      </c>
      <c r="N249" s="8" t="str">
        <f aca="false">IF($A249="","",IFERROR(IF(INDEX(O1_Community_Attributes!$W$1:$W$500,MATCH($A249,O1_Community_Attributes!$A$1:$A$500,0))="","",INDEX(O1_Community_Attributes!$W$1:$W$500,MATCH($A249,O1_Community_Attributes!$A$1:$A$500,0))),""))</f>
        <v/>
      </c>
      <c r="O249" s="8" t="str">
        <f aca="false">IF($A249="","",IFERROR(IF(INDEX(O1_Community_Attributes!$X$1:$X$500,MATCH($A249,O1_Community_Attributes!$A$1:$A$500,0))="","",INDEX(O1_Community_Attributes!$X$1:$X$500,MATCH($A249,O1_Community_Attributes!$A$1:$A$500,0))),""))</f>
        <v/>
      </c>
      <c r="P249" s="8" t="str">
        <f aca="false">IF($A249="","",IFERROR(IF(INDEX(O1_Community_Attributes!$Y$1:$Y$500,MATCH($A249,O1_Community_Attributes!$A$1:$A$500,0))="","",INDEX(O1_Community_Attributes!$Y$1:$Y$500,MATCH($A249,O1_Community_Attributes!$A$1:$A$500,0))),""))</f>
        <v/>
      </c>
      <c r="Q249" s="8" t="str">
        <f aca="false">IF($A249="","",IFERROR(IF(INDEX(O1_Community_Attributes!$Z$1:$Z$500,MATCH($A249,O1_Community_Attributes!$A$1:$A$500,0))="","",INDEX(O1_Community_Attributes!$Z$1:$Z$500,MATCH($A249,O1_Community_Attributes!$A$1:$A$500,0))),""))</f>
        <v/>
      </c>
      <c r="R249" s="8" t="str">
        <f aca="false">IF($A249="","",IFERROR(IF(INDEX(O1_Community_Attributes!$BK$1:$BK$500,MATCH($A249,O1_Community_Attributes!$A$1:$A$500,0))="","",INDEX(O1_Community_Attributes!$BK$1:$BK$500,MATCH($A249,O1_Community_Attributes!$A$1:$A$500,0))),""))</f>
        <v/>
      </c>
      <c r="S249" s="8" t="str">
        <f aca="false">IF(OR($C249="",$M249=""),"",$M249/$C249)</f>
        <v/>
      </c>
      <c r="T249" s="8" t="str">
        <f aca="false">IF($C249="","",IF(AND($M249="",$P249=""),"",IF($M249="","B",IF(ABS($S249-1)&lt;=0.3,"A",IF(OR($S249&gt;2,$S249&lt;0.5),"C","B")))))</f>
        <v/>
      </c>
    </row>
    <row r="250" customFormat="false" ht="15" hidden="false" customHeight="true" outlineLevel="0" collapsed="false">
      <c r="H250" s="8" t="str">
        <f aca="false">IF(C250="","",IF(C250&lt;1,"yes","no"))</f>
        <v/>
      </c>
      <c r="I250" s="8" t="str">
        <f aca="false">IF(C250="","",IF(C250&lt;2.6,"r75",IF(C250&lt;5.2,"r110",IF(C250&lt;9.9,"r150",IF(C250&lt;19.8,"r210","r300")))))</f>
        <v/>
      </c>
      <c r="M250" s="8" t="str">
        <f aca="false">IF($A250="","",IFERROR(IF(INDEX(O1_Community_Attributes!$V$1:$V$500,MATCH($A250,O1_Community_Attributes!$A$1:$A$500,0))="","",INDEX(O1_Community_Attributes!$V$1:$V$500,MATCH($A250,O1_Community_Attributes!$A$1:$A$500,0))),""))</f>
        <v/>
      </c>
      <c r="N250" s="8" t="str">
        <f aca="false">IF($A250="","",IFERROR(IF(INDEX(O1_Community_Attributes!$W$1:$W$500,MATCH($A250,O1_Community_Attributes!$A$1:$A$500,0))="","",INDEX(O1_Community_Attributes!$W$1:$W$500,MATCH($A250,O1_Community_Attributes!$A$1:$A$500,0))),""))</f>
        <v/>
      </c>
      <c r="O250" s="8" t="str">
        <f aca="false">IF($A250="","",IFERROR(IF(INDEX(O1_Community_Attributes!$X$1:$X$500,MATCH($A250,O1_Community_Attributes!$A$1:$A$500,0))="","",INDEX(O1_Community_Attributes!$X$1:$X$500,MATCH($A250,O1_Community_Attributes!$A$1:$A$500,0))),""))</f>
        <v/>
      </c>
      <c r="P250" s="8" t="str">
        <f aca="false">IF($A250="","",IFERROR(IF(INDEX(O1_Community_Attributes!$Y$1:$Y$500,MATCH($A250,O1_Community_Attributes!$A$1:$A$500,0))="","",INDEX(O1_Community_Attributes!$Y$1:$Y$500,MATCH($A250,O1_Community_Attributes!$A$1:$A$500,0))),""))</f>
        <v/>
      </c>
      <c r="Q250" s="8" t="str">
        <f aca="false">IF($A250="","",IFERROR(IF(INDEX(O1_Community_Attributes!$Z$1:$Z$500,MATCH($A250,O1_Community_Attributes!$A$1:$A$500,0))="","",INDEX(O1_Community_Attributes!$Z$1:$Z$500,MATCH($A250,O1_Community_Attributes!$A$1:$A$500,0))),""))</f>
        <v/>
      </c>
      <c r="R250" s="8" t="str">
        <f aca="false">IF($A250="","",IFERROR(IF(INDEX(O1_Community_Attributes!$BK$1:$BK$500,MATCH($A250,O1_Community_Attributes!$A$1:$A$500,0))="","",INDEX(O1_Community_Attributes!$BK$1:$BK$500,MATCH($A250,O1_Community_Attributes!$A$1:$A$500,0))),""))</f>
        <v/>
      </c>
      <c r="S250" s="8" t="str">
        <f aca="false">IF(OR($C250="",$M250=""),"",$M250/$C250)</f>
        <v/>
      </c>
      <c r="T250" s="8" t="str">
        <f aca="false">IF($C250="","",IF(AND($M250="",$P250=""),"",IF($M250="","B",IF(ABS($S250-1)&lt;=0.3,"A",IF(OR($S250&gt;2,$S250&lt;0.5),"C","B")))))</f>
        <v/>
      </c>
    </row>
    <row r="251" customFormat="false" ht="15" hidden="false" customHeight="true" outlineLevel="0" collapsed="false">
      <c r="H251" s="8" t="str">
        <f aca="false">IF(C251="","",IF(C251&lt;1,"yes","no"))</f>
        <v/>
      </c>
      <c r="I251" s="8" t="str">
        <f aca="false">IF(C251="","",IF(C251&lt;2.6,"r75",IF(C251&lt;5.2,"r110",IF(C251&lt;9.9,"r150",IF(C251&lt;19.8,"r210","r300")))))</f>
        <v/>
      </c>
      <c r="M251" s="8" t="str">
        <f aca="false">IF($A251="","",IFERROR(IF(INDEX(O1_Community_Attributes!$V$1:$V$500,MATCH($A251,O1_Community_Attributes!$A$1:$A$500,0))="","",INDEX(O1_Community_Attributes!$V$1:$V$500,MATCH($A251,O1_Community_Attributes!$A$1:$A$500,0))),""))</f>
        <v/>
      </c>
      <c r="N251" s="8" t="str">
        <f aca="false">IF($A251="","",IFERROR(IF(INDEX(O1_Community_Attributes!$W$1:$W$500,MATCH($A251,O1_Community_Attributes!$A$1:$A$500,0))="","",INDEX(O1_Community_Attributes!$W$1:$W$500,MATCH($A251,O1_Community_Attributes!$A$1:$A$500,0))),""))</f>
        <v/>
      </c>
      <c r="O251" s="8" t="str">
        <f aca="false">IF($A251="","",IFERROR(IF(INDEX(O1_Community_Attributes!$X$1:$X$500,MATCH($A251,O1_Community_Attributes!$A$1:$A$500,0))="","",INDEX(O1_Community_Attributes!$X$1:$X$500,MATCH($A251,O1_Community_Attributes!$A$1:$A$500,0))),""))</f>
        <v/>
      </c>
      <c r="P251" s="8" t="str">
        <f aca="false">IF($A251="","",IFERROR(IF(INDEX(O1_Community_Attributes!$Y$1:$Y$500,MATCH($A251,O1_Community_Attributes!$A$1:$A$500,0))="","",INDEX(O1_Community_Attributes!$Y$1:$Y$500,MATCH($A251,O1_Community_Attributes!$A$1:$A$500,0))),""))</f>
        <v/>
      </c>
      <c r="Q251" s="8" t="str">
        <f aca="false">IF($A251="","",IFERROR(IF(INDEX(O1_Community_Attributes!$Z$1:$Z$500,MATCH($A251,O1_Community_Attributes!$A$1:$A$500,0))="","",INDEX(O1_Community_Attributes!$Z$1:$Z$500,MATCH($A251,O1_Community_Attributes!$A$1:$A$500,0))),""))</f>
        <v/>
      </c>
      <c r="R251" s="8" t="str">
        <f aca="false">IF($A251="","",IFERROR(IF(INDEX(O1_Community_Attributes!$BK$1:$BK$500,MATCH($A251,O1_Community_Attributes!$A$1:$A$500,0))="","",INDEX(O1_Community_Attributes!$BK$1:$BK$500,MATCH($A251,O1_Community_Attributes!$A$1:$A$500,0))),""))</f>
        <v/>
      </c>
      <c r="S251" s="8" t="str">
        <f aca="false">IF(OR($C251="",$M251=""),"",$M251/$C251)</f>
        <v/>
      </c>
      <c r="T251" s="8" t="str">
        <f aca="false">IF($C251="","",IF(AND($M251="",$P251=""),"",IF($M251="","B",IF(ABS($S251-1)&lt;=0.3,"A",IF(OR($S251&gt;2,$S251&lt;0.5),"C","B")))))</f>
        <v/>
      </c>
    </row>
    <row r="252" customFormat="false" ht="15" hidden="false" customHeight="true" outlineLevel="0" collapsed="false">
      <c r="H252" s="8" t="str">
        <f aca="false">IF(C252="","",IF(C252&lt;1,"yes","no"))</f>
        <v/>
      </c>
      <c r="I252" s="8" t="str">
        <f aca="false">IF(C252="","",IF(C252&lt;2.6,"r75",IF(C252&lt;5.2,"r110",IF(C252&lt;9.9,"r150",IF(C252&lt;19.8,"r210","r300")))))</f>
        <v/>
      </c>
      <c r="M252" s="8" t="str">
        <f aca="false">IF($A252="","",IFERROR(IF(INDEX(O1_Community_Attributes!$V$1:$V$500,MATCH($A252,O1_Community_Attributes!$A$1:$A$500,0))="","",INDEX(O1_Community_Attributes!$V$1:$V$500,MATCH($A252,O1_Community_Attributes!$A$1:$A$500,0))),""))</f>
        <v/>
      </c>
      <c r="N252" s="8" t="str">
        <f aca="false">IF($A252="","",IFERROR(IF(INDEX(O1_Community_Attributes!$W$1:$W$500,MATCH($A252,O1_Community_Attributes!$A$1:$A$500,0))="","",INDEX(O1_Community_Attributes!$W$1:$W$500,MATCH($A252,O1_Community_Attributes!$A$1:$A$500,0))),""))</f>
        <v/>
      </c>
      <c r="O252" s="8" t="str">
        <f aca="false">IF($A252="","",IFERROR(IF(INDEX(O1_Community_Attributes!$X$1:$X$500,MATCH($A252,O1_Community_Attributes!$A$1:$A$500,0))="","",INDEX(O1_Community_Attributes!$X$1:$X$500,MATCH($A252,O1_Community_Attributes!$A$1:$A$500,0))),""))</f>
        <v/>
      </c>
      <c r="P252" s="8" t="str">
        <f aca="false">IF($A252="","",IFERROR(IF(INDEX(O1_Community_Attributes!$Y$1:$Y$500,MATCH($A252,O1_Community_Attributes!$A$1:$A$500,0))="","",INDEX(O1_Community_Attributes!$Y$1:$Y$500,MATCH($A252,O1_Community_Attributes!$A$1:$A$500,0))),""))</f>
        <v/>
      </c>
      <c r="Q252" s="8" t="str">
        <f aca="false">IF($A252="","",IFERROR(IF(INDEX(O1_Community_Attributes!$Z$1:$Z$500,MATCH($A252,O1_Community_Attributes!$A$1:$A$500,0))="","",INDEX(O1_Community_Attributes!$Z$1:$Z$500,MATCH($A252,O1_Community_Attributes!$A$1:$A$500,0))),""))</f>
        <v/>
      </c>
      <c r="R252" s="8" t="str">
        <f aca="false">IF($A252="","",IFERROR(IF(INDEX(O1_Community_Attributes!$BK$1:$BK$500,MATCH($A252,O1_Community_Attributes!$A$1:$A$500,0))="","",INDEX(O1_Community_Attributes!$BK$1:$BK$500,MATCH($A252,O1_Community_Attributes!$A$1:$A$500,0))),""))</f>
        <v/>
      </c>
      <c r="S252" s="8" t="str">
        <f aca="false">IF(OR($C252="",$M252=""),"",$M252/$C252)</f>
        <v/>
      </c>
      <c r="T252" s="8" t="str">
        <f aca="false">IF($C252="","",IF(AND($M252="",$P252=""),"",IF($M252="","B",IF(ABS($S252-1)&lt;=0.3,"A",IF(OR($S252&gt;2,$S252&lt;0.5),"C","B")))))</f>
        <v/>
      </c>
    </row>
    <row r="253" customFormat="false" ht="15" hidden="false" customHeight="true" outlineLevel="0" collapsed="false">
      <c r="H253" s="8" t="str">
        <f aca="false">IF(C253="","",IF(C253&lt;1,"yes","no"))</f>
        <v/>
      </c>
      <c r="I253" s="8" t="str">
        <f aca="false">IF(C253="","",IF(C253&lt;2.6,"r75",IF(C253&lt;5.2,"r110",IF(C253&lt;9.9,"r150",IF(C253&lt;19.8,"r210","r300")))))</f>
        <v/>
      </c>
      <c r="M253" s="8" t="str">
        <f aca="false">IF($A253="","",IFERROR(IF(INDEX(O1_Community_Attributes!$V$1:$V$500,MATCH($A253,O1_Community_Attributes!$A$1:$A$500,0))="","",INDEX(O1_Community_Attributes!$V$1:$V$500,MATCH($A253,O1_Community_Attributes!$A$1:$A$500,0))),""))</f>
        <v/>
      </c>
      <c r="N253" s="8" t="str">
        <f aca="false">IF($A253="","",IFERROR(IF(INDEX(O1_Community_Attributes!$W$1:$W$500,MATCH($A253,O1_Community_Attributes!$A$1:$A$500,0))="","",INDEX(O1_Community_Attributes!$W$1:$W$500,MATCH($A253,O1_Community_Attributes!$A$1:$A$500,0))),""))</f>
        <v/>
      </c>
      <c r="O253" s="8" t="str">
        <f aca="false">IF($A253="","",IFERROR(IF(INDEX(O1_Community_Attributes!$X$1:$X$500,MATCH($A253,O1_Community_Attributes!$A$1:$A$500,0))="","",INDEX(O1_Community_Attributes!$X$1:$X$500,MATCH($A253,O1_Community_Attributes!$A$1:$A$500,0))),""))</f>
        <v/>
      </c>
      <c r="P253" s="8" t="str">
        <f aca="false">IF($A253="","",IFERROR(IF(INDEX(O1_Community_Attributes!$Y$1:$Y$500,MATCH($A253,O1_Community_Attributes!$A$1:$A$500,0))="","",INDEX(O1_Community_Attributes!$Y$1:$Y$500,MATCH($A253,O1_Community_Attributes!$A$1:$A$500,0))),""))</f>
        <v/>
      </c>
      <c r="Q253" s="8" t="str">
        <f aca="false">IF($A253="","",IFERROR(IF(INDEX(O1_Community_Attributes!$Z$1:$Z$500,MATCH($A253,O1_Community_Attributes!$A$1:$A$500,0))="","",INDEX(O1_Community_Attributes!$Z$1:$Z$500,MATCH($A253,O1_Community_Attributes!$A$1:$A$500,0))),""))</f>
        <v/>
      </c>
      <c r="R253" s="8" t="str">
        <f aca="false">IF($A253="","",IFERROR(IF(INDEX(O1_Community_Attributes!$BK$1:$BK$500,MATCH($A253,O1_Community_Attributes!$A$1:$A$500,0))="","",INDEX(O1_Community_Attributes!$BK$1:$BK$500,MATCH($A253,O1_Community_Attributes!$A$1:$A$500,0))),""))</f>
        <v/>
      </c>
      <c r="S253" s="8" t="str">
        <f aca="false">IF(OR($C253="",$M253=""),"",$M253/$C253)</f>
        <v/>
      </c>
      <c r="T253" s="8" t="str">
        <f aca="false">IF($C253="","",IF(AND($M253="",$P253=""),"",IF($M253="","B",IF(ABS($S253-1)&lt;=0.3,"A",IF(OR($S253&gt;2,$S253&lt;0.5),"C","B")))))</f>
        <v/>
      </c>
    </row>
    <row r="254" customFormat="false" ht="15" hidden="false" customHeight="true" outlineLevel="0" collapsed="false">
      <c r="H254" s="8" t="str">
        <f aca="false">IF(C254="","",IF(C254&lt;1,"yes","no"))</f>
        <v/>
      </c>
      <c r="I254" s="8" t="str">
        <f aca="false">IF(C254="","",IF(C254&lt;2.6,"r75",IF(C254&lt;5.2,"r110",IF(C254&lt;9.9,"r150",IF(C254&lt;19.8,"r210","r300")))))</f>
        <v/>
      </c>
      <c r="M254" s="8" t="str">
        <f aca="false">IF($A254="","",IFERROR(IF(INDEX(O1_Community_Attributes!$V$1:$V$500,MATCH($A254,O1_Community_Attributes!$A$1:$A$500,0))="","",INDEX(O1_Community_Attributes!$V$1:$V$500,MATCH($A254,O1_Community_Attributes!$A$1:$A$500,0))),""))</f>
        <v/>
      </c>
      <c r="N254" s="8" t="str">
        <f aca="false">IF($A254="","",IFERROR(IF(INDEX(O1_Community_Attributes!$W$1:$W$500,MATCH($A254,O1_Community_Attributes!$A$1:$A$500,0))="","",INDEX(O1_Community_Attributes!$W$1:$W$500,MATCH($A254,O1_Community_Attributes!$A$1:$A$500,0))),""))</f>
        <v/>
      </c>
      <c r="O254" s="8" t="str">
        <f aca="false">IF($A254="","",IFERROR(IF(INDEX(O1_Community_Attributes!$X$1:$X$500,MATCH($A254,O1_Community_Attributes!$A$1:$A$500,0))="","",INDEX(O1_Community_Attributes!$X$1:$X$500,MATCH($A254,O1_Community_Attributes!$A$1:$A$500,0))),""))</f>
        <v/>
      </c>
      <c r="P254" s="8" t="str">
        <f aca="false">IF($A254="","",IFERROR(IF(INDEX(O1_Community_Attributes!$Y$1:$Y$500,MATCH($A254,O1_Community_Attributes!$A$1:$A$500,0))="","",INDEX(O1_Community_Attributes!$Y$1:$Y$500,MATCH($A254,O1_Community_Attributes!$A$1:$A$500,0))),""))</f>
        <v/>
      </c>
      <c r="Q254" s="8" t="str">
        <f aca="false">IF($A254="","",IFERROR(IF(INDEX(O1_Community_Attributes!$Z$1:$Z$500,MATCH($A254,O1_Community_Attributes!$A$1:$A$500,0))="","",INDEX(O1_Community_Attributes!$Z$1:$Z$500,MATCH($A254,O1_Community_Attributes!$A$1:$A$500,0))),""))</f>
        <v/>
      </c>
      <c r="R254" s="8" t="str">
        <f aca="false">IF($A254="","",IFERROR(IF(INDEX(O1_Community_Attributes!$BK$1:$BK$500,MATCH($A254,O1_Community_Attributes!$A$1:$A$500,0))="","",INDEX(O1_Community_Attributes!$BK$1:$BK$500,MATCH($A254,O1_Community_Attributes!$A$1:$A$500,0))),""))</f>
        <v/>
      </c>
      <c r="S254" s="8" t="str">
        <f aca="false">IF(OR($C254="",$M254=""),"",$M254/$C254)</f>
        <v/>
      </c>
      <c r="T254" s="8" t="str">
        <f aca="false">IF($C254="","",IF(AND($M254="",$P254=""),"",IF($M254="","B",IF(ABS($S254-1)&lt;=0.3,"A",IF(OR($S254&gt;2,$S254&lt;0.5),"C","B")))))</f>
        <v/>
      </c>
    </row>
    <row r="255" customFormat="false" ht="15" hidden="false" customHeight="true" outlineLevel="0" collapsed="false">
      <c r="H255" s="8" t="str">
        <f aca="false">IF(C255="","",IF(C255&lt;1,"yes","no"))</f>
        <v/>
      </c>
      <c r="I255" s="8" t="str">
        <f aca="false">IF(C255="","",IF(C255&lt;2.6,"r75",IF(C255&lt;5.2,"r110",IF(C255&lt;9.9,"r150",IF(C255&lt;19.8,"r210","r300")))))</f>
        <v/>
      </c>
      <c r="M255" s="8" t="str">
        <f aca="false">IF($A255="","",IFERROR(IF(INDEX(O1_Community_Attributes!$V$1:$V$500,MATCH($A255,O1_Community_Attributes!$A$1:$A$500,0))="","",INDEX(O1_Community_Attributes!$V$1:$V$500,MATCH($A255,O1_Community_Attributes!$A$1:$A$500,0))),""))</f>
        <v/>
      </c>
      <c r="N255" s="8" t="str">
        <f aca="false">IF($A255="","",IFERROR(IF(INDEX(O1_Community_Attributes!$W$1:$W$500,MATCH($A255,O1_Community_Attributes!$A$1:$A$500,0))="","",INDEX(O1_Community_Attributes!$W$1:$W$500,MATCH($A255,O1_Community_Attributes!$A$1:$A$500,0))),""))</f>
        <v/>
      </c>
      <c r="O255" s="8" t="str">
        <f aca="false">IF($A255="","",IFERROR(IF(INDEX(O1_Community_Attributes!$X$1:$X$500,MATCH($A255,O1_Community_Attributes!$A$1:$A$500,0))="","",INDEX(O1_Community_Attributes!$X$1:$X$500,MATCH($A255,O1_Community_Attributes!$A$1:$A$500,0))),""))</f>
        <v/>
      </c>
      <c r="P255" s="8" t="str">
        <f aca="false">IF($A255="","",IFERROR(IF(INDEX(O1_Community_Attributes!$Y$1:$Y$500,MATCH($A255,O1_Community_Attributes!$A$1:$A$500,0))="","",INDEX(O1_Community_Attributes!$Y$1:$Y$500,MATCH($A255,O1_Community_Attributes!$A$1:$A$500,0))),""))</f>
        <v/>
      </c>
      <c r="Q255" s="8" t="str">
        <f aca="false">IF($A255="","",IFERROR(IF(INDEX(O1_Community_Attributes!$Z$1:$Z$500,MATCH($A255,O1_Community_Attributes!$A$1:$A$500,0))="","",INDEX(O1_Community_Attributes!$Z$1:$Z$500,MATCH($A255,O1_Community_Attributes!$A$1:$A$500,0))),""))</f>
        <v/>
      </c>
      <c r="R255" s="8" t="str">
        <f aca="false">IF($A255="","",IFERROR(IF(INDEX(O1_Community_Attributes!$BK$1:$BK$500,MATCH($A255,O1_Community_Attributes!$A$1:$A$500,0))="","",INDEX(O1_Community_Attributes!$BK$1:$BK$500,MATCH($A255,O1_Community_Attributes!$A$1:$A$500,0))),""))</f>
        <v/>
      </c>
      <c r="S255" s="8" t="str">
        <f aca="false">IF(OR($C255="",$M255=""),"",$M255/$C255)</f>
        <v/>
      </c>
      <c r="T255" s="8" t="str">
        <f aca="false">IF($C255="","",IF(AND($M255="",$P255=""),"",IF($M255="","B",IF(ABS($S255-1)&lt;=0.3,"A",IF(OR($S255&gt;2,$S255&lt;0.5),"C","B")))))</f>
        <v/>
      </c>
    </row>
    <row r="256" customFormat="false" ht="15" hidden="false" customHeight="true" outlineLevel="0" collapsed="false">
      <c r="H256" s="8" t="str">
        <f aca="false">IF(C256="","",IF(C256&lt;1,"yes","no"))</f>
        <v/>
      </c>
      <c r="I256" s="8" t="str">
        <f aca="false">IF(C256="","",IF(C256&lt;2.6,"r75",IF(C256&lt;5.2,"r110",IF(C256&lt;9.9,"r150",IF(C256&lt;19.8,"r210","r300")))))</f>
        <v/>
      </c>
      <c r="M256" s="8" t="str">
        <f aca="false">IF($A256="","",IFERROR(IF(INDEX(O1_Community_Attributes!$V$1:$V$500,MATCH($A256,O1_Community_Attributes!$A$1:$A$500,0))="","",INDEX(O1_Community_Attributes!$V$1:$V$500,MATCH($A256,O1_Community_Attributes!$A$1:$A$500,0))),""))</f>
        <v/>
      </c>
      <c r="N256" s="8" t="str">
        <f aca="false">IF($A256="","",IFERROR(IF(INDEX(O1_Community_Attributes!$W$1:$W$500,MATCH($A256,O1_Community_Attributes!$A$1:$A$500,0))="","",INDEX(O1_Community_Attributes!$W$1:$W$500,MATCH($A256,O1_Community_Attributes!$A$1:$A$500,0))),""))</f>
        <v/>
      </c>
      <c r="O256" s="8" t="str">
        <f aca="false">IF($A256="","",IFERROR(IF(INDEX(O1_Community_Attributes!$X$1:$X$500,MATCH($A256,O1_Community_Attributes!$A$1:$A$500,0))="","",INDEX(O1_Community_Attributes!$X$1:$X$500,MATCH($A256,O1_Community_Attributes!$A$1:$A$500,0))),""))</f>
        <v/>
      </c>
      <c r="P256" s="8" t="str">
        <f aca="false">IF($A256="","",IFERROR(IF(INDEX(O1_Community_Attributes!$Y$1:$Y$500,MATCH($A256,O1_Community_Attributes!$A$1:$A$500,0))="","",INDEX(O1_Community_Attributes!$Y$1:$Y$500,MATCH($A256,O1_Community_Attributes!$A$1:$A$500,0))),""))</f>
        <v/>
      </c>
      <c r="Q256" s="8" t="str">
        <f aca="false">IF($A256="","",IFERROR(IF(INDEX(O1_Community_Attributes!$Z$1:$Z$500,MATCH($A256,O1_Community_Attributes!$A$1:$A$500,0))="","",INDEX(O1_Community_Attributes!$Z$1:$Z$500,MATCH($A256,O1_Community_Attributes!$A$1:$A$500,0))),""))</f>
        <v/>
      </c>
      <c r="R256" s="8" t="str">
        <f aca="false">IF($A256="","",IFERROR(IF(INDEX(O1_Community_Attributes!$BK$1:$BK$500,MATCH($A256,O1_Community_Attributes!$A$1:$A$500,0))="","",INDEX(O1_Community_Attributes!$BK$1:$BK$500,MATCH($A256,O1_Community_Attributes!$A$1:$A$500,0))),""))</f>
        <v/>
      </c>
      <c r="S256" s="8" t="str">
        <f aca="false">IF(OR($C256="",$M256=""),"",$M256/$C256)</f>
        <v/>
      </c>
      <c r="T256" s="8" t="str">
        <f aca="false">IF($C256="","",IF(AND($M256="",$P256=""),"",IF($M256="","B",IF(ABS($S256-1)&lt;=0.3,"A",IF(OR($S256&gt;2,$S256&lt;0.5),"C","B")))))</f>
        <v/>
      </c>
    </row>
    <row r="257" customFormat="false" ht="15" hidden="false" customHeight="true" outlineLevel="0" collapsed="false">
      <c r="H257" s="8" t="str">
        <f aca="false">IF(C257="","",IF(C257&lt;1,"yes","no"))</f>
        <v/>
      </c>
      <c r="I257" s="8" t="str">
        <f aca="false">IF(C257="","",IF(C257&lt;2.6,"r75",IF(C257&lt;5.2,"r110",IF(C257&lt;9.9,"r150",IF(C257&lt;19.8,"r210","r300")))))</f>
        <v/>
      </c>
      <c r="M257" s="8" t="str">
        <f aca="false">IF($A257="","",IFERROR(IF(INDEX(O1_Community_Attributes!$V$1:$V$500,MATCH($A257,O1_Community_Attributes!$A$1:$A$500,0))="","",INDEX(O1_Community_Attributes!$V$1:$V$500,MATCH($A257,O1_Community_Attributes!$A$1:$A$500,0))),""))</f>
        <v/>
      </c>
      <c r="N257" s="8" t="str">
        <f aca="false">IF($A257="","",IFERROR(IF(INDEX(O1_Community_Attributes!$W$1:$W$500,MATCH($A257,O1_Community_Attributes!$A$1:$A$500,0))="","",INDEX(O1_Community_Attributes!$W$1:$W$500,MATCH($A257,O1_Community_Attributes!$A$1:$A$500,0))),""))</f>
        <v/>
      </c>
      <c r="O257" s="8" t="str">
        <f aca="false">IF($A257="","",IFERROR(IF(INDEX(O1_Community_Attributes!$X$1:$X$500,MATCH($A257,O1_Community_Attributes!$A$1:$A$500,0))="","",INDEX(O1_Community_Attributes!$X$1:$X$500,MATCH($A257,O1_Community_Attributes!$A$1:$A$500,0))),""))</f>
        <v/>
      </c>
      <c r="P257" s="8" t="str">
        <f aca="false">IF($A257="","",IFERROR(IF(INDEX(O1_Community_Attributes!$Y$1:$Y$500,MATCH($A257,O1_Community_Attributes!$A$1:$A$500,0))="","",INDEX(O1_Community_Attributes!$Y$1:$Y$500,MATCH($A257,O1_Community_Attributes!$A$1:$A$500,0))),""))</f>
        <v/>
      </c>
      <c r="Q257" s="8" t="str">
        <f aca="false">IF($A257="","",IFERROR(IF(INDEX(O1_Community_Attributes!$Z$1:$Z$500,MATCH($A257,O1_Community_Attributes!$A$1:$A$500,0))="","",INDEX(O1_Community_Attributes!$Z$1:$Z$500,MATCH($A257,O1_Community_Attributes!$A$1:$A$500,0))),""))</f>
        <v/>
      </c>
      <c r="R257" s="8" t="str">
        <f aca="false">IF($A257="","",IFERROR(IF(INDEX(O1_Community_Attributes!$BK$1:$BK$500,MATCH($A257,O1_Community_Attributes!$A$1:$A$500,0))="","",INDEX(O1_Community_Attributes!$BK$1:$BK$500,MATCH($A257,O1_Community_Attributes!$A$1:$A$500,0))),""))</f>
        <v/>
      </c>
      <c r="S257" s="8" t="str">
        <f aca="false">IF(OR($C257="",$M257=""),"",$M257/$C257)</f>
        <v/>
      </c>
      <c r="T257" s="8" t="str">
        <f aca="false">IF($C257="","",IF(AND($M257="",$P257=""),"",IF($M257="","B",IF(ABS($S257-1)&lt;=0.3,"A",IF(OR($S257&gt;2,$S257&lt;0.5),"C","B")))))</f>
        <v/>
      </c>
    </row>
    <row r="258" customFormat="false" ht="15" hidden="false" customHeight="true" outlineLevel="0" collapsed="false">
      <c r="H258" s="8" t="str">
        <f aca="false">IF(C258="","",IF(C258&lt;1,"yes","no"))</f>
        <v/>
      </c>
      <c r="I258" s="8" t="str">
        <f aca="false">IF(C258="","",IF(C258&lt;2.6,"r75",IF(C258&lt;5.2,"r110",IF(C258&lt;9.9,"r150",IF(C258&lt;19.8,"r210","r300")))))</f>
        <v/>
      </c>
      <c r="M258" s="8" t="str">
        <f aca="false">IF($A258="","",IFERROR(IF(INDEX(O1_Community_Attributes!$V$1:$V$500,MATCH($A258,O1_Community_Attributes!$A$1:$A$500,0))="","",INDEX(O1_Community_Attributes!$V$1:$V$500,MATCH($A258,O1_Community_Attributes!$A$1:$A$500,0))),""))</f>
        <v/>
      </c>
      <c r="N258" s="8" t="str">
        <f aca="false">IF($A258="","",IFERROR(IF(INDEX(O1_Community_Attributes!$W$1:$W$500,MATCH($A258,O1_Community_Attributes!$A$1:$A$500,0))="","",INDEX(O1_Community_Attributes!$W$1:$W$500,MATCH($A258,O1_Community_Attributes!$A$1:$A$500,0))),""))</f>
        <v/>
      </c>
      <c r="O258" s="8" t="str">
        <f aca="false">IF($A258="","",IFERROR(IF(INDEX(O1_Community_Attributes!$X$1:$X$500,MATCH($A258,O1_Community_Attributes!$A$1:$A$500,0))="","",INDEX(O1_Community_Attributes!$X$1:$X$500,MATCH($A258,O1_Community_Attributes!$A$1:$A$500,0))),""))</f>
        <v/>
      </c>
      <c r="P258" s="8" t="str">
        <f aca="false">IF($A258="","",IFERROR(IF(INDEX(O1_Community_Attributes!$Y$1:$Y$500,MATCH($A258,O1_Community_Attributes!$A$1:$A$500,0))="","",INDEX(O1_Community_Attributes!$Y$1:$Y$500,MATCH($A258,O1_Community_Attributes!$A$1:$A$500,0))),""))</f>
        <v/>
      </c>
      <c r="Q258" s="8" t="str">
        <f aca="false">IF($A258="","",IFERROR(IF(INDEX(O1_Community_Attributes!$Z$1:$Z$500,MATCH($A258,O1_Community_Attributes!$A$1:$A$500,0))="","",INDEX(O1_Community_Attributes!$Z$1:$Z$500,MATCH($A258,O1_Community_Attributes!$A$1:$A$500,0))),""))</f>
        <v/>
      </c>
      <c r="R258" s="8" t="str">
        <f aca="false">IF($A258="","",IFERROR(IF(INDEX(O1_Community_Attributes!$BK$1:$BK$500,MATCH($A258,O1_Community_Attributes!$A$1:$A$500,0))="","",INDEX(O1_Community_Attributes!$BK$1:$BK$500,MATCH($A258,O1_Community_Attributes!$A$1:$A$500,0))),""))</f>
        <v/>
      </c>
      <c r="S258" s="8" t="str">
        <f aca="false">IF(OR($C258="",$M258=""),"",$M258/$C258)</f>
        <v/>
      </c>
      <c r="T258" s="8" t="str">
        <f aca="false">IF($C258="","",IF(AND($M258="",$P258=""),"",IF($M258="","B",IF(ABS($S258-1)&lt;=0.3,"A",IF(OR($S258&gt;2,$S258&lt;0.5),"C","B")))))</f>
        <v/>
      </c>
    </row>
    <row r="259" customFormat="false" ht="15" hidden="false" customHeight="true" outlineLevel="0" collapsed="false">
      <c r="H259" s="8" t="str">
        <f aca="false">IF(C259="","",IF(C259&lt;1,"yes","no"))</f>
        <v/>
      </c>
      <c r="I259" s="8" t="str">
        <f aca="false">IF(C259="","",IF(C259&lt;2.6,"r75",IF(C259&lt;5.2,"r110",IF(C259&lt;9.9,"r150",IF(C259&lt;19.8,"r210","r300")))))</f>
        <v/>
      </c>
      <c r="M259" s="8" t="str">
        <f aca="false">IF($A259="","",IFERROR(IF(INDEX(O1_Community_Attributes!$V$1:$V$500,MATCH($A259,O1_Community_Attributes!$A$1:$A$500,0))="","",INDEX(O1_Community_Attributes!$V$1:$V$500,MATCH($A259,O1_Community_Attributes!$A$1:$A$500,0))),""))</f>
        <v/>
      </c>
      <c r="N259" s="8" t="str">
        <f aca="false">IF($A259="","",IFERROR(IF(INDEX(O1_Community_Attributes!$W$1:$W$500,MATCH($A259,O1_Community_Attributes!$A$1:$A$500,0))="","",INDEX(O1_Community_Attributes!$W$1:$W$500,MATCH($A259,O1_Community_Attributes!$A$1:$A$500,0))),""))</f>
        <v/>
      </c>
      <c r="O259" s="8" t="str">
        <f aca="false">IF($A259="","",IFERROR(IF(INDEX(O1_Community_Attributes!$X$1:$X$500,MATCH($A259,O1_Community_Attributes!$A$1:$A$500,0))="","",INDEX(O1_Community_Attributes!$X$1:$X$500,MATCH($A259,O1_Community_Attributes!$A$1:$A$500,0))),""))</f>
        <v/>
      </c>
      <c r="P259" s="8" t="str">
        <f aca="false">IF($A259="","",IFERROR(IF(INDEX(O1_Community_Attributes!$Y$1:$Y$500,MATCH($A259,O1_Community_Attributes!$A$1:$A$500,0))="","",INDEX(O1_Community_Attributes!$Y$1:$Y$500,MATCH($A259,O1_Community_Attributes!$A$1:$A$500,0))),""))</f>
        <v/>
      </c>
      <c r="Q259" s="8" t="str">
        <f aca="false">IF($A259="","",IFERROR(IF(INDEX(O1_Community_Attributes!$Z$1:$Z$500,MATCH($A259,O1_Community_Attributes!$A$1:$A$500,0))="","",INDEX(O1_Community_Attributes!$Z$1:$Z$500,MATCH($A259,O1_Community_Attributes!$A$1:$A$500,0))),""))</f>
        <v/>
      </c>
      <c r="R259" s="8" t="str">
        <f aca="false">IF($A259="","",IFERROR(IF(INDEX(O1_Community_Attributes!$BK$1:$BK$500,MATCH($A259,O1_Community_Attributes!$A$1:$A$500,0))="","",INDEX(O1_Community_Attributes!$BK$1:$BK$500,MATCH($A259,O1_Community_Attributes!$A$1:$A$500,0))),""))</f>
        <v/>
      </c>
      <c r="S259" s="8" t="str">
        <f aca="false">IF(OR($C259="",$M259=""),"",$M259/$C259)</f>
        <v/>
      </c>
      <c r="T259" s="8" t="str">
        <f aca="false">IF($C259="","",IF(AND($M259="",$P259=""),"",IF($M259="","B",IF(ABS($S259-1)&lt;=0.3,"A",IF(OR($S259&gt;2,$S259&lt;0.5),"C","B")))))</f>
        <v/>
      </c>
    </row>
    <row r="260" customFormat="false" ht="15" hidden="false" customHeight="true" outlineLevel="0" collapsed="false">
      <c r="H260" s="8" t="str">
        <f aca="false">IF(C260="","",IF(C260&lt;1,"yes","no"))</f>
        <v/>
      </c>
      <c r="I260" s="8" t="str">
        <f aca="false">IF(C260="","",IF(C260&lt;2.6,"r75",IF(C260&lt;5.2,"r110",IF(C260&lt;9.9,"r150",IF(C260&lt;19.8,"r210","r300")))))</f>
        <v/>
      </c>
      <c r="M260" s="8" t="str">
        <f aca="false">IF($A260="","",IFERROR(IF(INDEX(O1_Community_Attributes!$V$1:$V$500,MATCH($A260,O1_Community_Attributes!$A$1:$A$500,0))="","",INDEX(O1_Community_Attributes!$V$1:$V$500,MATCH($A260,O1_Community_Attributes!$A$1:$A$500,0))),""))</f>
        <v/>
      </c>
      <c r="N260" s="8" t="str">
        <f aca="false">IF($A260="","",IFERROR(IF(INDEX(O1_Community_Attributes!$W$1:$W$500,MATCH($A260,O1_Community_Attributes!$A$1:$A$500,0))="","",INDEX(O1_Community_Attributes!$W$1:$W$500,MATCH($A260,O1_Community_Attributes!$A$1:$A$500,0))),""))</f>
        <v/>
      </c>
      <c r="O260" s="8" t="str">
        <f aca="false">IF($A260="","",IFERROR(IF(INDEX(O1_Community_Attributes!$X$1:$X$500,MATCH($A260,O1_Community_Attributes!$A$1:$A$500,0))="","",INDEX(O1_Community_Attributes!$X$1:$X$500,MATCH($A260,O1_Community_Attributes!$A$1:$A$500,0))),""))</f>
        <v/>
      </c>
      <c r="P260" s="8" t="str">
        <f aca="false">IF($A260="","",IFERROR(IF(INDEX(O1_Community_Attributes!$Y$1:$Y$500,MATCH($A260,O1_Community_Attributes!$A$1:$A$500,0))="","",INDEX(O1_Community_Attributes!$Y$1:$Y$500,MATCH($A260,O1_Community_Attributes!$A$1:$A$500,0))),""))</f>
        <v/>
      </c>
      <c r="Q260" s="8" t="str">
        <f aca="false">IF($A260="","",IFERROR(IF(INDEX(O1_Community_Attributes!$Z$1:$Z$500,MATCH($A260,O1_Community_Attributes!$A$1:$A$500,0))="","",INDEX(O1_Community_Attributes!$Z$1:$Z$500,MATCH($A260,O1_Community_Attributes!$A$1:$A$500,0))),""))</f>
        <v/>
      </c>
      <c r="R260" s="8" t="str">
        <f aca="false">IF($A260="","",IFERROR(IF(INDEX(O1_Community_Attributes!$BK$1:$BK$500,MATCH($A260,O1_Community_Attributes!$A$1:$A$500,0))="","",INDEX(O1_Community_Attributes!$BK$1:$BK$500,MATCH($A260,O1_Community_Attributes!$A$1:$A$500,0))),""))</f>
        <v/>
      </c>
      <c r="S260" s="8" t="str">
        <f aca="false">IF(OR($C260="",$M260=""),"",$M260/$C260)</f>
        <v/>
      </c>
      <c r="T260" s="8" t="str">
        <f aca="false">IF($C260="","",IF(AND($M260="",$P260=""),"",IF($M260="","B",IF(ABS($S260-1)&lt;=0.3,"A",IF(OR($S260&gt;2,$S260&lt;0.5),"C","B")))))</f>
        <v/>
      </c>
    </row>
    <row r="261" customFormat="false" ht="15" hidden="false" customHeight="true" outlineLevel="0" collapsed="false">
      <c r="H261" s="8" t="str">
        <f aca="false">IF(C261="","",IF(C261&lt;1,"yes","no"))</f>
        <v/>
      </c>
      <c r="I261" s="8" t="str">
        <f aca="false">IF(C261="","",IF(C261&lt;2.6,"r75",IF(C261&lt;5.2,"r110",IF(C261&lt;9.9,"r150",IF(C261&lt;19.8,"r210","r300")))))</f>
        <v/>
      </c>
      <c r="M261" s="8" t="str">
        <f aca="false">IF($A261="","",IFERROR(IF(INDEX(O1_Community_Attributes!$V$1:$V$500,MATCH($A261,O1_Community_Attributes!$A$1:$A$500,0))="","",INDEX(O1_Community_Attributes!$V$1:$V$500,MATCH($A261,O1_Community_Attributes!$A$1:$A$500,0))),""))</f>
        <v/>
      </c>
      <c r="N261" s="8" t="str">
        <f aca="false">IF($A261="","",IFERROR(IF(INDEX(O1_Community_Attributes!$W$1:$W$500,MATCH($A261,O1_Community_Attributes!$A$1:$A$500,0))="","",INDEX(O1_Community_Attributes!$W$1:$W$500,MATCH($A261,O1_Community_Attributes!$A$1:$A$500,0))),""))</f>
        <v/>
      </c>
      <c r="O261" s="8" t="str">
        <f aca="false">IF($A261="","",IFERROR(IF(INDEX(O1_Community_Attributes!$X$1:$X$500,MATCH($A261,O1_Community_Attributes!$A$1:$A$500,0))="","",INDEX(O1_Community_Attributes!$X$1:$X$500,MATCH($A261,O1_Community_Attributes!$A$1:$A$500,0))),""))</f>
        <v/>
      </c>
      <c r="P261" s="8" t="str">
        <f aca="false">IF($A261="","",IFERROR(IF(INDEX(O1_Community_Attributes!$Y$1:$Y$500,MATCH($A261,O1_Community_Attributes!$A$1:$A$500,0))="","",INDEX(O1_Community_Attributes!$Y$1:$Y$500,MATCH($A261,O1_Community_Attributes!$A$1:$A$500,0))),""))</f>
        <v/>
      </c>
      <c r="Q261" s="8" t="str">
        <f aca="false">IF($A261="","",IFERROR(IF(INDEX(O1_Community_Attributes!$Z$1:$Z$500,MATCH($A261,O1_Community_Attributes!$A$1:$A$500,0))="","",INDEX(O1_Community_Attributes!$Z$1:$Z$500,MATCH($A261,O1_Community_Attributes!$A$1:$A$500,0))),""))</f>
        <v/>
      </c>
      <c r="R261" s="8" t="str">
        <f aca="false">IF($A261="","",IFERROR(IF(INDEX(O1_Community_Attributes!$BK$1:$BK$500,MATCH($A261,O1_Community_Attributes!$A$1:$A$500,0))="","",INDEX(O1_Community_Attributes!$BK$1:$BK$500,MATCH($A261,O1_Community_Attributes!$A$1:$A$500,0))),""))</f>
        <v/>
      </c>
      <c r="S261" s="8" t="str">
        <f aca="false">IF(OR($C261="",$M261=""),"",$M261/$C261)</f>
        <v/>
      </c>
      <c r="T261" s="8" t="str">
        <f aca="false">IF($C261="","",IF(AND($M261="",$P261=""),"",IF($M261="","B",IF(ABS($S261-1)&lt;=0.3,"A",IF(OR($S261&gt;2,$S261&lt;0.5),"C","B")))))</f>
        <v/>
      </c>
    </row>
    <row r="262" customFormat="false" ht="15" hidden="false" customHeight="true" outlineLevel="0" collapsed="false">
      <c r="H262" s="8" t="str">
        <f aca="false">IF(C262="","",IF(C262&lt;1,"yes","no"))</f>
        <v/>
      </c>
      <c r="I262" s="8" t="str">
        <f aca="false">IF(C262="","",IF(C262&lt;2.6,"r75",IF(C262&lt;5.2,"r110",IF(C262&lt;9.9,"r150",IF(C262&lt;19.8,"r210","r300")))))</f>
        <v/>
      </c>
      <c r="M262" s="8" t="str">
        <f aca="false">IF($A262="","",IFERROR(IF(INDEX(O1_Community_Attributes!$V$1:$V$500,MATCH($A262,O1_Community_Attributes!$A$1:$A$500,0))="","",INDEX(O1_Community_Attributes!$V$1:$V$500,MATCH($A262,O1_Community_Attributes!$A$1:$A$500,0))),""))</f>
        <v/>
      </c>
      <c r="N262" s="8" t="str">
        <f aca="false">IF($A262="","",IFERROR(IF(INDEX(O1_Community_Attributes!$W$1:$W$500,MATCH($A262,O1_Community_Attributes!$A$1:$A$500,0))="","",INDEX(O1_Community_Attributes!$W$1:$W$500,MATCH($A262,O1_Community_Attributes!$A$1:$A$500,0))),""))</f>
        <v/>
      </c>
      <c r="O262" s="8" t="str">
        <f aca="false">IF($A262="","",IFERROR(IF(INDEX(O1_Community_Attributes!$X$1:$X$500,MATCH($A262,O1_Community_Attributes!$A$1:$A$500,0))="","",INDEX(O1_Community_Attributes!$X$1:$X$500,MATCH($A262,O1_Community_Attributes!$A$1:$A$500,0))),""))</f>
        <v/>
      </c>
      <c r="P262" s="8" t="str">
        <f aca="false">IF($A262="","",IFERROR(IF(INDEX(O1_Community_Attributes!$Y$1:$Y$500,MATCH($A262,O1_Community_Attributes!$A$1:$A$500,0))="","",INDEX(O1_Community_Attributes!$Y$1:$Y$500,MATCH($A262,O1_Community_Attributes!$A$1:$A$500,0))),""))</f>
        <v/>
      </c>
      <c r="Q262" s="8" t="str">
        <f aca="false">IF($A262="","",IFERROR(IF(INDEX(O1_Community_Attributes!$Z$1:$Z$500,MATCH($A262,O1_Community_Attributes!$A$1:$A$500,0))="","",INDEX(O1_Community_Attributes!$Z$1:$Z$500,MATCH($A262,O1_Community_Attributes!$A$1:$A$500,0))),""))</f>
        <v/>
      </c>
      <c r="R262" s="8" t="str">
        <f aca="false">IF($A262="","",IFERROR(IF(INDEX(O1_Community_Attributes!$BK$1:$BK$500,MATCH($A262,O1_Community_Attributes!$A$1:$A$500,0))="","",INDEX(O1_Community_Attributes!$BK$1:$BK$500,MATCH($A262,O1_Community_Attributes!$A$1:$A$500,0))),""))</f>
        <v/>
      </c>
      <c r="S262" s="8" t="str">
        <f aca="false">IF(OR($C262="",$M262=""),"",$M262/$C262)</f>
        <v/>
      </c>
      <c r="T262" s="8" t="str">
        <f aca="false">IF($C262="","",IF(AND($M262="",$P262=""),"",IF($M262="","B",IF(ABS($S262-1)&lt;=0.3,"A",IF(OR($S262&gt;2,$S262&lt;0.5),"C","B")))))</f>
        <v/>
      </c>
    </row>
    <row r="263" customFormat="false" ht="15" hidden="false" customHeight="true" outlineLevel="0" collapsed="false">
      <c r="H263" s="8" t="str">
        <f aca="false">IF(C263="","",IF(C263&lt;1,"yes","no"))</f>
        <v/>
      </c>
      <c r="I263" s="8" t="str">
        <f aca="false">IF(C263="","",IF(C263&lt;2.6,"r75",IF(C263&lt;5.2,"r110",IF(C263&lt;9.9,"r150",IF(C263&lt;19.8,"r210","r300")))))</f>
        <v/>
      </c>
      <c r="M263" s="8" t="str">
        <f aca="false">IF($A263="","",IFERROR(IF(INDEX(O1_Community_Attributes!$V$1:$V$500,MATCH($A263,O1_Community_Attributes!$A$1:$A$500,0))="","",INDEX(O1_Community_Attributes!$V$1:$V$500,MATCH($A263,O1_Community_Attributes!$A$1:$A$500,0))),""))</f>
        <v/>
      </c>
      <c r="N263" s="8" t="str">
        <f aca="false">IF($A263="","",IFERROR(IF(INDEX(O1_Community_Attributes!$W$1:$W$500,MATCH($A263,O1_Community_Attributes!$A$1:$A$500,0))="","",INDEX(O1_Community_Attributes!$W$1:$W$500,MATCH($A263,O1_Community_Attributes!$A$1:$A$500,0))),""))</f>
        <v/>
      </c>
      <c r="O263" s="8" t="str">
        <f aca="false">IF($A263="","",IFERROR(IF(INDEX(O1_Community_Attributes!$X$1:$X$500,MATCH($A263,O1_Community_Attributes!$A$1:$A$500,0))="","",INDEX(O1_Community_Attributes!$X$1:$X$500,MATCH($A263,O1_Community_Attributes!$A$1:$A$500,0))),""))</f>
        <v/>
      </c>
      <c r="P263" s="8" t="str">
        <f aca="false">IF($A263="","",IFERROR(IF(INDEX(O1_Community_Attributes!$Y$1:$Y$500,MATCH($A263,O1_Community_Attributes!$A$1:$A$500,0))="","",INDEX(O1_Community_Attributes!$Y$1:$Y$500,MATCH($A263,O1_Community_Attributes!$A$1:$A$500,0))),""))</f>
        <v/>
      </c>
      <c r="Q263" s="8" t="str">
        <f aca="false">IF($A263="","",IFERROR(IF(INDEX(O1_Community_Attributes!$Z$1:$Z$500,MATCH($A263,O1_Community_Attributes!$A$1:$A$500,0))="","",INDEX(O1_Community_Attributes!$Z$1:$Z$500,MATCH($A263,O1_Community_Attributes!$A$1:$A$500,0))),""))</f>
        <v/>
      </c>
      <c r="R263" s="8" t="str">
        <f aca="false">IF($A263="","",IFERROR(IF(INDEX(O1_Community_Attributes!$BK$1:$BK$500,MATCH($A263,O1_Community_Attributes!$A$1:$A$500,0))="","",INDEX(O1_Community_Attributes!$BK$1:$BK$500,MATCH($A263,O1_Community_Attributes!$A$1:$A$500,0))),""))</f>
        <v/>
      </c>
      <c r="S263" s="8" t="str">
        <f aca="false">IF(OR($C263="",$M263=""),"",$M263/$C263)</f>
        <v/>
      </c>
      <c r="T263" s="8" t="str">
        <f aca="false">IF($C263="","",IF(AND($M263="",$P263=""),"",IF($M263="","B",IF(ABS($S263-1)&lt;=0.3,"A",IF(OR($S263&gt;2,$S263&lt;0.5),"C","B")))))</f>
        <v/>
      </c>
    </row>
    <row r="264" customFormat="false" ht="15" hidden="false" customHeight="true" outlineLevel="0" collapsed="false">
      <c r="H264" s="8" t="str">
        <f aca="false">IF(C264="","",IF(C264&lt;1,"yes","no"))</f>
        <v/>
      </c>
      <c r="I264" s="8" t="str">
        <f aca="false">IF(C264="","",IF(C264&lt;2.6,"r75",IF(C264&lt;5.2,"r110",IF(C264&lt;9.9,"r150",IF(C264&lt;19.8,"r210","r300")))))</f>
        <v/>
      </c>
      <c r="M264" s="8" t="str">
        <f aca="false">IF($A264="","",IFERROR(IF(INDEX(O1_Community_Attributes!$V$1:$V$500,MATCH($A264,O1_Community_Attributes!$A$1:$A$500,0))="","",INDEX(O1_Community_Attributes!$V$1:$V$500,MATCH($A264,O1_Community_Attributes!$A$1:$A$500,0))),""))</f>
        <v/>
      </c>
      <c r="N264" s="8" t="str">
        <f aca="false">IF($A264="","",IFERROR(IF(INDEX(O1_Community_Attributes!$W$1:$W$500,MATCH($A264,O1_Community_Attributes!$A$1:$A$500,0))="","",INDEX(O1_Community_Attributes!$W$1:$W$500,MATCH($A264,O1_Community_Attributes!$A$1:$A$500,0))),""))</f>
        <v/>
      </c>
      <c r="O264" s="8" t="str">
        <f aca="false">IF($A264="","",IFERROR(IF(INDEX(O1_Community_Attributes!$X$1:$X$500,MATCH($A264,O1_Community_Attributes!$A$1:$A$500,0))="","",INDEX(O1_Community_Attributes!$X$1:$X$500,MATCH($A264,O1_Community_Attributes!$A$1:$A$500,0))),""))</f>
        <v/>
      </c>
      <c r="P264" s="8" t="str">
        <f aca="false">IF($A264="","",IFERROR(IF(INDEX(O1_Community_Attributes!$Y$1:$Y$500,MATCH($A264,O1_Community_Attributes!$A$1:$A$500,0))="","",INDEX(O1_Community_Attributes!$Y$1:$Y$500,MATCH($A264,O1_Community_Attributes!$A$1:$A$500,0))),""))</f>
        <v/>
      </c>
      <c r="Q264" s="8" t="str">
        <f aca="false">IF($A264="","",IFERROR(IF(INDEX(O1_Community_Attributes!$Z$1:$Z$500,MATCH($A264,O1_Community_Attributes!$A$1:$A$500,0))="","",INDEX(O1_Community_Attributes!$Z$1:$Z$500,MATCH($A264,O1_Community_Attributes!$A$1:$A$500,0))),""))</f>
        <v/>
      </c>
      <c r="R264" s="8" t="str">
        <f aca="false">IF($A264="","",IFERROR(IF(INDEX(O1_Community_Attributes!$BK$1:$BK$500,MATCH($A264,O1_Community_Attributes!$A$1:$A$500,0))="","",INDEX(O1_Community_Attributes!$BK$1:$BK$500,MATCH($A264,O1_Community_Attributes!$A$1:$A$500,0))),""))</f>
        <v/>
      </c>
      <c r="S264" s="8" t="str">
        <f aca="false">IF(OR($C264="",$M264=""),"",$M264/$C264)</f>
        <v/>
      </c>
      <c r="T264" s="8" t="str">
        <f aca="false">IF($C264="","",IF(AND($M264="",$P264=""),"",IF($M264="","B",IF(ABS($S264-1)&lt;=0.3,"A",IF(OR($S264&gt;2,$S264&lt;0.5),"C","B")))))</f>
        <v/>
      </c>
    </row>
    <row r="265" customFormat="false" ht="15" hidden="false" customHeight="true" outlineLevel="0" collapsed="false">
      <c r="H265" s="8" t="str">
        <f aca="false">IF(C265="","",IF(C265&lt;1,"yes","no"))</f>
        <v/>
      </c>
      <c r="I265" s="8" t="str">
        <f aca="false">IF(C265="","",IF(C265&lt;2.6,"r75",IF(C265&lt;5.2,"r110",IF(C265&lt;9.9,"r150",IF(C265&lt;19.8,"r210","r300")))))</f>
        <v/>
      </c>
      <c r="M265" s="8" t="str">
        <f aca="false">IF($A265="","",IFERROR(IF(INDEX(O1_Community_Attributes!$V$1:$V$500,MATCH($A265,O1_Community_Attributes!$A$1:$A$500,0))="","",INDEX(O1_Community_Attributes!$V$1:$V$500,MATCH($A265,O1_Community_Attributes!$A$1:$A$500,0))),""))</f>
        <v/>
      </c>
      <c r="N265" s="8" t="str">
        <f aca="false">IF($A265="","",IFERROR(IF(INDEX(O1_Community_Attributes!$W$1:$W$500,MATCH($A265,O1_Community_Attributes!$A$1:$A$500,0))="","",INDEX(O1_Community_Attributes!$W$1:$W$500,MATCH($A265,O1_Community_Attributes!$A$1:$A$500,0))),""))</f>
        <v/>
      </c>
      <c r="O265" s="8" t="str">
        <f aca="false">IF($A265="","",IFERROR(IF(INDEX(O1_Community_Attributes!$X$1:$X$500,MATCH($A265,O1_Community_Attributes!$A$1:$A$500,0))="","",INDEX(O1_Community_Attributes!$X$1:$X$500,MATCH($A265,O1_Community_Attributes!$A$1:$A$500,0))),""))</f>
        <v/>
      </c>
      <c r="P265" s="8" t="str">
        <f aca="false">IF($A265="","",IFERROR(IF(INDEX(O1_Community_Attributes!$Y$1:$Y$500,MATCH($A265,O1_Community_Attributes!$A$1:$A$500,0))="","",INDEX(O1_Community_Attributes!$Y$1:$Y$500,MATCH($A265,O1_Community_Attributes!$A$1:$A$500,0))),""))</f>
        <v/>
      </c>
      <c r="Q265" s="8" t="str">
        <f aca="false">IF($A265="","",IFERROR(IF(INDEX(O1_Community_Attributes!$Z$1:$Z$500,MATCH($A265,O1_Community_Attributes!$A$1:$A$500,0))="","",INDEX(O1_Community_Attributes!$Z$1:$Z$500,MATCH($A265,O1_Community_Attributes!$A$1:$A$500,0))),""))</f>
        <v/>
      </c>
      <c r="R265" s="8" t="str">
        <f aca="false">IF($A265="","",IFERROR(IF(INDEX(O1_Community_Attributes!$BK$1:$BK$500,MATCH($A265,O1_Community_Attributes!$A$1:$A$500,0))="","",INDEX(O1_Community_Attributes!$BK$1:$BK$500,MATCH($A265,O1_Community_Attributes!$A$1:$A$500,0))),""))</f>
        <v/>
      </c>
      <c r="S265" s="8" t="str">
        <f aca="false">IF(OR($C265="",$M265=""),"",$M265/$C265)</f>
        <v/>
      </c>
      <c r="T265" s="8" t="str">
        <f aca="false">IF($C265="","",IF(AND($M265="",$P265=""),"",IF($M265="","B",IF(ABS($S265-1)&lt;=0.3,"A",IF(OR($S265&gt;2,$S265&lt;0.5),"C","B")))))</f>
        <v/>
      </c>
    </row>
    <row r="266" customFormat="false" ht="15" hidden="false" customHeight="true" outlineLevel="0" collapsed="false">
      <c r="H266" s="8" t="str">
        <f aca="false">IF(C266="","",IF(C266&lt;1,"yes","no"))</f>
        <v/>
      </c>
      <c r="I266" s="8" t="str">
        <f aca="false">IF(C266="","",IF(C266&lt;2.6,"r75",IF(C266&lt;5.2,"r110",IF(C266&lt;9.9,"r150",IF(C266&lt;19.8,"r210","r300")))))</f>
        <v/>
      </c>
      <c r="M266" s="8" t="str">
        <f aca="false">IF($A266="","",IFERROR(IF(INDEX(O1_Community_Attributes!$V$1:$V$500,MATCH($A266,O1_Community_Attributes!$A$1:$A$500,0))="","",INDEX(O1_Community_Attributes!$V$1:$V$500,MATCH($A266,O1_Community_Attributes!$A$1:$A$500,0))),""))</f>
        <v/>
      </c>
      <c r="N266" s="8" t="str">
        <f aca="false">IF($A266="","",IFERROR(IF(INDEX(O1_Community_Attributes!$W$1:$W$500,MATCH($A266,O1_Community_Attributes!$A$1:$A$500,0))="","",INDEX(O1_Community_Attributes!$W$1:$W$500,MATCH($A266,O1_Community_Attributes!$A$1:$A$500,0))),""))</f>
        <v/>
      </c>
      <c r="O266" s="8" t="str">
        <f aca="false">IF($A266="","",IFERROR(IF(INDEX(O1_Community_Attributes!$X$1:$X$500,MATCH($A266,O1_Community_Attributes!$A$1:$A$500,0))="","",INDEX(O1_Community_Attributes!$X$1:$X$500,MATCH($A266,O1_Community_Attributes!$A$1:$A$500,0))),""))</f>
        <v/>
      </c>
      <c r="P266" s="8" t="str">
        <f aca="false">IF($A266="","",IFERROR(IF(INDEX(O1_Community_Attributes!$Y$1:$Y$500,MATCH($A266,O1_Community_Attributes!$A$1:$A$500,0))="","",INDEX(O1_Community_Attributes!$Y$1:$Y$500,MATCH($A266,O1_Community_Attributes!$A$1:$A$500,0))),""))</f>
        <v/>
      </c>
      <c r="Q266" s="8" t="str">
        <f aca="false">IF($A266="","",IFERROR(IF(INDEX(O1_Community_Attributes!$Z$1:$Z$500,MATCH($A266,O1_Community_Attributes!$A$1:$A$500,0))="","",INDEX(O1_Community_Attributes!$Z$1:$Z$500,MATCH($A266,O1_Community_Attributes!$A$1:$A$500,0))),""))</f>
        <v/>
      </c>
      <c r="R266" s="8" t="str">
        <f aca="false">IF($A266="","",IFERROR(IF(INDEX(O1_Community_Attributes!$BK$1:$BK$500,MATCH($A266,O1_Community_Attributes!$A$1:$A$500,0))="","",INDEX(O1_Community_Attributes!$BK$1:$BK$500,MATCH($A266,O1_Community_Attributes!$A$1:$A$500,0))),""))</f>
        <v/>
      </c>
      <c r="S266" s="8" t="str">
        <f aca="false">IF(OR($C266="",$M266=""),"",$M266/$C266)</f>
        <v/>
      </c>
      <c r="T266" s="8" t="str">
        <f aca="false">IF($C266="","",IF(AND($M266="",$P266=""),"",IF($M266="","B",IF(ABS($S266-1)&lt;=0.3,"A",IF(OR($S266&gt;2,$S266&lt;0.5),"C","B")))))</f>
        <v/>
      </c>
    </row>
    <row r="267" customFormat="false" ht="15" hidden="false" customHeight="true" outlineLevel="0" collapsed="false">
      <c r="H267" s="8" t="str">
        <f aca="false">IF(C267="","",IF(C267&lt;1,"yes","no"))</f>
        <v/>
      </c>
      <c r="I267" s="8" t="str">
        <f aca="false">IF(C267="","",IF(C267&lt;2.6,"r75",IF(C267&lt;5.2,"r110",IF(C267&lt;9.9,"r150",IF(C267&lt;19.8,"r210","r300")))))</f>
        <v/>
      </c>
      <c r="M267" s="8" t="str">
        <f aca="false">IF($A267="","",IFERROR(IF(INDEX(O1_Community_Attributes!$V$1:$V$500,MATCH($A267,O1_Community_Attributes!$A$1:$A$500,0))="","",INDEX(O1_Community_Attributes!$V$1:$V$500,MATCH($A267,O1_Community_Attributes!$A$1:$A$500,0))),""))</f>
        <v/>
      </c>
      <c r="N267" s="8" t="str">
        <f aca="false">IF($A267="","",IFERROR(IF(INDEX(O1_Community_Attributes!$W$1:$W$500,MATCH($A267,O1_Community_Attributes!$A$1:$A$500,0))="","",INDEX(O1_Community_Attributes!$W$1:$W$500,MATCH($A267,O1_Community_Attributes!$A$1:$A$500,0))),""))</f>
        <v/>
      </c>
      <c r="O267" s="8" t="str">
        <f aca="false">IF($A267="","",IFERROR(IF(INDEX(O1_Community_Attributes!$X$1:$X$500,MATCH($A267,O1_Community_Attributes!$A$1:$A$500,0))="","",INDEX(O1_Community_Attributes!$X$1:$X$500,MATCH($A267,O1_Community_Attributes!$A$1:$A$500,0))),""))</f>
        <v/>
      </c>
      <c r="P267" s="8" t="str">
        <f aca="false">IF($A267="","",IFERROR(IF(INDEX(O1_Community_Attributes!$Y$1:$Y$500,MATCH($A267,O1_Community_Attributes!$A$1:$A$500,0))="","",INDEX(O1_Community_Attributes!$Y$1:$Y$500,MATCH($A267,O1_Community_Attributes!$A$1:$A$500,0))),""))</f>
        <v/>
      </c>
      <c r="Q267" s="8" t="str">
        <f aca="false">IF($A267="","",IFERROR(IF(INDEX(O1_Community_Attributes!$Z$1:$Z$500,MATCH($A267,O1_Community_Attributes!$A$1:$A$500,0))="","",INDEX(O1_Community_Attributes!$Z$1:$Z$500,MATCH($A267,O1_Community_Attributes!$A$1:$A$500,0))),""))</f>
        <v/>
      </c>
      <c r="R267" s="8" t="str">
        <f aca="false">IF($A267="","",IFERROR(IF(INDEX(O1_Community_Attributes!$BK$1:$BK$500,MATCH($A267,O1_Community_Attributes!$A$1:$A$500,0))="","",INDEX(O1_Community_Attributes!$BK$1:$BK$500,MATCH($A267,O1_Community_Attributes!$A$1:$A$500,0))),""))</f>
        <v/>
      </c>
      <c r="S267" s="8" t="str">
        <f aca="false">IF(OR($C267="",$M267=""),"",$M267/$C267)</f>
        <v/>
      </c>
      <c r="T267" s="8" t="str">
        <f aca="false">IF($C267="","",IF(AND($M267="",$P267=""),"",IF($M267="","B",IF(ABS($S267-1)&lt;=0.3,"A",IF(OR($S267&gt;2,$S267&lt;0.5),"C","B")))))</f>
        <v/>
      </c>
    </row>
    <row r="268" customFormat="false" ht="15" hidden="false" customHeight="true" outlineLevel="0" collapsed="false">
      <c r="H268" s="8" t="str">
        <f aca="false">IF(C268="","",IF(C268&lt;1,"yes","no"))</f>
        <v/>
      </c>
      <c r="I268" s="8" t="str">
        <f aca="false">IF(C268="","",IF(C268&lt;2.6,"r75",IF(C268&lt;5.2,"r110",IF(C268&lt;9.9,"r150",IF(C268&lt;19.8,"r210","r300")))))</f>
        <v/>
      </c>
      <c r="M268" s="8" t="str">
        <f aca="false">IF($A268="","",IFERROR(IF(INDEX(O1_Community_Attributes!$V$1:$V$500,MATCH($A268,O1_Community_Attributes!$A$1:$A$500,0))="","",INDEX(O1_Community_Attributes!$V$1:$V$500,MATCH($A268,O1_Community_Attributes!$A$1:$A$500,0))),""))</f>
        <v/>
      </c>
      <c r="N268" s="8" t="str">
        <f aca="false">IF($A268="","",IFERROR(IF(INDEX(O1_Community_Attributes!$W$1:$W$500,MATCH($A268,O1_Community_Attributes!$A$1:$A$500,0))="","",INDEX(O1_Community_Attributes!$W$1:$W$500,MATCH($A268,O1_Community_Attributes!$A$1:$A$500,0))),""))</f>
        <v/>
      </c>
      <c r="O268" s="8" t="str">
        <f aca="false">IF($A268="","",IFERROR(IF(INDEX(O1_Community_Attributes!$X$1:$X$500,MATCH($A268,O1_Community_Attributes!$A$1:$A$500,0))="","",INDEX(O1_Community_Attributes!$X$1:$X$500,MATCH($A268,O1_Community_Attributes!$A$1:$A$500,0))),""))</f>
        <v/>
      </c>
      <c r="P268" s="8" t="str">
        <f aca="false">IF($A268="","",IFERROR(IF(INDEX(O1_Community_Attributes!$Y$1:$Y$500,MATCH($A268,O1_Community_Attributes!$A$1:$A$500,0))="","",INDEX(O1_Community_Attributes!$Y$1:$Y$500,MATCH($A268,O1_Community_Attributes!$A$1:$A$500,0))),""))</f>
        <v/>
      </c>
      <c r="Q268" s="8" t="str">
        <f aca="false">IF($A268="","",IFERROR(IF(INDEX(O1_Community_Attributes!$Z$1:$Z$500,MATCH($A268,O1_Community_Attributes!$A$1:$A$500,0))="","",INDEX(O1_Community_Attributes!$Z$1:$Z$500,MATCH($A268,O1_Community_Attributes!$A$1:$A$500,0))),""))</f>
        <v/>
      </c>
      <c r="R268" s="8" t="str">
        <f aca="false">IF($A268="","",IFERROR(IF(INDEX(O1_Community_Attributes!$BK$1:$BK$500,MATCH($A268,O1_Community_Attributes!$A$1:$A$500,0))="","",INDEX(O1_Community_Attributes!$BK$1:$BK$500,MATCH($A268,O1_Community_Attributes!$A$1:$A$500,0))),""))</f>
        <v/>
      </c>
      <c r="S268" s="8" t="str">
        <f aca="false">IF(OR($C268="",$M268=""),"",$M268/$C268)</f>
        <v/>
      </c>
      <c r="T268" s="8" t="str">
        <f aca="false">IF($C268="","",IF(AND($M268="",$P268=""),"",IF($M268="","B",IF(ABS($S268-1)&lt;=0.3,"A",IF(OR($S268&gt;2,$S268&lt;0.5),"C","B")))))</f>
        <v/>
      </c>
    </row>
    <row r="269" customFormat="false" ht="15" hidden="false" customHeight="true" outlineLevel="0" collapsed="false">
      <c r="H269" s="8" t="str">
        <f aca="false">IF(C269="","",IF(C269&lt;1,"yes","no"))</f>
        <v/>
      </c>
      <c r="I269" s="8" t="str">
        <f aca="false">IF(C269="","",IF(C269&lt;2.6,"r75",IF(C269&lt;5.2,"r110",IF(C269&lt;9.9,"r150",IF(C269&lt;19.8,"r210","r300")))))</f>
        <v/>
      </c>
      <c r="M269" s="8" t="str">
        <f aca="false">IF($A269="","",IFERROR(IF(INDEX(O1_Community_Attributes!$V$1:$V$500,MATCH($A269,O1_Community_Attributes!$A$1:$A$500,0))="","",INDEX(O1_Community_Attributes!$V$1:$V$500,MATCH($A269,O1_Community_Attributes!$A$1:$A$500,0))),""))</f>
        <v/>
      </c>
      <c r="N269" s="8" t="str">
        <f aca="false">IF($A269="","",IFERROR(IF(INDEX(O1_Community_Attributes!$W$1:$W$500,MATCH($A269,O1_Community_Attributes!$A$1:$A$500,0))="","",INDEX(O1_Community_Attributes!$W$1:$W$500,MATCH($A269,O1_Community_Attributes!$A$1:$A$500,0))),""))</f>
        <v/>
      </c>
      <c r="O269" s="8" t="str">
        <f aca="false">IF($A269="","",IFERROR(IF(INDEX(O1_Community_Attributes!$X$1:$X$500,MATCH($A269,O1_Community_Attributes!$A$1:$A$500,0))="","",INDEX(O1_Community_Attributes!$X$1:$X$500,MATCH($A269,O1_Community_Attributes!$A$1:$A$500,0))),""))</f>
        <v/>
      </c>
      <c r="P269" s="8" t="str">
        <f aca="false">IF($A269="","",IFERROR(IF(INDEX(O1_Community_Attributes!$Y$1:$Y$500,MATCH($A269,O1_Community_Attributes!$A$1:$A$500,0))="","",INDEX(O1_Community_Attributes!$Y$1:$Y$500,MATCH($A269,O1_Community_Attributes!$A$1:$A$500,0))),""))</f>
        <v/>
      </c>
      <c r="Q269" s="8" t="str">
        <f aca="false">IF($A269="","",IFERROR(IF(INDEX(O1_Community_Attributes!$Z$1:$Z$500,MATCH($A269,O1_Community_Attributes!$A$1:$A$500,0))="","",INDEX(O1_Community_Attributes!$Z$1:$Z$500,MATCH($A269,O1_Community_Attributes!$A$1:$A$500,0))),""))</f>
        <v/>
      </c>
      <c r="R269" s="8" t="str">
        <f aca="false">IF($A269="","",IFERROR(IF(INDEX(O1_Community_Attributes!$BK$1:$BK$500,MATCH($A269,O1_Community_Attributes!$A$1:$A$500,0))="","",INDEX(O1_Community_Attributes!$BK$1:$BK$500,MATCH($A269,O1_Community_Attributes!$A$1:$A$500,0))),""))</f>
        <v/>
      </c>
      <c r="S269" s="8" t="str">
        <f aca="false">IF(OR($C269="",$M269=""),"",$M269/$C269)</f>
        <v/>
      </c>
      <c r="T269" s="8" t="str">
        <f aca="false">IF($C269="","",IF(AND($M269="",$P269=""),"",IF($M269="","B",IF(ABS($S269-1)&lt;=0.3,"A",IF(OR($S269&gt;2,$S269&lt;0.5),"C","B")))))</f>
        <v/>
      </c>
    </row>
    <row r="270" customFormat="false" ht="15" hidden="false" customHeight="true" outlineLevel="0" collapsed="false">
      <c r="H270" s="8" t="str">
        <f aca="false">IF(C270="","",IF(C270&lt;1,"yes","no"))</f>
        <v/>
      </c>
      <c r="I270" s="8" t="str">
        <f aca="false">IF(C270="","",IF(C270&lt;2.6,"r75",IF(C270&lt;5.2,"r110",IF(C270&lt;9.9,"r150",IF(C270&lt;19.8,"r210","r300")))))</f>
        <v/>
      </c>
      <c r="M270" s="8" t="str">
        <f aca="false">IF($A270="","",IFERROR(IF(INDEX(O1_Community_Attributes!$V$1:$V$500,MATCH($A270,O1_Community_Attributes!$A$1:$A$500,0))="","",INDEX(O1_Community_Attributes!$V$1:$V$500,MATCH($A270,O1_Community_Attributes!$A$1:$A$500,0))),""))</f>
        <v/>
      </c>
      <c r="N270" s="8" t="str">
        <f aca="false">IF($A270="","",IFERROR(IF(INDEX(O1_Community_Attributes!$W$1:$W$500,MATCH($A270,O1_Community_Attributes!$A$1:$A$500,0))="","",INDEX(O1_Community_Attributes!$W$1:$W$500,MATCH($A270,O1_Community_Attributes!$A$1:$A$500,0))),""))</f>
        <v/>
      </c>
      <c r="O270" s="8" t="str">
        <f aca="false">IF($A270="","",IFERROR(IF(INDEX(O1_Community_Attributes!$X$1:$X$500,MATCH($A270,O1_Community_Attributes!$A$1:$A$500,0))="","",INDEX(O1_Community_Attributes!$X$1:$X$500,MATCH($A270,O1_Community_Attributes!$A$1:$A$500,0))),""))</f>
        <v/>
      </c>
      <c r="P270" s="8" t="str">
        <f aca="false">IF($A270="","",IFERROR(IF(INDEX(O1_Community_Attributes!$Y$1:$Y$500,MATCH($A270,O1_Community_Attributes!$A$1:$A$500,0))="","",INDEX(O1_Community_Attributes!$Y$1:$Y$500,MATCH($A270,O1_Community_Attributes!$A$1:$A$500,0))),""))</f>
        <v/>
      </c>
      <c r="Q270" s="8" t="str">
        <f aca="false">IF($A270="","",IFERROR(IF(INDEX(O1_Community_Attributes!$Z$1:$Z$500,MATCH($A270,O1_Community_Attributes!$A$1:$A$500,0))="","",INDEX(O1_Community_Attributes!$Z$1:$Z$500,MATCH($A270,O1_Community_Attributes!$A$1:$A$500,0))),""))</f>
        <v/>
      </c>
      <c r="R270" s="8" t="str">
        <f aca="false">IF($A270="","",IFERROR(IF(INDEX(O1_Community_Attributes!$BK$1:$BK$500,MATCH($A270,O1_Community_Attributes!$A$1:$A$500,0))="","",INDEX(O1_Community_Attributes!$BK$1:$BK$500,MATCH($A270,O1_Community_Attributes!$A$1:$A$500,0))),""))</f>
        <v/>
      </c>
      <c r="S270" s="8" t="str">
        <f aca="false">IF(OR($C270="",$M270=""),"",$M270/$C270)</f>
        <v/>
      </c>
      <c r="T270" s="8" t="str">
        <f aca="false">IF($C270="","",IF(AND($M270="",$P270=""),"",IF($M270="","B",IF(ABS($S270-1)&lt;=0.3,"A",IF(OR($S270&gt;2,$S270&lt;0.5),"C","B")))))</f>
        <v/>
      </c>
    </row>
    <row r="271" customFormat="false" ht="15" hidden="false" customHeight="true" outlineLevel="0" collapsed="false">
      <c r="H271" s="8" t="str">
        <f aca="false">IF(C271="","",IF(C271&lt;1,"yes","no"))</f>
        <v/>
      </c>
      <c r="I271" s="8" t="str">
        <f aca="false">IF(C271="","",IF(C271&lt;2.6,"r75",IF(C271&lt;5.2,"r110",IF(C271&lt;9.9,"r150",IF(C271&lt;19.8,"r210","r300")))))</f>
        <v/>
      </c>
      <c r="M271" s="8" t="str">
        <f aca="false">IF($A271="","",IFERROR(IF(INDEX(O1_Community_Attributes!$V$1:$V$500,MATCH($A271,O1_Community_Attributes!$A$1:$A$500,0))="","",INDEX(O1_Community_Attributes!$V$1:$V$500,MATCH($A271,O1_Community_Attributes!$A$1:$A$500,0))),""))</f>
        <v/>
      </c>
      <c r="N271" s="8" t="str">
        <f aca="false">IF($A271="","",IFERROR(IF(INDEX(O1_Community_Attributes!$W$1:$W$500,MATCH($A271,O1_Community_Attributes!$A$1:$A$500,0))="","",INDEX(O1_Community_Attributes!$W$1:$W$500,MATCH($A271,O1_Community_Attributes!$A$1:$A$500,0))),""))</f>
        <v/>
      </c>
      <c r="O271" s="8" t="str">
        <f aca="false">IF($A271="","",IFERROR(IF(INDEX(O1_Community_Attributes!$X$1:$X$500,MATCH($A271,O1_Community_Attributes!$A$1:$A$500,0))="","",INDEX(O1_Community_Attributes!$X$1:$X$500,MATCH($A271,O1_Community_Attributes!$A$1:$A$500,0))),""))</f>
        <v/>
      </c>
      <c r="P271" s="8" t="str">
        <f aca="false">IF($A271="","",IFERROR(IF(INDEX(O1_Community_Attributes!$Y$1:$Y$500,MATCH($A271,O1_Community_Attributes!$A$1:$A$500,0))="","",INDEX(O1_Community_Attributes!$Y$1:$Y$500,MATCH($A271,O1_Community_Attributes!$A$1:$A$500,0))),""))</f>
        <v/>
      </c>
      <c r="Q271" s="8" t="str">
        <f aca="false">IF($A271="","",IFERROR(IF(INDEX(O1_Community_Attributes!$Z$1:$Z$500,MATCH($A271,O1_Community_Attributes!$A$1:$A$500,0))="","",INDEX(O1_Community_Attributes!$Z$1:$Z$500,MATCH($A271,O1_Community_Attributes!$A$1:$A$500,0))),""))</f>
        <v/>
      </c>
      <c r="R271" s="8" t="str">
        <f aca="false">IF($A271="","",IFERROR(IF(INDEX(O1_Community_Attributes!$BK$1:$BK$500,MATCH($A271,O1_Community_Attributes!$A$1:$A$500,0))="","",INDEX(O1_Community_Attributes!$BK$1:$BK$500,MATCH($A271,O1_Community_Attributes!$A$1:$A$500,0))),""))</f>
        <v/>
      </c>
      <c r="S271" s="8" t="str">
        <f aca="false">IF(OR($C271="",$M271=""),"",$M271/$C271)</f>
        <v/>
      </c>
      <c r="T271" s="8" t="str">
        <f aca="false">IF($C271="","",IF(AND($M271="",$P271=""),"",IF($M271="","B",IF(ABS($S271-1)&lt;=0.3,"A",IF(OR($S271&gt;2,$S271&lt;0.5),"C","B")))))</f>
        <v/>
      </c>
    </row>
    <row r="272" customFormat="false" ht="15" hidden="false" customHeight="true" outlineLevel="0" collapsed="false">
      <c r="H272" s="8" t="str">
        <f aca="false">IF(C272="","",IF(C272&lt;1,"yes","no"))</f>
        <v/>
      </c>
      <c r="I272" s="8" t="str">
        <f aca="false">IF(C272="","",IF(C272&lt;2.6,"r75",IF(C272&lt;5.2,"r110",IF(C272&lt;9.9,"r150",IF(C272&lt;19.8,"r210","r300")))))</f>
        <v/>
      </c>
      <c r="M272" s="8" t="str">
        <f aca="false">IF($A272="","",IFERROR(IF(INDEX(O1_Community_Attributes!$V$1:$V$500,MATCH($A272,O1_Community_Attributes!$A$1:$A$500,0))="","",INDEX(O1_Community_Attributes!$V$1:$V$500,MATCH($A272,O1_Community_Attributes!$A$1:$A$500,0))),""))</f>
        <v/>
      </c>
      <c r="N272" s="8" t="str">
        <f aca="false">IF($A272="","",IFERROR(IF(INDEX(O1_Community_Attributes!$W$1:$W$500,MATCH($A272,O1_Community_Attributes!$A$1:$A$500,0))="","",INDEX(O1_Community_Attributes!$W$1:$W$500,MATCH($A272,O1_Community_Attributes!$A$1:$A$500,0))),""))</f>
        <v/>
      </c>
      <c r="O272" s="8" t="str">
        <f aca="false">IF($A272="","",IFERROR(IF(INDEX(O1_Community_Attributes!$X$1:$X$500,MATCH($A272,O1_Community_Attributes!$A$1:$A$500,0))="","",INDEX(O1_Community_Attributes!$X$1:$X$500,MATCH($A272,O1_Community_Attributes!$A$1:$A$500,0))),""))</f>
        <v/>
      </c>
      <c r="P272" s="8" t="str">
        <f aca="false">IF($A272="","",IFERROR(IF(INDEX(O1_Community_Attributes!$Y$1:$Y$500,MATCH($A272,O1_Community_Attributes!$A$1:$A$500,0))="","",INDEX(O1_Community_Attributes!$Y$1:$Y$500,MATCH($A272,O1_Community_Attributes!$A$1:$A$500,0))),""))</f>
        <v/>
      </c>
      <c r="Q272" s="8" t="str">
        <f aca="false">IF($A272="","",IFERROR(IF(INDEX(O1_Community_Attributes!$Z$1:$Z$500,MATCH($A272,O1_Community_Attributes!$A$1:$A$500,0))="","",INDEX(O1_Community_Attributes!$Z$1:$Z$500,MATCH($A272,O1_Community_Attributes!$A$1:$A$500,0))),""))</f>
        <v/>
      </c>
      <c r="R272" s="8" t="str">
        <f aca="false">IF($A272="","",IFERROR(IF(INDEX(O1_Community_Attributes!$BK$1:$BK$500,MATCH($A272,O1_Community_Attributes!$A$1:$A$500,0))="","",INDEX(O1_Community_Attributes!$BK$1:$BK$500,MATCH($A272,O1_Community_Attributes!$A$1:$A$500,0))),""))</f>
        <v/>
      </c>
      <c r="S272" s="8" t="str">
        <f aca="false">IF(OR($C272="",$M272=""),"",$M272/$C272)</f>
        <v/>
      </c>
      <c r="T272" s="8" t="str">
        <f aca="false">IF($C272="","",IF(AND($M272="",$P272=""),"",IF($M272="","B",IF(ABS($S272-1)&lt;=0.3,"A",IF(OR($S272&gt;2,$S272&lt;0.5),"C","B")))))</f>
        <v/>
      </c>
    </row>
    <row r="273" customFormat="false" ht="15" hidden="false" customHeight="true" outlineLevel="0" collapsed="false">
      <c r="H273" s="8" t="str">
        <f aca="false">IF(C273="","",IF(C273&lt;1,"yes","no"))</f>
        <v/>
      </c>
      <c r="I273" s="8" t="str">
        <f aca="false">IF(C273="","",IF(C273&lt;2.6,"r75",IF(C273&lt;5.2,"r110",IF(C273&lt;9.9,"r150",IF(C273&lt;19.8,"r210","r300")))))</f>
        <v/>
      </c>
      <c r="M273" s="8" t="str">
        <f aca="false">IF($A273="","",IFERROR(IF(INDEX(O1_Community_Attributes!$V$1:$V$500,MATCH($A273,O1_Community_Attributes!$A$1:$A$500,0))="","",INDEX(O1_Community_Attributes!$V$1:$V$500,MATCH($A273,O1_Community_Attributes!$A$1:$A$500,0))),""))</f>
        <v/>
      </c>
      <c r="N273" s="8" t="str">
        <f aca="false">IF($A273="","",IFERROR(IF(INDEX(O1_Community_Attributes!$W$1:$W$500,MATCH($A273,O1_Community_Attributes!$A$1:$A$500,0))="","",INDEX(O1_Community_Attributes!$W$1:$W$500,MATCH($A273,O1_Community_Attributes!$A$1:$A$500,0))),""))</f>
        <v/>
      </c>
      <c r="O273" s="8" t="str">
        <f aca="false">IF($A273="","",IFERROR(IF(INDEX(O1_Community_Attributes!$X$1:$X$500,MATCH($A273,O1_Community_Attributes!$A$1:$A$500,0))="","",INDEX(O1_Community_Attributes!$X$1:$X$500,MATCH($A273,O1_Community_Attributes!$A$1:$A$500,0))),""))</f>
        <v/>
      </c>
      <c r="P273" s="8" t="str">
        <f aca="false">IF($A273="","",IFERROR(IF(INDEX(O1_Community_Attributes!$Y$1:$Y$500,MATCH($A273,O1_Community_Attributes!$A$1:$A$500,0))="","",INDEX(O1_Community_Attributes!$Y$1:$Y$500,MATCH($A273,O1_Community_Attributes!$A$1:$A$500,0))),""))</f>
        <v/>
      </c>
      <c r="Q273" s="8" t="str">
        <f aca="false">IF($A273="","",IFERROR(IF(INDEX(O1_Community_Attributes!$Z$1:$Z$500,MATCH($A273,O1_Community_Attributes!$A$1:$A$500,0))="","",INDEX(O1_Community_Attributes!$Z$1:$Z$500,MATCH($A273,O1_Community_Attributes!$A$1:$A$500,0))),""))</f>
        <v/>
      </c>
      <c r="R273" s="8" t="str">
        <f aca="false">IF($A273="","",IFERROR(IF(INDEX(O1_Community_Attributes!$BK$1:$BK$500,MATCH($A273,O1_Community_Attributes!$A$1:$A$500,0))="","",INDEX(O1_Community_Attributes!$BK$1:$BK$500,MATCH($A273,O1_Community_Attributes!$A$1:$A$500,0))),""))</f>
        <v/>
      </c>
      <c r="S273" s="8" t="str">
        <f aca="false">IF(OR($C273="",$M273=""),"",$M273/$C273)</f>
        <v/>
      </c>
      <c r="T273" s="8" t="str">
        <f aca="false">IF($C273="","",IF(AND($M273="",$P273=""),"",IF($M273="","B",IF(ABS($S273-1)&lt;=0.3,"A",IF(OR($S273&gt;2,$S273&lt;0.5),"C","B")))))</f>
        <v/>
      </c>
    </row>
    <row r="274" customFormat="false" ht="15" hidden="false" customHeight="true" outlineLevel="0" collapsed="false">
      <c r="H274" s="8" t="str">
        <f aca="false">IF(C274="","",IF(C274&lt;1,"yes","no"))</f>
        <v/>
      </c>
      <c r="I274" s="8" t="str">
        <f aca="false">IF(C274="","",IF(C274&lt;2.6,"r75",IF(C274&lt;5.2,"r110",IF(C274&lt;9.9,"r150",IF(C274&lt;19.8,"r210","r300")))))</f>
        <v/>
      </c>
      <c r="M274" s="8" t="str">
        <f aca="false">IF($A274="","",IFERROR(IF(INDEX(O1_Community_Attributes!$V$1:$V$500,MATCH($A274,O1_Community_Attributes!$A$1:$A$500,0))="","",INDEX(O1_Community_Attributes!$V$1:$V$500,MATCH($A274,O1_Community_Attributes!$A$1:$A$500,0))),""))</f>
        <v/>
      </c>
      <c r="N274" s="8" t="str">
        <f aca="false">IF($A274="","",IFERROR(IF(INDEX(O1_Community_Attributes!$W$1:$W$500,MATCH($A274,O1_Community_Attributes!$A$1:$A$500,0))="","",INDEX(O1_Community_Attributes!$W$1:$W$500,MATCH($A274,O1_Community_Attributes!$A$1:$A$500,0))),""))</f>
        <v/>
      </c>
      <c r="O274" s="8" t="str">
        <f aca="false">IF($A274="","",IFERROR(IF(INDEX(O1_Community_Attributes!$X$1:$X$500,MATCH($A274,O1_Community_Attributes!$A$1:$A$500,0))="","",INDEX(O1_Community_Attributes!$X$1:$X$500,MATCH($A274,O1_Community_Attributes!$A$1:$A$500,0))),""))</f>
        <v/>
      </c>
      <c r="P274" s="8" t="str">
        <f aca="false">IF($A274="","",IFERROR(IF(INDEX(O1_Community_Attributes!$Y$1:$Y$500,MATCH($A274,O1_Community_Attributes!$A$1:$A$500,0))="","",INDEX(O1_Community_Attributes!$Y$1:$Y$500,MATCH($A274,O1_Community_Attributes!$A$1:$A$500,0))),""))</f>
        <v/>
      </c>
      <c r="Q274" s="8" t="str">
        <f aca="false">IF($A274="","",IFERROR(IF(INDEX(O1_Community_Attributes!$Z$1:$Z$500,MATCH($A274,O1_Community_Attributes!$A$1:$A$500,0))="","",INDEX(O1_Community_Attributes!$Z$1:$Z$500,MATCH($A274,O1_Community_Attributes!$A$1:$A$500,0))),""))</f>
        <v/>
      </c>
      <c r="R274" s="8" t="str">
        <f aca="false">IF($A274="","",IFERROR(IF(INDEX(O1_Community_Attributes!$BK$1:$BK$500,MATCH($A274,O1_Community_Attributes!$A$1:$A$500,0))="","",INDEX(O1_Community_Attributes!$BK$1:$BK$500,MATCH($A274,O1_Community_Attributes!$A$1:$A$500,0))),""))</f>
        <v/>
      </c>
      <c r="S274" s="8" t="str">
        <f aca="false">IF(OR($C274="",$M274=""),"",$M274/$C274)</f>
        <v/>
      </c>
      <c r="T274" s="8" t="str">
        <f aca="false">IF($C274="","",IF(AND($M274="",$P274=""),"",IF($M274="","B",IF(ABS($S274-1)&lt;=0.3,"A",IF(OR($S274&gt;2,$S274&lt;0.5),"C","B")))))</f>
        <v/>
      </c>
    </row>
    <row r="275" customFormat="false" ht="15" hidden="false" customHeight="true" outlineLevel="0" collapsed="false">
      <c r="H275" s="8" t="str">
        <f aca="false">IF(C275="","",IF(C275&lt;1,"yes","no"))</f>
        <v/>
      </c>
      <c r="I275" s="8" t="str">
        <f aca="false">IF(C275="","",IF(C275&lt;2.6,"r75",IF(C275&lt;5.2,"r110",IF(C275&lt;9.9,"r150",IF(C275&lt;19.8,"r210","r300")))))</f>
        <v/>
      </c>
      <c r="M275" s="8" t="str">
        <f aca="false">IF($A275="","",IFERROR(IF(INDEX(O1_Community_Attributes!$V$1:$V$500,MATCH($A275,O1_Community_Attributes!$A$1:$A$500,0))="","",INDEX(O1_Community_Attributes!$V$1:$V$500,MATCH($A275,O1_Community_Attributes!$A$1:$A$500,0))),""))</f>
        <v/>
      </c>
      <c r="N275" s="8" t="str">
        <f aca="false">IF($A275="","",IFERROR(IF(INDEX(O1_Community_Attributes!$W$1:$W$500,MATCH($A275,O1_Community_Attributes!$A$1:$A$500,0))="","",INDEX(O1_Community_Attributes!$W$1:$W$500,MATCH($A275,O1_Community_Attributes!$A$1:$A$500,0))),""))</f>
        <v/>
      </c>
      <c r="O275" s="8" t="str">
        <f aca="false">IF($A275="","",IFERROR(IF(INDEX(O1_Community_Attributes!$X$1:$X$500,MATCH($A275,O1_Community_Attributes!$A$1:$A$500,0))="","",INDEX(O1_Community_Attributes!$X$1:$X$500,MATCH($A275,O1_Community_Attributes!$A$1:$A$500,0))),""))</f>
        <v/>
      </c>
      <c r="P275" s="8" t="str">
        <f aca="false">IF($A275="","",IFERROR(IF(INDEX(O1_Community_Attributes!$Y$1:$Y$500,MATCH($A275,O1_Community_Attributes!$A$1:$A$500,0))="","",INDEX(O1_Community_Attributes!$Y$1:$Y$500,MATCH($A275,O1_Community_Attributes!$A$1:$A$500,0))),""))</f>
        <v/>
      </c>
      <c r="Q275" s="8" t="str">
        <f aca="false">IF($A275="","",IFERROR(IF(INDEX(O1_Community_Attributes!$Z$1:$Z$500,MATCH($A275,O1_Community_Attributes!$A$1:$A$500,0))="","",INDEX(O1_Community_Attributes!$Z$1:$Z$500,MATCH($A275,O1_Community_Attributes!$A$1:$A$500,0))),""))</f>
        <v/>
      </c>
      <c r="R275" s="8" t="str">
        <f aca="false">IF($A275="","",IFERROR(IF(INDEX(O1_Community_Attributes!$BK$1:$BK$500,MATCH($A275,O1_Community_Attributes!$A$1:$A$500,0))="","",INDEX(O1_Community_Attributes!$BK$1:$BK$500,MATCH($A275,O1_Community_Attributes!$A$1:$A$500,0))),""))</f>
        <v/>
      </c>
      <c r="S275" s="8" t="str">
        <f aca="false">IF(OR($C275="",$M275=""),"",$M275/$C275)</f>
        <v/>
      </c>
      <c r="T275" s="8" t="str">
        <f aca="false">IF($C275="","",IF(AND($M275="",$P275=""),"",IF($M275="","B",IF(ABS($S275-1)&lt;=0.3,"A",IF(OR($S275&gt;2,$S275&lt;0.5),"C","B")))))</f>
        <v/>
      </c>
    </row>
    <row r="276" customFormat="false" ht="15" hidden="false" customHeight="true" outlineLevel="0" collapsed="false">
      <c r="H276" s="8" t="str">
        <f aca="false">IF(C276="","",IF(C276&lt;1,"yes","no"))</f>
        <v/>
      </c>
      <c r="I276" s="8" t="str">
        <f aca="false">IF(C276="","",IF(C276&lt;2.6,"r75",IF(C276&lt;5.2,"r110",IF(C276&lt;9.9,"r150",IF(C276&lt;19.8,"r210","r300")))))</f>
        <v/>
      </c>
      <c r="M276" s="8" t="str">
        <f aca="false">IF($A276="","",IFERROR(IF(INDEX(O1_Community_Attributes!$V$1:$V$500,MATCH($A276,O1_Community_Attributes!$A$1:$A$500,0))="","",INDEX(O1_Community_Attributes!$V$1:$V$500,MATCH($A276,O1_Community_Attributes!$A$1:$A$500,0))),""))</f>
        <v/>
      </c>
      <c r="N276" s="8" t="str">
        <f aca="false">IF($A276="","",IFERROR(IF(INDEX(O1_Community_Attributes!$W$1:$W$500,MATCH($A276,O1_Community_Attributes!$A$1:$A$500,0))="","",INDEX(O1_Community_Attributes!$W$1:$W$500,MATCH($A276,O1_Community_Attributes!$A$1:$A$500,0))),""))</f>
        <v/>
      </c>
      <c r="O276" s="8" t="str">
        <f aca="false">IF($A276="","",IFERROR(IF(INDEX(O1_Community_Attributes!$X$1:$X$500,MATCH($A276,O1_Community_Attributes!$A$1:$A$500,0))="","",INDEX(O1_Community_Attributes!$X$1:$X$500,MATCH($A276,O1_Community_Attributes!$A$1:$A$500,0))),""))</f>
        <v/>
      </c>
      <c r="P276" s="8" t="str">
        <f aca="false">IF($A276="","",IFERROR(IF(INDEX(O1_Community_Attributes!$Y$1:$Y$500,MATCH($A276,O1_Community_Attributes!$A$1:$A$500,0))="","",INDEX(O1_Community_Attributes!$Y$1:$Y$500,MATCH($A276,O1_Community_Attributes!$A$1:$A$500,0))),""))</f>
        <v/>
      </c>
      <c r="Q276" s="8" t="str">
        <f aca="false">IF($A276="","",IFERROR(IF(INDEX(O1_Community_Attributes!$Z$1:$Z$500,MATCH($A276,O1_Community_Attributes!$A$1:$A$500,0))="","",INDEX(O1_Community_Attributes!$Z$1:$Z$500,MATCH($A276,O1_Community_Attributes!$A$1:$A$500,0))),""))</f>
        <v/>
      </c>
      <c r="R276" s="8" t="str">
        <f aca="false">IF($A276="","",IFERROR(IF(INDEX(O1_Community_Attributes!$BK$1:$BK$500,MATCH($A276,O1_Community_Attributes!$A$1:$A$500,0))="","",INDEX(O1_Community_Attributes!$BK$1:$BK$500,MATCH($A276,O1_Community_Attributes!$A$1:$A$500,0))),""))</f>
        <v/>
      </c>
      <c r="S276" s="8" t="str">
        <f aca="false">IF(OR($C276="",$M276=""),"",$M276/$C276)</f>
        <v/>
      </c>
      <c r="T276" s="8" t="str">
        <f aca="false">IF($C276="","",IF(AND($M276="",$P276=""),"",IF($M276="","B",IF(ABS($S276-1)&lt;=0.3,"A",IF(OR($S276&gt;2,$S276&lt;0.5),"C","B")))))</f>
        <v/>
      </c>
    </row>
    <row r="277" customFormat="false" ht="15" hidden="false" customHeight="true" outlineLevel="0" collapsed="false">
      <c r="H277" s="8" t="str">
        <f aca="false">IF(C277="","",IF(C277&lt;1,"yes","no"))</f>
        <v/>
      </c>
      <c r="I277" s="8" t="str">
        <f aca="false">IF(C277="","",IF(C277&lt;2.6,"r75",IF(C277&lt;5.2,"r110",IF(C277&lt;9.9,"r150",IF(C277&lt;19.8,"r210","r300")))))</f>
        <v/>
      </c>
      <c r="M277" s="8" t="str">
        <f aca="false">IF($A277="","",IFERROR(IF(INDEX(O1_Community_Attributes!$V$1:$V$500,MATCH($A277,O1_Community_Attributes!$A$1:$A$500,0))="","",INDEX(O1_Community_Attributes!$V$1:$V$500,MATCH($A277,O1_Community_Attributes!$A$1:$A$500,0))),""))</f>
        <v/>
      </c>
      <c r="N277" s="8" t="str">
        <f aca="false">IF($A277="","",IFERROR(IF(INDEX(O1_Community_Attributes!$W$1:$W$500,MATCH($A277,O1_Community_Attributes!$A$1:$A$500,0))="","",INDEX(O1_Community_Attributes!$W$1:$W$500,MATCH($A277,O1_Community_Attributes!$A$1:$A$500,0))),""))</f>
        <v/>
      </c>
      <c r="O277" s="8" t="str">
        <f aca="false">IF($A277="","",IFERROR(IF(INDEX(O1_Community_Attributes!$X$1:$X$500,MATCH($A277,O1_Community_Attributes!$A$1:$A$500,0))="","",INDEX(O1_Community_Attributes!$X$1:$X$500,MATCH($A277,O1_Community_Attributes!$A$1:$A$500,0))),""))</f>
        <v/>
      </c>
      <c r="P277" s="8" t="str">
        <f aca="false">IF($A277="","",IFERROR(IF(INDEX(O1_Community_Attributes!$Y$1:$Y$500,MATCH($A277,O1_Community_Attributes!$A$1:$A$500,0))="","",INDEX(O1_Community_Attributes!$Y$1:$Y$500,MATCH($A277,O1_Community_Attributes!$A$1:$A$500,0))),""))</f>
        <v/>
      </c>
      <c r="Q277" s="8" t="str">
        <f aca="false">IF($A277="","",IFERROR(IF(INDEX(O1_Community_Attributes!$Z$1:$Z$500,MATCH($A277,O1_Community_Attributes!$A$1:$A$500,0))="","",INDEX(O1_Community_Attributes!$Z$1:$Z$500,MATCH($A277,O1_Community_Attributes!$A$1:$A$500,0))),""))</f>
        <v/>
      </c>
      <c r="R277" s="8" t="str">
        <f aca="false">IF($A277="","",IFERROR(IF(INDEX(O1_Community_Attributes!$BK$1:$BK$500,MATCH($A277,O1_Community_Attributes!$A$1:$A$500,0))="","",INDEX(O1_Community_Attributes!$BK$1:$BK$500,MATCH($A277,O1_Community_Attributes!$A$1:$A$500,0))),""))</f>
        <v/>
      </c>
      <c r="S277" s="8" t="str">
        <f aca="false">IF(OR($C277="",$M277=""),"",$M277/$C277)</f>
        <v/>
      </c>
      <c r="T277" s="8" t="str">
        <f aca="false">IF($C277="","",IF(AND($M277="",$P277=""),"",IF($M277="","B",IF(ABS($S277-1)&lt;=0.3,"A",IF(OR($S277&gt;2,$S277&lt;0.5),"C","B")))))</f>
        <v/>
      </c>
    </row>
    <row r="278" customFormat="false" ht="15" hidden="false" customHeight="true" outlineLevel="0" collapsed="false">
      <c r="H278" s="8" t="str">
        <f aca="false">IF(C278="","",IF(C278&lt;1,"yes","no"))</f>
        <v/>
      </c>
      <c r="I278" s="8" t="str">
        <f aca="false">IF(C278="","",IF(C278&lt;2.6,"r75",IF(C278&lt;5.2,"r110",IF(C278&lt;9.9,"r150",IF(C278&lt;19.8,"r210","r300")))))</f>
        <v/>
      </c>
      <c r="M278" s="8" t="str">
        <f aca="false">IF($A278="","",IFERROR(IF(INDEX(O1_Community_Attributes!$V$1:$V$500,MATCH($A278,O1_Community_Attributes!$A$1:$A$500,0))="","",INDEX(O1_Community_Attributes!$V$1:$V$500,MATCH($A278,O1_Community_Attributes!$A$1:$A$500,0))),""))</f>
        <v/>
      </c>
      <c r="N278" s="8" t="str">
        <f aca="false">IF($A278="","",IFERROR(IF(INDEX(O1_Community_Attributes!$W$1:$W$500,MATCH($A278,O1_Community_Attributes!$A$1:$A$500,0))="","",INDEX(O1_Community_Attributes!$W$1:$W$500,MATCH($A278,O1_Community_Attributes!$A$1:$A$500,0))),""))</f>
        <v/>
      </c>
      <c r="O278" s="8" t="str">
        <f aca="false">IF($A278="","",IFERROR(IF(INDEX(O1_Community_Attributes!$X$1:$X$500,MATCH($A278,O1_Community_Attributes!$A$1:$A$500,0))="","",INDEX(O1_Community_Attributes!$X$1:$X$500,MATCH($A278,O1_Community_Attributes!$A$1:$A$500,0))),""))</f>
        <v/>
      </c>
      <c r="P278" s="8" t="str">
        <f aca="false">IF($A278="","",IFERROR(IF(INDEX(O1_Community_Attributes!$Y$1:$Y$500,MATCH($A278,O1_Community_Attributes!$A$1:$A$500,0))="","",INDEX(O1_Community_Attributes!$Y$1:$Y$500,MATCH($A278,O1_Community_Attributes!$A$1:$A$500,0))),""))</f>
        <v/>
      </c>
      <c r="Q278" s="8" t="str">
        <f aca="false">IF($A278="","",IFERROR(IF(INDEX(O1_Community_Attributes!$Z$1:$Z$500,MATCH($A278,O1_Community_Attributes!$A$1:$A$500,0))="","",INDEX(O1_Community_Attributes!$Z$1:$Z$500,MATCH($A278,O1_Community_Attributes!$A$1:$A$500,0))),""))</f>
        <v/>
      </c>
      <c r="R278" s="8" t="str">
        <f aca="false">IF($A278="","",IFERROR(IF(INDEX(O1_Community_Attributes!$BK$1:$BK$500,MATCH($A278,O1_Community_Attributes!$A$1:$A$500,0))="","",INDEX(O1_Community_Attributes!$BK$1:$BK$500,MATCH($A278,O1_Community_Attributes!$A$1:$A$500,0))),""))</f>
        <v/>
      </c>
      <c r="S278" s="8" t="str">
        <f aca="false">IF(OR($C278="",$M278=""),"",$M278/$C278)</f>
        <v/>
      </c>
      <c r="T278" s="8" t="str">
        <f aca="false">IF($C278="","",IF(AND($M278="",$P278=""),"",IF($M278="","B",IF(ABS($S278-1)&lt;=0.3,"A",IF(OR($S278&gt;2,$S278&lt;0.5),"C","B")))))</f>
        <v/>
      </c>
    </row>
    <row r="279" customFormat="false" ht="15" hidden="false" customHeight="true" outlineLevel="0" collapsed="false">
      <c r="H279" s="8" t="str">
        <f aca="false">IF(C279="","",IF(C279&lt;1,"yes","no"))</f>
        <v/>
      </c>
      <c r="I279" s="8" t="str">
        <f aca="false">IF(C279="","",IF(C279&lt;2.6,"r75",IF(C279&lt;5.2,"r110",IF(C279&lt;9.9,"r150",IF(C279&lt;19.8,"r210","r300")))))</f>
        <v/>
      </c>
      <c r="M279" s="8" t="str">
        <f aca="false">IF($A279="","",IFERROR(IF(INDEX(O1_Community_Attributes!$V$1:$V$500,MATCH($A279,O1_Community_Attributes!$A$1:$A$500,0))="","",INDEX(O1_Community_Attributes!$V$1:$V$500,MATCH($A279,O1_Community_Attributes!$A$1:$A$500,0))),""))</f>
        <v/>
      </c>
      <c r="N279" s="8" t="str">
        <f aca="false">IF($A279="","",IFERROR(IF(INDEX(O1_Community_Attributes!$W$1:$W$500,MATCH($A279,O1_Community_Attributes!$A$1:$A$500,0))="","",INDEX(O1_Community_Attributes!$W$1:$W$500,MATCH($A279,O1_Community_Attributes!$A$1:$A$500,0))),""))</f>
        <v/>
      </c>
      <c r="O279" s="8" t="str">
        <f aca="false">IF($A279="","",IFERROR(IF(INDEX(O1_Community_Attributes!$X$1:$X$500,MATCH($A279,O1_Community_Attributes!$A$1:$A$500,0))="","",INDEX(O1_Community_Attributes!$X$1:$X$500,MATCH($A279,O1_Community_Attributes!$A$1:$A$500,0))),""))</f>
        <v/>
      </c>
      <c r="P279" s="8" t="str">
        <f aca="false">IF($A279="","",IFERROR(IF(INDEX(O1_Community_Attributes!$Y$1:$Y$500,MATCH($A279,O1_Community_Attributes!$A$1:$A$500,0))="","",INDEX(O1_Community_Attributes!$Y$1:$Y$500,MATCH($A279,O1_Community_Attributes!$A$1:$A$500,0))),""))</f>
        <v/>
      </c>
      <c r="Q279" s="8" t="str">
        <f aca="false">IF($A279="","",IFERROR(IF(INDEX(O1_Community_Attributes!$Z$1:$Z$500,MATCH($A279,O1_Community_Attributes!$A$1:$A$500,0))="","",INDEX(O1_Community_Attributes!$Z$1:$Z$500,MATCH($A279,O1_Community_Attributes!$A$1:$A$500,0))),""))</f>
        <v/>
      </c>
      <c r="R279" s="8" t="str">
        <f aca="false">IF($A279="","",IFERROR(IF(INDEX(O1_Community_Attributes!$BK$1:$BK$500,MATCH($A279,O1_Community_Attributes!$A$1:$A$500,0))="","",INDEX(O1_Community_Attributes!$BK$1:$BK$500,MATCH($A279,O1_Community_Attributes!$A$1:$A$500,0))),""))</f>
        <v/>
      </c>
      <c r="S279" s="8" t="str">
        <f aca="false">IF(OR($C279="",$M279=""),"",$M279/$C279)</f>
        <v/>
      </c>
      <c r="T279" s="8" t="str">
        <f aca="false">IF($C279="","",IF(AND($M279="",$P279=""),"",IF($M279="","B",IF(ABS($S279-1)&lt;=0.3,"A",IF(OR($S279&gt;2,$S279&lt;0.5),"C","B")))))</f>
        <v/>
      </c>
    </row>
    <row r="280" customFormat="false" ht="15" hidden="false" customHeight="true" outlineLevel="0" collapsed="false">
      <c r="H280" s="8" t="str">
        <f aca="false">IF(C280="","",IF(C280&lt;1,"yes","no"))</f>
        <v/>
      </c>
      <c r="I280" s="8" t="str">
        <f aca="false">IF(C280="","",IF(C280&lt;2.6,"r75",IF(C280&lt;5.2,"r110",IF(C280&lt;9.9,"r150",IF(C280&lt;19.8,"r210","r300")))))</f>
        <v/>
      </c>
      <c r="M280" s="8" t="str">
        <f aca="false">IF($A280="","",IFERROR(IF(INDEX(O1_Community_Attributes!$V$1:$V$500,MATCH($A280,O1_Community_Attributes!$A$1:$A$500,0))="","",INDEX(O1_Community_Attributes!$V$1:$V$500,MATCH($A280,O1_Community_Attributes!$A$1:$A$500,0))),""))</f>
        <v/>
      </c>
      <c r="N280" s="8" t="str">
        <f aca="false">IF($A280="","",IFERROR(IF(INDEX(O1_Community_Attributes!$W$1:$W$500,MATCH($A280,O1_Community_Attributes!$A$1:$A$500,0))="","",INDEX(O1_Community_Attributes!$W$1:$W$500,MATCH($A280,O1_Community_Attributes!$A$1:$A$500,0))),""))</f>
        <v/>
      </c>
      <c r="O280" s="8" t="str">
        <f aca="false">IF($A280="","",IFERROR(IF(INDEX(O1_Community_Attributes!$X$1:$X$500,MATCH($A280,O1_Community_Attributes!$A$1:$A$500,0))="","",INDEX(O1_Community_Attributes!$X$1:$X$500,MATCH($A280,O1_Community_Attributes!$A$1:$A$500,0))),""))</f>
        <v/>
      </c>
      <c r="P280" s="8" t="str">
        <f aca="false">IF($A280="","",IFERROR(IF(INDEX(O1_Community_Attributes!$Y$1:$Y$500,MATCH($A280,O1_Community_Attributes!$A$1:$A$500,0))="","",INDEX(O1_Community_Attributes!$Y$1:$Y$500,MATCH($A280,O1_Community_Attributes!$A$1:$A$500,0))),""))</f>
        <v/>
      </c>
      <c r="Q280" s="8" t="str">
        <f aca="false">IF($A280="","",IFERROR(IF(INDEX(O1_Community_Attributes!$Z$1:$Z$500,MATCH($A280,O1_Community_Attributes!$A$1:$A$500,0))="","",INDEX(O1_Community_Attributes!$Z$1:$Z$500,MATCH($A280,O1_Community_Attributes!$A$1:$A$500,0))),""))</f>
        <v/>
      </c>
      <c r="R280" s="8" t="str">
        <f aca="false">IF($A280="","",IFERROR(IF(INDEX(O1_Community_Attributes!$BK$1:$BK$500,MATCH($A280,O1_Community_Attributes!$A$1:$A$500,0))="","",INDEX(O1_Community_Attributes!$BK$1:$BK$500,MATCH($A280,O1_Community_Attributes!$A$1:$A$500,0))),""))</f>
        <v/>
      </c>
      <c r="S280" s="8" t="str">
        <f aca="false">IF(OR($C280="",$M280=""),"",$M280/$C280)</f>
        <v/>
      </c>
      <c r="T280" s="8" t="str">
        <f aca="false">IF($C280="","",IF(AND($M280="",$P280=""),"",IF($M280="","B",IF(ABS($S280-1)&lt;=0.3,"A",IF(OR($S280&gt;2,$S280&lt;0.5),"C","B")))))</f>
        <v/>
      </c>
    </row>
    <row r="281" customFormat="false" ht="15" hidden="false" customHeight="true" outlineLevel="0" collapsed="false">
      <c r="H281" s="8" t="str">
        <f aca="false">IF(C281="","",IF(C281&lt;1,"yes","no"))</f>
        <v/>
      </c>
      <c r="I281" s="8" t="str">
        <f aca="false">IF(C281="","",IF(C281&lt;2.6,"r75",IF(C281&lt;5.2,"r110",IF(C281&lt;9.9,"r150",IF(C281&lt;19.8,"r210","r300")))))</f>
        <v/>
      </c>
      <c r="M281" s="8" t="str">
        <f aca="false">IF($A281="","",IFERROR(IF(INDEX(O1_Community_Attributes!$V$1:$V$500,MATCH($A281,O1_Community_Attributes!$A$1:$A$500,0))="","",INDEX(O1_Community_Attributes!$V$1:$V$500,MATCH($A281,O1_Community_Attributes!$A$1:$A$500,0))),""))</f>
        <v/>
      </c>
      <c r="N281" s="8" t="str">
        <f aca="false">IF($A281="","",IFERROR(IF(INDEX(O1_Community_Attributes!$W$1:$W$500,MATCH($A281,O1_Community_Attributes!$A$1:$A$500,0))="","",INDEX(O1_Community_Attributes!$W$1:$W$500,MATCH($A281,O1_Community_Attributes!$A$1:$A$500,0))),""))</f>
        <v/>
      </c>
      <c r="O281" s="8" t="str">
        <f aca="false">IF($A281="","",IFERROR(IF(INDEX(O1_Community_Attributes!$X$1:$X$500,MATCH($A281,O1_Community_Attributes!$A$1:$A$500,0))="","",INDEX(O1_Community_Attributes!$X$1:$X$500,MATCH($A281,O1_Community_Attributes!$A$1:$A$500,0))),""))</f>
        <v/>
      </c>
      <c r="P281" s="8" t="str">
        <f aca="false">IF($A281="","",IFERROR(IF(INDEX(O1_Community_Attributes!$Y$1:$Y$500,MATCH($A281,O1_Community_Attributes!$A$1:$A$500,0))="","",INDEX(O1_Community_Attributes!$Y$1:$Y$500,MATCH($A281,O1_Community_Attributes!$A$1:$A$500,0))),""))</f>
        <v/>
      </c>
      <c r="Q281" s="8" t="str">
        <f aca="false">IF($A281="","",IFERROR(IF(INDEX(O1_Community_Attributes!$Z$1:$Z$500,MATCH($A281,O1_Community_Attributes!$A$1:$A$500,0))="","",INDEX(O1_Community_Attributes!$Z$1:$Z$500,MATCH($A281,O1_Community_Attributes!$A$1:$A$500,0))),""))</f>
        <v/>
      </c>
      <c r="R281" s="8" t="str">
        <f aca="false">IF($A281="","",IFERROR(IF(INDEX(O1_Community_Attributes!$BK$1:$BK$500,MATCH($A281,O1_Community_Attributes!$A$1:$A$500,0))="","",INDEX(O1_Community_Attributes!$BK$1:$BK$500,MATCH($A281,O1_Community_Attributes!$A$1:$A$500,0))),""))</f>
        <v/>
      </c>
      <c r="S281" s="8" t="str">
        <f aca="false">IF(OR($C281="",$M281=""),"",$M281/$C281)</f>
        <v/>
      </c>
      <c r="T281" s="8" t="str">
        <f aca="false">IF($C281="","",IF(AND($M281="",$P281=""),"",IF($M281="","B",IF(ABS($S281-1)&lt;=0.3,"A",IF(OR($S281&gt;2,$S281&lt;0.5),"C","B")))))</f>
        <v/>
      </c>
    </row>
    <row r="282" customFormat="false" ht="15" hidden="false" customHeight="true" outlineLevel="0" collapsed="false">
      <c r="H282" s="8" t="str">
        <f aca="false">IF(C282="","",IF(C282&lt;1,"yes","no"))</f>
        <v/>
      </c>
      <c r="I282" s="8" t="str">
        <f aca="false">IF(C282="","",IF(C282&lt;2.6,"r75",IF(C282&lt;5.2,"r110",IF(C282&lt;9.9,"r150",IF(C282&lt;19.8,"r210","r300")))))</f>
        <v/>
      </c>
      <c r="M282" s="8" t="str">
        <f aca="false">IF($A282="","",IFERROR(IF(INDEX(O1_Community_Attributes!$V$1:$V$500,MATCH($A282,O1_Community_Attributes!$A$1:$A$500,0))="","",INDEX(O1_Community_Attributes!$V$1:$V$500,MATCH($A282,O1_Community_Attributes!$A$1:$A$500,0))),""))</f>
        <v/>
      </c>
      <c r="N282" s="8" t="str">
        <f aca="false">IF($A282="","",IFERROR(IF(INDEX(O1_Community_Attributes!$W$1:$W$500,MATCH($A282,O1_Community_Attributes!$A$1:$A$500,0))="","",INDEX(O1_Community_Attributes!$W$1:$W$500,MATCH($A282,O1_Community_Attributes!$A$1:$A$500,0))),""))</f>
        <v/>
      </c>
      <c r="O282" s="8" t="str">
        <f aca="false">IF($A282="","",IFERROR(IF(INDEX(O1_Community_Attributes!$X$1:$X$500,MATCH($A282,O1_Community_Attributes!$A$1:$A$500,0))="","",INDEX(O1_Community_Attributes!$X$1:$X$500,MATCH($A282,O1_Community_Attributes!$A$1:$A$500,0))),""))</f>
        <v/>
      </c>
      <c r="P282" s="8" t="str">
        <f aca="false">IF($A282="","",IFERROR(IF(INDEX(O1_Community_Attributes!$Y$1:$Y$500,MATCH($A282,O1_Community_Attributes!$A$1:$A$500,0))="","",INDEX(O1_Community_Attributes!$Y$1:$Y$500,MATCH($A282,O1_Community_Attributes!$A$1:$A$500,0))),""))</f>
        <v/>
      </c>
      <c r="Q282" s="8" t="str">
        <f aca="false">IF($A282="","",IFERROR(IF(INDEX(O1_Community_Attributes!$Z$1:$Z$500,MATCH($A282,O1_Community_Attributes!$A$1:$A$500,0))="","",INDEX(O1_Community_Attributes!$Z$1:$Z$500,MATCH($A282,O1_Community_Attributes!$A$1:$A$500,0))),""))</f>
        <v/>
      </c>
      <c r="R282" s="8" t="str">
        <f aca="false">IF($A282="","",IFERROR(IF(INDEX(O1_Community_Attributes!$BK$1:$BK$500,MATCH($A282,O1_Community_Attributes!$A$1:$A$500,0))="","",INDEX(O1_Community_Attributes!$BK$1:$BK$500,MATCH($A282,O1_Community_Attributes!$A$1:$A$500,0))),""))</f>
        <v/>
      </c>
      <c r="S282" s="8" t="str">
        <f aca="false">IF(OR($C282="",$M282=""),"",$M282/$C282)</f>
        <v/>
      </c>
      <c r="T282" s="8" t="str">
        <f aca="false">IF($C282="","",IF(AND($M282="",$P282=""),"",IF($M282="","B",IF(ABS($S282-1)&lt;=0.3,"A",IF(OR($S282&gt;2,$S282&lt;0.5),"C","B")))))</f>
        <v/>
      </c>
    </row>
    <row r="283" customFormat="false" ht="15" hidden="false" customHeight="true" outlineLevel="0" collapsed="false">
      <c r="H283" s="8" t="str">
        <f aca="false">IF(C283="","",IF(C283&lt;1,"yes","no"))</f>
        <v/>
      </c>
      <c r="I283" s="8" t="str">
        <f aca="false">IF(C283="","",IF(C283&lt;2.6,"r75",IF(C283&lt;5.2,"r110",IF(C283&lt;9.9,"r150",IF(C283&lt;19.8,"r210","r300")))))</f>
        <v/>
      </c>
      <c r="M283" s="8" t="str">
        <f aca="false">IF($A283="","",IFERROR(IF(INDEX(O1_Community_Attributes!$V$1:$V$500,MATCH($A283,O1_Community_Attributes!$A$1:$A$500,0))="","",INDEX(O1_Community_Attributes!$V$1:$V$500,MATCH($A283,O1_Community_Attributes!$A$1:$A$500,0))),""))</f>
        <v/>
      </c>
      <c r="N283" s="8" t="str">
        <f aca="false">IF($A283="","",IFERROR(IF(INDEX(O1_Community_Attributes!$W$1:$W$500,MATCH($A283,O1_Community_Attributes!$A$1:$A$500,0))="","",INDEX(O1_Community_Attributes!$W$1:$W$500,MATCH($A283,O1_Community_Attributes!$A$1:$A$500,0))),""))</f>
        <v/>
      </c>
      <c r="O283" s="8" t="str">
        <f aca="false">IF($A283="","",IFERROR(IF(INDEX(O1_Community_Attributes!$X$1:$X$500,MATCH($A283,O1_Community_Attributes!$A$1:$A$500,0))="","",INDEX(O1_Community_Attributes!$X$1:$X$500,MATCH($A283,O1_Community_Attributes!$A$1:$A$500,0))),""))</f>
        <v/>
      </c>
      <c r="P283" s="8" t="str">
        <f aca="false">IF($A283="","",IFERROR(IF(INDEX(O1_Community_Attributes!$Y$1:$Y$500,MATCH($A283,O1_Community_Attributes!$A$1:$A$500,0))="","",INDEX(O1_Community_Attributes!$Y$1:$Y$500,MATCH($A283,O1_Community_Attributes!$A$1:$A$500,0))),""))</f>
        <v/>
      </c>
      <c r="Q283" s="8" t="str">
        <f aca="false">IF($A283="","",IFERROR(IF(INDEX(O1_Community_Attributes!$Z$1:$Z$500,MATCH($A283,O1_Community_Attributes!$A$1:$A$500,0))="","",INDEX(O1_Community_Attributes!$Z$1:$Z$500,MATCH($A283,O1_Community_Attributes!$A$1:$A$500,0))),""))</f>
        <v/>
      </c>
      <c r="R283" s="8" t="str">
        <f aca="false">IF($A283="","",IFERROR(IF(INDEX(O1_Community_Attributes!$BK$1:$BK$500,MATCH($A283,O1_Community_Attributes!$A$1:$A$500,0))="","",INDEX(O1_Community_Attributes!$BK$1:$BK$500,MATCH($A283,O1_Community_Attributes!$A$1:$A$500,0))),""))</f>
        <v/>
      </c>
      <c r="S283" s="8" t="str">
        <f aca="false">IF(OR($C283="",$M283=""),"",$M283/$C283)</f>
        <v/>
      </c>
      <c r="T283" s="8" t="str">
        <f aca="false">IF($C283="","",IF(AND($M283="",$P283=""),"",IF($M283="","B",IF(ABS($S283-1)&lt;=0.3,"A",IF(OR($S283&gt;2,$S283&lt;0.5),"C","B")))))</f>
        <v/>
      </c>
    </row>
    <row r="284" customFormat="false" ht="15" hidden="false" customHeight="true" outlineLevel="0" collapsed="false">
      <c r="H284" s="8" t="str">
        <f aca="false">IF(C284="","",IF(C284&lt;1,"yes","no"))</f>
        <v/>
      </c>
      <c r="I284" s="8" t="str">
        <f aca="false">IF(C284="","",IF(C284&lt;2.6,"r75",IF(C284&lt;5.2,"r110",IF(C284&lt;9.9,"r150",IF(C284&lt;19.8,"r210","r300")))))</f>
        <v/>
      </c>
      <c r="M284" s="8" t="str">
        <f aca="false">IF($A284="","",IFERROR(IF(INDEX(O1_Community_Attributes!$V$1:$V$500,MATCH($A284,O1_Community_Attributes!$A$1:$A$500,0))="","",INDEX(O1_Community_Attributes!$V$1:$V$500,MATCH($A284,O1_Community_Attributes!$A$1:$A$500,0))),""))</f>
        <v/>
      </c>
      <c r="N284" s="8" t="str">
        <f aca="false">IF($A284="","",IFERROR(IF(INDEX(O1_Community_Attributes!$W$1:$W$500,MATCH($A284,O1_Community_Attributes!$A$1:$A$500,0))="","",INDEX(O1_Community_Attributes!$W$1:$W$500,MATCH($A284,O1_Community_Attributes!$A$1:$A$500,0))),""))</f>
        <v/>
      </c>
      <c r="O284" s="8" t="str">
        <f aca="false">IF($A284="","",IFERROR(IF(INDEX(O1_Community_Attributes!$X$1:$X$500,MATCH($A284,O1_Community_Attributes!$A$1:$A$500,0))="","",INDEX(O1_Community_Attributes!$X$1:$X$500,MATCH($A284,O1_Community_Attributes!$A$1:$A$500,0))),""))</f>
        <v/>
      </c>
      <c r="P284" s="8" t="str">
        <f aca="false">IF($A284="","",IFERROR(IF(INDEX(O1_Community_Attributes!$Y$1:$Y$500,MATCH($A284,O1_Community_Attributes!$A$1:$A$500,0))="","",INDEX(O1_Community_Attributes!$Y$1:$Y$500,MATCH($A284,O1_Community_Attributes!$A$1:$A$500,0))),""))</f>
        <v/>
      </c>
      <c r="Q284" s="8" t="str">
        <f aca="false">IF($A284="","",IFERROR(IF(INDEX(O1_Community_Attributes!$Z$1:$Z$500,MATCH($A284,O1_Community_Attributes!$A$1:$A$500,0))="","",INDEX(O1_Community_Attributes!$Z$1:$Z$500,MATCH($A284,O1_Community_Attributes!$A$1:$A$500,0))),""))</f>
        <v/>
      </c>
      <c r="R284" s="8" t="str">
        <f aca="false">IF($A284="","",IFERROR(IF(INDEX(O1_Community_Attributes!$BK$1:$BK$500,MATCH($A284,O1_Community_Attributes!$A$1:$A$500,0))="","",INDEX(O1_Community_Attributes!$BK$1:$BK$500,MATCH($A284,O1_Community_Attributes!$A$1:$A$500,0))),""))</f>
        <v/>
      </c>
      <c r="S284" s="8" t="str">
        <f aca="false">IF(OR($C284="",$M284=""),"",$M284/$C284)</f>
        <v/>
      </c>
      <c r="T284" s="8" t="str">
        <f aca="false">IF($C284="","",IF(AND($M284="",$P284=""),"",IF($M284="","B",IF(ABS($S284-1)&lt;=0.3,"A",IF(OR($S284&gt;2,$S284&lt;0.5),"C","B")))))</f>
        <v/>
      </c>
    </row>
    <row r="285" customFormat="false" ht="15" hidden="false" customHeight="true" outlineLevel="0" collapsed="false">
      <c r="H285" s="8" t="str">
        <f aca="false">IF(C285="","",IF(C285&lt;1,"yes","no"))</f>
        <v/>
      </c>
      <c r="I285" s="8" t="str">
        <f aca="false">IF(C285="","",IF(C285&lt;2.6,"r75",IF(C285&lt;5.2,"r110",IF(C285&lt;9.9,"r150",IF(C285&lt;19.8,"r210","r300")))))</f>
        <v/>
      </c>
      <c r="M285" s="8" t="str">
        <f aca="false">IF($A285="","",IFERROR(IF(INDEX(O1_Community_Attributes!$V$1:$V$500,MATCH($A285,O1_Community_Attributes!$A$1:$A$500,0))="","",INDEX(O1_Community_Attributes!$V$1:$V$500,MATCH($A285,O1_Community_Attributes!$A$1:$A$500,0))),""))</f>
        <v/>
      </c>
      <c r="N285" s="8" t="str">
        <f aca="false">IF($A285="","",IFERROR(IF(INDEX(O1_Community_Attributes!$W$1:$W$500,MATCH($A285,O1_Community_Attributes!$A$1:$A$500,0))="","",INDEX(O1_Community_Attributes!$W$1:$W$500,MATCH($A285,O1_Community_Attributes!$A$1:$A$500,0))),""))</f>
        <v/>
      </c>
      <c r="O285" s="8" t="str">
        <f aca="false">IF($A285="","",IFERROR(IF(INDEX(O1_Community_Attributes!$X$1:$X$500,MATCH($A285,O1_Community_Attributes!$A$1:$A$500,0))="","",INDEX(O1_Community_Attributes!$X$1:$X$500,MATCH($A285,O1_Community_Attributes!$A$1:$A$500,0))),""))</f>
        <v/>
      </c>
      <c r="P285" s="8" t="str">
        <f aca="false">IF($A285="","",IFERROR(IF(INDEX(O1_Community_Attributes!$Y$1:$Y$500,MATCH($A285,O1_Community_Attributes!$A$1:$A$500,0))="","",INDEX(O1_Community_Attributes!$Y$1:$Y$500,MATCH($A285,O1_Community_Attributes!$A$1:$A$500,0))),""))</f>
        <v/>
      </c>
      <c r="Q285" s="8" t="str">
        <f aca="false">IF($A285="","",IFERROR(IF(INDEX(O1_Community_Attributes!$Z$1:$Z$500,MATCH($A285,O1_Community_Attributes!$A$1:$A$500,0))="","",INDEX(O1_Community_Attributes!$Z$1:$Z$500,MATCH($A285,O1_Community_Attributes!$A$1:$A$500,0))),""))</f>
        <v/>
      </c>
      <c r="R285" s="8" t="str">
        <f aca="false">IF($A285="","",IFERROR(IF(INDEX(O1_Community_Attributes!$BK$1:$BK$500,MATCH($A285,O1_Community_Attributes!$A$1:$A$500,0))="","",INDEX(O1_Community_Attributes!$BK$1:$BK$500,MATCH($A285,O1_Community_Attributes!$A$1:$A$500,0))),""))</f>
        <v/>
      </c>
      <c r="S285" s="8" t="str">
        <f aca="false">IF(OR($C285="",$M285=""),"",$M285/$C285)</f>
        <v/>
      </c>
      <c r="T285" s="8" t="str">
        <f aca="false">IF($C285="","",IF(AND($M285="",$P285=""),"",IF($M285="","B",IF(ABS($S285-1)&lt;=0.3,"A",IF(OR($S285&gt;2,$S285&lt;0.5),"C","B")))))</f>
        <v/>
      </c>
    </row>
    <row r="286" customFormat="false" ht="15" hidden="false" customHeight="true" outlineLevel="0" collapsed="false">
      <c r="H286" s="8" t="str">
        <f aca="false">IF(C286="","",IF(C286&lt;1,"yes","no"))</f>
        <v/>
      </c>
      <c r="I286" s="8" t="str">
        <f aca="false">IF(C286="","",IF(C286&lt;2.6,"r75",IF(C286&lt;5.2,"r110",IF(C286&lt;9.9,"r150",IF(C286&lt;19.8,"r210","r300")))))</f>
        <v/>
      </c>
      <c r="M286" s="8" t="str">
        <f aca="false">IF($A286="","",IFERROR(IF(INDEX(O1_Community_Attributes!$V$1:$V$500,MATCH($A286,O1_Community_Attributes!$A$1:$A$500,0))="","",INDEX(O1_Community_Attributes!$V$1:$V$500,MATCH($A286,O1_Community_Attributes!$A$1:$A$500,0))),""))</f>
        <v/>
      </c>
      <c r="N286" s="8" t="str">
        <f aca="false">IF($A286="","",IFERROR(IF(INDEX(O1_Community_Attributes!$W$1:$W$500,MATCH($A286,O1_Community_Attributes!$A$1:$A$500,0))="","",INDEX(O1_Community_Attributes!$W$1:$W$500,MATCH($A286,O1_Community_Attributes!$A$1:$A$500,0))),""))</f>
        <v/>
      </c>
      <c r="O286" s="8" t="str">
        <f aca="false">IF($A286="","",IFERROR(IF(INDEX(O1_Community_Attributes!$X$1:$X$500,MATCH($A286,O1_Community_Attributes!$A$1:$A$500,0))="","",INDEX(O1_Community_Attributes!$X$1:$X$500,MATCH($A286,O1_Community_Attributes!$A$1:$A$500,0))),""))</f>
        <v/>
      </c>
      <c r="P286" s="8" t="str">
        <f aca="false">IF($A286="","",IFERROR(IF(INDEX(O1_Community_Attributes!$Y$1:$Y$500,MATCH($A286,O1_Community_Attributes!$A$1:$A$500,0))="","",INDEX(O1_Community_Attributes!$Y$1:$Y$500,MATCH($A286,O1_Community_Attributes!$A$1:$A$500,0))),""))</f>
        <v/>
      </c>
      <c r="Q286" s="8" t="str">
        <f aca="false">IF($A286="","",IFERROR(IF(INDEX(O1_Community_Attributes!$Z$1:$Z$500,MATCH($A286,O1_Community_Attributes!$A$1:$A$500,0))="","",INDEX(O1_Community_Attributes!$Z$1:$Z$500,MATCH($A286,O1_Community_Attributes!$A$1:$A$500,0))),""))</f>
        <v/>
      </c>
      <c r="R286" s="8" t="str">
        <f aca="false">IF($A286="","",IFERROR(IF(INDEX(O1_Community_Attributes!$BK$1:$BK$500,MATCH($A286,O1_Community_Attributes!$A$1:$A$500,0))="","",INDEX(O1_Community_Attributes!$BK$1:$BK$500,MATCH($A286,O1_Community_Attributes!$A$1:$A$500,0))),""))</f>
        <v/>
      </c>
      <c r="S286" s="8" t="str">
        <f aca="false">IF(OR($C286="",$M286=""),"",$M286/$C286)</f>
        <v/>
      </c>
      <c r="T286" s="8" t="str">
        <f aca="false">IF($C286="","",IF(AND($M286="",$P286=""),"",IF($M286="","B",IF(ABS($S286-1)&lt;=0.3,"A",IF(OR($S286&gt;2,$S286&lt;0.5),"C","B")))))</f>
        <v/>
      </c>
    </row>
    <row r="287" customFormat="false" ht="15" hidden="false" customHeight="true" outlineLevel="0" collapsed="false">
      <c r="H287" s="8" t="str">
        <f aca="false">IF(C287="","",IF(C287&lt;1,"yes","no"))</f>
        <v/>
      </c>
      <c r="I287" s="8" t="str">
        <f aca="false">IF(C287="","",IF(C287&lt;2.6,"r75",IF(C287&lt;5.2,"r110",IF(C287&lt;9.9,"r150",IF(C287&lt;19.8,"r210","r300")))))</f>
        <v/>
      </c>
      <c r="M287" s="8" t="str">
        <f aca="false">IF($A287="","",IFERROR(IF(INDEX(O1_Community_Attributes!$V$1:$V$500,MATCH($A287,O1_Community_Attributes!$A$1:$A$500,0))="","",INDEX(O1_Community_Attributes!$V$1:$V$500,MATCH($A287,O1_Community_Attributes!$A$1:$A$500,0))),""))</f>
        <v/>
      </c>
      <c r="N287" s="8" t="str">
        <f aca="false">IF($A287="","",IFERROR(IF(INDEX(O1_Community_Attributes!$W$1:$W$500,MATCH($A287,O1_Community_Attributes!$A$1:$A$500,0))="","",INDEX(O1_Community_Attributes!$W$1:$W$500,MATCH($A287,O1_Community_Attributes!$A$1:$A$500,0))),""))</f>
        <v/>
      </c>
      <c r="O287" s="8" t="str">
        <f aca="false">IF($A287="","",IFERROR(IF(INDEX(O1_Community_Attributes!$X$1:$X$500,MATCH($A287,O1_Community_Attributes!$A$1:$A$500,0))="","",INDEX(O1_Community_Attributes!$X$1:$X$500,MATCH($A287,O1_Community_Attributes!$A$1:$A$500,0))),""))</f>
        <v/>
      </c>
      <c r="P287" s="8" t="str">
        <f aca="false">IF($A287="","",IFERROR(IF(INDEX(O1_Community_Attributes!$Y$1:$Y$500,MATCH($A287,O1_Community_Attributes!$A$1:$A$500,0))="","",INDEX(O1_Community_Attributes!$Y$1:$Y$500,MATCH($A287,O1_Community_Attributes!$A$1:$A$500,0))),""))</f>
        <v/>
      </c>
      <c r="Q287" s="8" t="str">
        <f aca="false">IF($A287="","",IFERROR(IF(INDEX(O1_Community_Attributes!$Z$1:$Z$500,MATCH($A287,O1_Community_Attributes!$A$1:$A$500,0))="","",INDEX(O1_Community_Attributes!$Z$1:$Z$500,MATCH($A287,O1_Community_Attributes!$A$1:$A$500,0))),""))</f>
        <v/>
      </c>
      <c r="R287" s="8" t="str">
        <f aca="false">IF($A287="","",IFERROR(IF(INDEX(O1_Community_Attributes!$BK$1:$BK$500,MATCH($A287,O1_Community_Attributes!$A$1:$A$500,0))="","",INDEX(O1_Community_Attributes!$BK$1:$BK$500,MATCH($A287,O1_Community_Attributes!$A$1:$A$500,0))),""))</f>
        <v/>
      </c>
      <c r="S287" s="8" t="str">
        <f aca="false">IF(OR($C287="",$M287=""),"",$M287/$C287)</f>
        <v/>
      </c>
      <c r="T287" s="8" t="str">
        <f aca="false">IF($C287="","",IF(AND($M287="",$P287=""),"",IF($M287="","B",IF(ABS($S287-1)&lt;=0.3,"A",IF(OR($S287&gt;2,$S287&lt;0.5),"C","B")))))</f>
        <v/>
      </c>
    </row>
    <row r="288" customFormat="false" ht="15" hidden="false" customHeight="true" outlineLevel="0" collapsed="false">
      <c r="H288" s="8" t="str">
        <f aca="false">IF(C288="","",IF(C288&lt;1,"yes","no"))</f>
        <v/>
      </c>
      <c r="I288" s="8" t="str">
        <f aca="false">IF(C288="","",IF(C288&lt;2.6,"r75",IF(C288&lt;5.2,"r110",IF(C288&lt;9.9,"r150",IF(C288&lt;19.8,"r210","r300")))))</f>
        <v/>
      </c>
      <c r="M288" s="8" t="str">
        <f aca="false">IF($A288="","",IFERROR(IF(INDEX(O1_Community_Attributes!$V$1:$V$500,MATCH($A288,O1_Community_Attributes!$A$1:$A$500,0))="","",INDEX(O1_Community_Attributes!$V$1:$V$500,MATCH($A288,O1_Community_Attributes!$A$1:$A$500,0))),""))</f>
        <v/>
      </c>
      <c r="N288" s="8" t="str">
        <f aca="false">IF($A288="","",IFERROR(IF(INDEX(O1_Community_Attributes!$W$1:$W$500,MATCH($A288,O1_Community_Attributes!$A$1:$A$500,0))="","",INDEX(O1_Community_Attributes!$W$1:$W$500,MATCH($A288,O1_Community_Attributes!$A$1:$A$500,0))),""))</f>
        <v/>
      </c>
      <c r="O288" s="8" t="str">
        <f aca="false">IF($A288="","",IFERROR(IF(INDEX(O1_Community_Attributes!$X$1:$X$500,MATCH($A288,O1_Community_Attributes!$A$1:$A$500,0))="","",INDEX(O1_Community_Attributes!$X$1:$X$500,MATCH($A288,O1_Community_Attributes!$A$1:$A$500,0))),""))</f>
        <v/>
      </c>
      <c r="P288" s="8" t="str">
        <f aca="false">IF($A288="","",IFERROR(IF(INDEX(O1_Community_Attributes!$Y$1:$Y$500,MATCH($A288,O1_Community_Attributes!$A$1:$A$500,0))="","",INDEX(O1_Community_Attributes!$Y$1:$Y$500,MATCH($A288,O1_Community_Attributes!$A$1:$A$500,0))),""))</f>
        <v/>
      </c>
      <c r="Q288" s="8" t="str">
        <f aca="false">IF($A288="","",IFERROR(IF(INDEX(O1_Community_Attributes!$Z$1:$Z$500,MATCH($A288,O1_Community_Attributes!$A$1:$A$500,0))="","",INDEX(O1_Community_Attributes!$Z$1:$Z$500,MATCH($A288,O1_Community_Attributes!$A$1:$A$500,0))),""))</f>
        <v/>
      </c>
      <c r="R288" s="8" t="str">
        <f aca="false">IF($A288="","",IFERROR(IF(INDEX(O1_Community_Attributes!$BK$1:$BK$500,MATCH($A288,O1_Community_Attributes!$A$1:$A$500,0))="","",INDEX(O1_Community_Attributes!$BK$1:$BK$500,MATCH($A288,O1_Community_Attributes!$A$1:$A$500,0))),""))</f>
        <v/>
      </c>
      <c r="S288" s="8" t="str">
        <f aca="false">IF(OR($C288="",$M288=""),"",$M288/$C288)</f>
        <v/>
      </c>
      <c r="T288" s="8" t="str">
        <f aca="false">IF($C288="","",IF(AND($M288="",$P288=""),"",IF($M288="","B",IF(ABS($S288-1)&lt;=0.3,"A",IF(OR($S288&gt;2,$S288&lt;0.5),"C","B")))))</f>
        <v/>
      </c>
    </row>
    <row r="289" customFormat="false" ht="15" hidden="false" customHeight="true" outlineLevel="0" collapsed="false">
      <c r="H289" s="8" t="str">
        <f aca="false">IF(C289="","",IF(C289&lt;1,"yes","no"))</f>
        <v/>
      </c>
      <c r="I289" s="8" t="str">
        <f aca="false">IF(C289="","",IF(C289&lt;2.6,"r75",IF(C289&lt;5.2,"r110",IF(C289&lt;9.9,"r150",IF(C289&lt;19.8,"r210","r300")))))</f>
        <v/>
      </c>
      <c r="M289" s="8" t="str">
        <f aca="false">IF($A289="","",IFERROR(IF(INDEX(O1_Community_Attributes!$V$1:$V$500,MATCH($A289,O1_Community_Attributes!$A$1:$A$500,0))="","",INDEX(O1_Community_Attributes!$V$1:$V$500,MATCH($A289,O1_Community_Attributes!$A$1:$A$500,0))),""))</f>
        <v/>
      </c>
      <c r="N289" s="8" t="str">
        <f aca="false">IF($A289="","",IFERROR(IF(INDEX(O1_Community_Attributes!$W$1:$W$500,MATCH($A289,O1_Community_Attributes!$A$1:$A$500,0))="","",INDEX(O1_Community_Attributes!$W$1:$W$500,MATCH($A289,O1_Community_Attributes!$A$1:$A$500,0))),""))</f>
        <v/>
      </c>
      <c r="O289" s="8" t="str">
        <f aca="false">IF($A289="","",IFERROR(IF(INDEX(O1_Community_Attributes!$X$1:$X$500,MATCH($A289,O1_Community_Attributes!$A$1:$A$500,0))="","",INDEX(O1_Community_Attributes!$X$1:$X$500,MATCH($A289,O1_Community_Attributes!$A$1:$A$500,0))),""))</f>
        <v/>
      </c>
      <c r="P289" s="8" t="str">
        <f aca="false">IF($A289="","",IFERROR(IF(INDEX(O1_Community_Attributes!$Y$1:$Y$500,MATCH($A289,O1_Community_Attributes!$A$1:$A$500,0))="","",INDEX(O1_Community_Attributes!$Y$1:$Y$500,MATCH($A289,O1_Community_Attributes!$A$1:$A$500,0))),""))</f>
        <v/>
      </c>
      <c r="Q289" s="8" t="str">
        <f aca="false">IF($A289="","",IFERROR(IF(INDEX(O1_Community_Attributes!$Z$1:$Z$500,MATCH($A289,O1_Community_Attributes!$A$1:$A$500,0))="","",INDEX(O1_Community_Attributes!$Z$1:$Z$500,MATCH($A289,O1_Community_Attributes!$A$1:$A$500,0))),""))</f>
        <v/>
      </c>
      <c r="R289" s="8" t="str">
        <f aca="false">IF($A289="","",IFERROR(IF(INDEX(O1_Community_Attributes!$BK$1:$BK$500,MATCH($A289,O1_Community_Attributes!$A$1:$A$500,0))="","",INDEX(O1_Community_Attributes!$BK$1:$BK$500,MATCH($A289,O1_Community_Attributes!$A$1:$A$500,0))),""))</f>
        <v/>
      </c>
      <c r="S289" s="8" t="str">
        <f aca="false">IF(OR($C289="",$M289=""),"",$M289/$C289)</f>
        <v/>
      </c>
      <c r="T289" s="8" t="str">
        <f aca="false">IF($C289="","",IF(AND($M289="",$P289=""),"",IF($M289="","B",IF(ABS($S289-1)&lt;=0.3,"A",IF(OR($S289&gt;2,$S289&lt;0.5),"C","B")))))</f>
        <v/>
      </c>
    </row>
    <row r="290" customFormat="false" ht="15" hidden="false" customHeight="true" outlineLevel="0" collapsed="false">
      <c r="H290" s="8" t="str">
        <f aca="false">IF(C290="","",IF(C290&lt;1,"yes","no"))</f>
        <v/>
      </c>
      <c r="I290" s="8" t="str">
        <f aca="false">IF(C290="","",IF(C290&lt;2.6,"r75",IF(C290&lt;5.2,"r110",IF(C290&lt;9.9,"r150",IF(C290&lt;19.8,"r210","r300")))))</f>
        <v/>
      </c>
      <c r="M290" s="8" t="str">
        <f aca="false">IF($A290="","",IFERROR(IF(INDEX(O1_Community_Attributes!$V$1:$V$500,MATCH($A290,O1_Community_Attributes!$A$1:$A$500,0))="","",INDEX(O1_Community_Attributes!$V$1:$V$500,MATCH($A290,O1_Community_Attributes!$A$1:$A$500,0))),""))</f>
        <v/>
      </c>
      <c r="N290" s="8" t="str">
        <f aca="false">IF($A290="","",IFERROR(IF(INDEX(O1_Community_Attributes!$W$1:$W$500,MATCH($A290,O1_Community_Attributes!$A$1:$A$500,0))="","",INDEX(O1_Community_Attributes!$W$1:$W$500,MATCH($A290,O1_Community_Attributes!$A$1:$A$500,0))),""))</f>
        <v/>
      </c>
      <c r="O290" s="8" t="str">
        <f aca="false">IF($A290="","",IFERROR(IF(INDEX(O1_Community_Attributes!$X$1:$X$500,MATCH($A290,O1_Community_Attributes!$A$1:$A$500,0))="","",INDEX(O1_Community_Attributes!$X$1:$X$500,MATCH($A290,O1_Community_Attributes!$A$1:$A$500,0))),""))</f>
        <v/>
      </c>
      <c r="P290" s="8" t="str">
        <f aca="false">IF($A290="","",IFERROR(IF(INDEX(O1_Community_Attributes!$Y$1:$Y$500,MATCH($A290,O1_Community_Attributes!$A$1:$A$500,0))="","",INDEX(O1_Community_Attributes!$Y$1:$Y$500,MATCH($A290,O1_Community_Attributes!$A$1:$A$500,0))),""))</f>
        <v/>
      </c>
      <c r="Q290" s="8" t="str">
        <f aca="false">IF($A290="","",IFERROR(IF(INDEX(O1_Community_Attributes!$Z$1:$Z$500,MATCH($A290,O1_Community_Attributes!$A$1:$A$500,0))="","",INDEX(O1_Community_Attributes!$Z$1:$Z$500,MATCH($A290,O1_Community_Attributes!$A$1:$A$500,0))),""))</f>
        <v/>
      </c>
      <c r="R290" s="8" t="str">
        <f aca="false">IF($A290="","",IFERROR(IF(INDEX(O1_Community_Attributes!$BK$1:$BK$500,MATCH($A290,O1_Community_Attributes!$A$1:$A$500,0))="","",INDEX(O1_Community_Attributes!$BK$1:$BK$500,MATCH($A290,O1_Community_Attributes!$A$1:$A$500,0))),""))</f>
        <v/>
      </c>
      <c r="S290" s="8" t="str">
        <f aca="false">IF(OR($C290="",$M290=""),"",$M290/$C290)</f>
        <v/>
      </c>
      <c r="T290" s="8" t="str">
        <f aca="false">IF($C290="","",IF(AND($M290="",$P290=""),"",IF($M290="","B",IF(ABS($S290-1)&lt;=0.3,"A",IF(OR($S290&gt;2,$S290&lt;0.5),"C","B")))))</f>
        <v/>
      </c>
    </row>
    <row r="291" customFormat="false" ht="15" hidden="false" customHeight="true" outlineLevel="0" collapsed="false">
      <c r="H291" s="8" t="str">
        <f aca="false">IF(C291="","",IF(C291&lt;1,"yes","no"))</f>
        <v/>
      </c>
      <c r="I291" s="8" t="str">
        <f aca="false">IF(C291="","",IF(C291&lt;2.6,"r75",IF(C291&lt;5.2,"r110",IF(C291&lt;9.9,"r150",IF(C291&lt;19.8,"r210","r300")))))</f>
        <v/>
      </c>
      <c r="M291" s="8" t="str">
        <f aca="false">IF($A291="","",IFERROR(IF(INDEX(O1_Community_Attributes!$V$1:$V$500,MATCH($A291,O1_Community_Attributes!$A$1:$A$500,0))="","",INDEX(O1_Community_Attributes!$V$1:$V$500,MATCH($A291,O1_Community_Attributes!$A$1:$A$500,0))),""))</f>
        <v/>
      </c>
      <c r="N291" s="8" t="str">
        <f aca="false">IF($A291="","",IFERROR(IF(INDEX(O1_Community_Attributes!$W$1:$W$500,MATCH($A291,O1_Community_Attributes!$A$1:$A$500,0))="","",INDEX(O1_Community_Attributes!$W$1:$W$500,MATCH($A291,O1_Community_Attributes!$A$1:$A$500,0))),""))</f>
        <v/>
      </c>
      <c r="O291" s="8" t="str">
        <f aca="false">IF($A291="","",IFERROR(IF(INDEX(O1_Community_Attributes!$X$1:$X$500,MATCH($A291,O1_Community_Attributes!$A$1:$A$500,0))="","",INDEX(O1_Community_Attributes!$X$1:$X$500,MATCH($A291,O1_Community_Attributes!$A$1:$A$500,0))),""))</f>
        <v/>
      </c>
      <c r="P291" s="8" t="str">
        <f aca="false">IF($A291="","",IFERROR(IF(INDEX(O1_Community_Attributes!$Y$1:$Y$500,MATCH($A291,O1_Community_Attributes!$A$1:$A$500,0))="","",INDEX(O1_Community_Attributes!$Y$1:$Y$500,MATCH($A291,O1_Community_Attributes!$A$1:$A$500,0))),""))</f>
        <v/>
      </c>
      <c r="Q291" s="8" t="str">
        <f aca="false">IF($A291="","",IFERROR(IF(INDEX(O1_Community_Attributes!$Z$1:$Z$500,MATCH($A291,O1_Community_Attributes!$A$1:$A$500,0))="","",INDEX(O1_Community_Attributes!$Z$1:$Z$500,MATCH($A291,O1_Community_Attributes!$A$1:$A$500,0))),""))</f>
        <v/>
      </c>
      <c r="R291" s="8" t="str">
        <f aca="false">IF($A291="","",IFERROR(IF(INDEX(O1_Community_Attributes!$BK$1:$BK$500,MATCH($A291,O1_Community_Attributes!$A$1:$A$500,0))="","",INDEX(O1_Community_Attributes!$BK$1:$BK$500,MATCH($A291,O1_Community_Attributes!$A$1:$A$500,0))),""))</f>
        <v/>
      </c>
      <c r="S291" s="8" t="str">
        <f aca="false">IF(OR($C291="",$M291=""),"",$M291/$C291)</f>
        <v/>
      </c>
      <c r="T291" s="8" t="str">
        <f aca="false">IF($C291="","",IF(AND($M291="",$P291=""),"",IF($M291="","B",IF(ABS($S291-1)&lt;=0.3,"A",IF(OR($S291&gt;2,$S291&lt;0.5),"C","B")))))</f>
        <v/>
      </c>
    </row>
    <row r="292" customFormat="false" ht="15" hidden="false" customHeight="true" outlineLevel="0" collapsed="false">
      <c r="H292" s="8" t="str">
        <f aca="false">IF(C292="","",IF(C292&lt;1,"yes","no"))</f>
        <v/>
      </c>
      <c r="I292" s="8" t="str">
        <f aca="false">IF(C292="","",IF(C292&lt;2.6,"r75",IF(C292&lt;5.2,"r110",IF(C292&lt;9.9,"r150",IF(C292&lt;19.8,"r210","r300")))))</f>
        <v/>
      </c>
      <c r="M292" s="8" t="str">
        <f aca="false">IF($A292="","",IFERROR(IF(INDEX(O1_Community_Attributes!$V$1:$V$500,MATCH($A292,O1_Community_Attributes!$A$1:$A$500,0))="","",INDEX(O1_Community_Attributes!$V$1:$V$500,MATCH($A292,O1_Community_Attributes!$A$1:$A$500,0))),""))</f>
        <v/>
      </c>
      <c r="N292" s="8" t="str">
        <f aca="false">IF($A292="","",IFERROR(IF(INDEX(O1_Community_Attributes!$W$1:$W$500,MATCH($A292,O1_Community_Attributes!$A$1:$A$500,0))="","",INDEX(O1_Community_Attributes!$W$1:$W$500,MATCH($A292,O1_Community_Attributes!$A$1:$A$500,0))),""))</f>
        <v/>
      </c>
      <c r="O292" s="8" t="str">
        <f aca="false">IF($A292="","",IFERROR(IF(INDEX(O1_Community_Attributes!$X$1:$X$500,MATCH($A292,O1_Community_Attributes!$A$1:$A$500,0))="","",INDEX(O1_Community_Attributes!$X$1:$X$500,MATCH($A292,O1_Community_Attributes!$A$1:$A$500,0))),""))</f>
        <v/>
      </c>
      <c r="P292" s="8" t="str">
        <f aca="false">IF($A292="","",IFERROR(IF(INDEX(O1_Community_Attributes!$Y$1:$Y$500,MATCH($A292,O1_Community_Attributes!$A$1:$A$500,0))="","",INDEX(O1_Community_Attributes!$Y$1:$Y$500,MATCH($A292,O1_Community_Attributes!$A$1:$A$500,0))),""))</f>
        <v/>
      </c>
      <c r="Q292" s="8" t="str">
        <f aca="false">IF($A292="","",IFERROR(IF(INDEX(O1_Community_Attributes!$Z$1:$Z$500,MATCH($A292,O1_Community_Attributes!$A$1:$A$500,0))="","",INDEX(O1_Community_Attributes!$Z$1:$Z$500,MATCH($A292,O1_Community_Attributes!$A$1:$A$500,0))),""))</f>
        <v/>
      </c>
      <c r="R292" s="8" t="str">
        <f aca="false">IF($A292="","",IFERROR(IF(INDEX(O1_Community_Attributes!$BK$1:$BK$500,MATCH($A292,O1_Community_Attributes!$A$1:$A$500,0))="","",INDEX(O1_Community_Attributes!$BK$1:$BK$500,MATCH($A292,O1_Community_Attributes!$A$1:$A$500,0))),""))</f>
        <v/>
      </c>
      <c r="S292" s="8" t="str">
        <f aca="false">IF(OR($C292="",$M292=""),"",$M292/$C292)</f>
        <v/>
      </c>
      <c r="T292" s="8" t="str">
        <f aca="false">IF($C292="","",IF(AND($M292="",$P292=""),"",IF($M292="","B",IF(ABS($S292-1)&lt;=0.3,"A",IF(OR($S292&gt;2,$S292&lt;0.5),"C","B")))))</f>
        <v/>
      </c>
    </row>
    <row r="293" customFormat="false" ht="15" hidden="false" customHeight="true" outlineLevel="0" collapsed="false">
      <c r="H293" s="8" t="str">
        <f aca="false">IF(C293="","",IF(C293&lt;1,"yes","no"))</f>
        <v/>
      </c>
      <c r="I293" s="8" t="str">
        <f aca="false">IF(C293="","",IF(C293&lt;2.6,"r75",IF(C293&lt;5.2,"r110",IF(C293&lt;9.9,"r150",IF(C293&lt;19.8,"r210","r300")))))</f>
        <v/>
      </c>
      <c r="M293" s="8" t="str">
        <f aca="false">IF($A293="","",IFERROR(IF(INDEX(O1_Community_Attributes!$V$1:$V$500,MATCH($A293,O1_Community_Attributes!$A$1:$A$500,0))="","",INDEX(O1_Community_Attributes!$V$1:$V$500,MATCH($A293,O1_Community_Attributes!$A$1:$A$500,0))),""))</f>
        <v/>
      </c>
      <c r="N293" s="8" t="str">
        <f aca="false">IF($A293="","",IFERROR(IF(INDEX(O1_Community_Attributes!$W$1:$W$500,MATCH($A293,O1_Community_Attributes!$A$1:$A$500,0))="","",INDEX(O1_Community_Attributes!$W$1:$W$500,MATCH($A293,O1_Community_Attributes!$A$1:$A$500,0))),""))</f>
        <v/>
      </c>
      <c r="O293" s="8" t="str">
        <f aca="false">IF($A293="","",IFERROR(IF(INDEX(O1_Community_Attributes!$X$1:$X$500,MATCH($A293,O1_Community_Attributes!$A$1:$A$500,0))="","",INDEX(O1_Community_Attributes!$X$1:$X$500,MATCH($A293,O1_Community_Attributes!$A$1:$A$500,0))),""))</f>
        <v/>
      </c>
      <c r="P293" s="8" t="str">
        <f aca="false">IF($A293="","",IFERROR(IF(INDEX(O1_Community_Attributes!$Y$1:$Y$500,MATCH($A293,O1_Community_Attributes!$A$1:$A$500,0))="","",INDEX(O1_Community_Attributes!$Y$1:$Y$500,MATCH($A293,O1_Community_Attributes!$A$1:$A$500,0))),""))</f>
        <v/>
      </c>
      <c r="Q293" s="8" t="str">
        <f aca="false">IF($A293="","",IFERROR(IF(INDEX(O1_Community_Attributes!$Z$1:$Z$500,MATCH($A293,O1_Community_Attributes!$A$1:$A$500,0))="","",INDEX(O1_Community_Attributes!$Z$1:$Z$500,MATCH($A293,O1_Community_Attributes!$A$1:$A$500,0))),""))</f>
        <v/>
      </c>
      <c r="R293" s="8" t="str">
        <f aca="false">IF($A293="","",IFERROR(IF(INDEX(O1_Community_Attributes!$BK$1:$BK$500,MATCH($A293,O1_Community_Attributes!$A$1:$A$500,0))="","",INDEX(O1_Community_Attributes!$BK$1:$BK$500,MATCH($A293,O1_Community_Attributes!$A$1:$A$500,0))),""))</f>
        <v/>
      </c>
      <c r="S293" s="8" t="str">
        <f aca="false">IF(OR($C293="",$M293=""),"",$M293/$C293)</f>
        <v/>
      </c>
      <c r="T293" s="8" t="str">
        <f aca="false">IF($C293="","",IF(AND($M293="",$P293=""),"",IF($M293="","B",IF(ABS($S293-1)&lt;=0.3,"A",IF(OR($S293&gt;2,$S293&lt;0.5),"C","B")))))</f>
        <v/>
      </c>
    </row>
    <row r="294" customFormat="false" ht="15" hidden="false" customHeight="true" outlineLevel="0" collapsed="false">
      <c r="H294" s="8" t="str">
        <f aca="false">IF(C294="","",IF(C294&lt;1,"yes","no"))</f>
        <v/>
      </c>
      <c r="I294" s="8" t="str">
        <f aca="false">IF(C294="","",IF(C294&lt;2.6,"r75",IF(C294&lt;5.2,"r110",IF(C294&lt;9.9,"r150",IF(C294&lt;19.8,"r210","r300")))))</f>
        <v/>
      </c>
      <c r="M294" s="8" t="str">
        <f aca="false">IF($A294="","",IFERROR(IF(INDEX(O1_Community_Attributes!$V$1:$V$500,MATCH($A294,O1_Community_Attributes!$A$1:$A$500,0))="","",INDEX(O1_Community_Attributes!$V$1:$V$500,MATCH($A294,O1_Community_Attributes!$A$1:$A$500,0))),""))</f>
        <v/>
      </c>
      <c r="N294" s="8" t="str">
        <f aca="false">IF($A294="","",IFERROR(IF(INDEX(O1_Community_Attributes!$W$1:$W$500,MATCH($A294,O1_Community_Attributes!$A$1:$A$500,0))="","",INDEX(O1_Community_Attributes!$W$1:$W$500,MATCH($A294,O1_Community_Attributes!$A$1:$A$500,0))),""))</f>
        <v/>
      </c>
      <c r="O294" s="8" t="str">
        <f aca="false">IF($A294="","",IFERROR(IF(INDEX(O1_Community_Attributes!$X$1:$X$500,MATCH($A294,O1_Community_Attributes!$A$1:$A$500,0))="","",INDEX(O1_Community_Attributes!$X$1:$X$500,MATCH($A294,O1_Community_Attributes!$A$1:$A$500,0))),""))</f>
        <v/>
      </c>
      <c r="P294" s="8" t="str">
        <f aca="false">IF($A294="","",IFERROR(IF(INDEX(O1_Community_Attributes!$Y$1:$Y$500,MATCH($A294,O1_Community_Attributes!$A$1:$A$500,0))="","",INDEX(O1_Community_Attributes!$Y$1:$Y$500,MATCH($A294,O1_Community_Attributes!$A$1:$A$500,0))),""))</f>
        <v/>
      </c>
      <c r="Q294" s="8" t="str">
        <f aca="false">IF($A294="","",IFERROR(IF(INDEX(O1_Community_Attributes!$Z$1:$Z$500,MATCH($A294,O1_Community_Attributes!$A$1:$A$500,0))="","",INDEX(O1_Community_Attributes!$Z$1:$Z$500,MATCH($A294,O1_Community_Attributes!$A$1:$A$500,0))),""))</f>
        <v/>
      </c>
      <c r="R294" s="8" t="str">
        <f aca="false">IF($A294="","",IFERROR(IF(INDEX(O1_Community_Attributes!$BK$1:$BK$500,MATCH($A294,O1_Community_Attributes!$A$1:$A$500,0))="","",INDEX(O1_Community_Attributes!$BK$1:$BK$500,MATCH($A294,O1_Community_Attributes!$A$1:$A$500,0))),""))</f>
        <v/>
      </c>
      <c r="S294" s="8" t="str">
        <f aca="false">IF(OR($C294="",$M294=""),"",$M294/$C294)</f>
        <v/>
      </c>
      <c r="T294" s="8" t="str">
        <f aca="false">IF($C294="","",IF(AND($M294="",$P294=""),"",IF($M294="","B",IF(ABS($S294-1)&lt;=0.3,"A",IF(OR($S294&gt;2,$S294&lt;0.5),"C","B")))))</f>
        <v/>
      </c>
    </row>
    <row r="295" customFormat="false" ht="15" hidden="false" customHeight="true" outlineLevel="0" collapsed="false">
      <c r="H295" s="8" t="str">
        <f aca="false">IF(C295="","",IF(C295&lt;1,"yes","no"))</f>
        <v/>
      </c>
      <c r="I295" s="8" t="str">
        <f aca="false">IF(C295="","",IF(C295&lt;2.6,"r75",IF(C295&lt;5.2,"r110",IF(C295&lt;9.9,"r150",IF(C295&lt;19.8,"r210","r300")))))</f>
        <v/>
      </c>
      <c r="M295" s="8" t="str">
        <f aca="false">IF($A295="","",IFERROR(IF(INDEX(O1_Community_Attributes!$V$1:$V$500,MATCH($A295,O1_Community_Attributes!$A$1:$A$500,0))="","",INDEX(O1_Community_Attributes!$V$1:$V$500,MATCH($A295,O1_Community_Attributes!$A$1:$A$500,0))),""))</f>
        <v/>
      </c>
      <c r="N295" s="8" t="str">
        <f aca="false">IF($A295="","",IFERROR(IF(INDEX(O1_Community_Attributes!$W$1:$W$500,MATCH($A295,O1_Community_Attributes!$A$1:$A$500,0))="","",INDEX(O1_Community_Attributes!$W$1:$W$500,MATCH($A295,O1_Community_Attributes!$A$1:$A$500,0))),""))</f>
        <v/>
      </c>
      <c r="O295" s="8" t="str">
        <f aca="false">IF($A295="","",IFERROR(IF(INDEX(O1_Community_Attributes!$X$1:$X$500,MATCH($A295,O1_Community_Attributes!$A$1:$A$500,0))="","",INDEX(O1_Community_Attributes!$X$1:$X$500,MATCH($A295,O1_Community_Attributes!$A$1:$A$500,0))),""))</f>
        <v/>
      </c>
      <c r="P295" s="8" t="str">
        <f aca="false">IF($A295="","",IFERROR(IF(INDEX(O1_Community_Attributes!$Y$1:$Y$500,MATCH($A295,O1_Community_Attributes!$A$1:$A$500,0))="","",INDEX(O1_Community_Attributes!$Y$1:$Y$500,MATCH($A295,O1_Community_Attributes!$A$1:$A$500,0))),""))</f>
        <v/>
      </c>
      <c r="Q295" s="8" t="str">
        <f aca="false">IF($A295="","",IFERROR(IF(INDEX(O1_Community_Attributes!$Z$1:$Z$500,MATCH($A295,O1_Community_Attributes!$A$1:$A$500,0))="","",INDEX(O1_Community_Attributes!$Z$1:$Z$500,MATCH($A295,O1_Community_Attributes!$A$1:$A$500,0))),""))</f>
        <v/>
      </c>
      <c r="R295" s="8" t="str">
        <f aca="false">IF($A295="","",IFERROR(IF(INDEX(O1_Community_Attributes!$BK$1:$BK$500,MATCH($A295,O1_Community_Attributes!$A$1:$A$500,0))="","",INDEX(O1_Community_Attributes!$BK$1:$BK$500,MATCH($A295,O1_Community_Attributes!$A$1:$A$500,0))),""))</f>
        <v/>
      </c>
      <c r="S295" s="8" t="str">
        <f aca="false">IF(OR($C295="",$M295=""),"",$M295/$C295)</f>
        <v/>
      </c>
      <c r="T295" s="8" t="str">
        <f aca="false">IF($C295="","",IF(AND($M295="",$P295=""),"",IF($M295="","B",IF(ABS($S295-1)&lt;=0.3,"A",IF(OR($S295&gt;2,$S295&lt;0.5),"C","B")))))</f>
        <v/>
      </c>
    </row>
    <row r="296" customFormat="false" ht="15" hidden="false" customHeight="true" outlineLevel="0" collapsed="false">
      <c r="H296" s="8" t="str">
        <f aca="false">IF(C296="","",IF(C296&lt;1,"yes","no"))</f>
        <v/>
      </c>
      <c r="I296" s="8" t="str">
        <f aca="false">IF(C296="","",IF(C296&lt;2.6,"r75",IF(C296&lt;5.2,"r110",IF(C296&lt;9.9,"r150",IF(C296&lt;19.8,"r210","r300")))))</f>
        <v/>
      </c>
      <c r="M296" s="8" t="str">
        <f aca="false">IF($A296="","",IFERROR(IF(INDEX(O1_Community_Attributes!$V$1:$V$500,MATCH($A296,O1_Community_Attributes!$A$1:$A$500,0))="","",INDEX(O1_Community_Attributes!$V$1:$V$500,MATCH($A296,O1_Community_Attributes!$A$1:$A$500,0))),""))</f>
        <v/>
      </c>
      <c r="N296" s="8" t="str">
        <f aca="false">IF($A296="","",IFERROR(IF(INDEX(O1_Community_Attributes!$W$1:$W$500,MATCH($A296,O1_Community_Attributes!$A$1:$A$500,0))="","",INDEX(O1_Community_Attributes!$W$1:$W$500,MATCH($A296,O1_Community_Attributes!$A$1:$A$500,0))),""))</f>
        <v/>
      </c>
      <c r="O296" s="8" t="str">
        <f aca="false">IF($A296="","",IFERROR(IF(INDEX(O1_Community_Attributes!$X$1:$X$500,MATCH($A296,O1_Community_Attributes!$A$1:$A$500,0))="","",INDEX(O1_Community_Attributes!$X$1:$X$500,MATCH($A296,O1_Community_Attributes!$A$1:$A$500,0))),""))</f>
        <v/>
      </c>
      <c r="P296" s="8" t="str">
        <f aca="false">IF($A296="","",IFERROR(IF(INDEX(O1_Community_Attributes!$Y$1:$Y$500,MATCH($A296,O1_Community_Attributes!$A$1:$A$500,0))="","",INDEX(O1_Community_Attributes!$Y$1:$Y$500,MATCH($A296,O1_Community_Attributes!$A$1:$A$500,0))),""))</f>
        <v/>
      </c>
      <c r="Q296" s="8" t="str">
        <f aca="false">IF($A296="","",IFERROR(IF(INDEX(O1_Community_Attributes!$Z$1:$Z$500,MATCH($A296,O1_Community_Attributes!$A$1:$A$500,0))="","",INDEX(O1_Community_Attributes!$Z$1:$Z$500,MATCH($A296,O1_Community_Attributes!$A$1:$A$500,0))),""))</f>
        <v/>
      </c>
      <c r="R296" s="8" t="str">
        <f aca="false">IF($A296="","",IFERROR(IF(INDEX(O1_Community_Attributes!$BK$1:$BK$500,MATCH($A296,O1_Community_Attributes!$A$1:$A$500,0))="","",INDEX(O1_Community_Attributes!$BK$1:$BK$500,MATCH($A296,O1_Community_Attributes!$A$1:$A$500,0))),""))</f>
        <v/>
      </c>
      <c r="S296" s="8" t="str">
        <f aca="false">IF(OR($C296="",$M296=""),"",$M296/$C296)</f>
        <v/>
      </c>
      <c r="T296" s="8" t="str">
        <f aca="false">IF($C296="","",IF(AND($M296="",$P296=""),"",IF($M296="","B",IF(ABS($S296-1)&lt;=0.3,"A",IF(OR($S296&gt;2,$S296&lt;0.5),"C","B")))))</f>
        <v/>
      </c>
    </row>
    <row r="297" customFormat="false" ht="15" hidden="false" customHeight="true" outlineLevel="0" collapsed="false">
      <c r="H297" s="8" t="str">
        <f aca="false">IF(C297="","",IF(C297&lt;1,"yes","no"))</f>
        <v/>
      </c>
      <c r="I297" s="8" t="str">
        <f aca="false">IF(C297="","",IF(C297&lt;2.6,"r75",IF(C297&lt;5.2,"r110",IF(C297&lt;9.9,"r150",IF(C297&lt;19.8,"r210","r300")))))</f>
        <v/>
      </c>
      <c r="M297" s="8" t="str">
        <f aca="false">IF($A297="","",IFERROR(IF(INDEX(O1_Community_Attributes!$V$1:$V$500,MATCH($A297,O1_Community_Attributes!$A$1:$A$500,0))="","",INDEX(O1_Community_Attributes!$V$1:$V$500,MATCH($A297,O1_Community_Attributes!$A$1:$A$500,0))),""))</f>
        <v/>
      </c>
      <c r="N297" s="8" t="str">
        <f aca="false">IF($A297="","",IFERROR(IF(INDEX(O1_Community_Attributes!$W$1:$W$500,MATCH($A297,O1_Community_Attributes!$A$1:$A$500,0))="","",INDEX(O1_Community_Attributes!$W$1:$W$500,MATCH($A297,O1_Community_Attributes!$A$1:$A$500,0))),""))</f>
        <v/>
      </c>
      <c r="O297" s="8" t="str">
        <f aca="false">IF($A297="","",IFERROR(IF(INDEX(O1_Community_Attributes!$X$1:$X$500,MATCH($A297,O1_Community_Attributes!$A$1:$A$500,0))="","",INDEX(O1_Community_Attributes!$X$1:$X$500,MATCH($A297,O1_Community_Attributes!$A$1:$A$500,0))),""))</f>
        <v/>
      </c>
      <c r="P297" s="8" t="str">
        <f aca="false">IF($A297="","",IFERROR(IF(INDEX(O1_Community_Attributes!$Y$1:$Y$500,MATCH($A297,O1_Community_Attributes!$A$1:$A$500,0))="","",INDEX(O1_Community_Attributes!$Y$1:$Y$500,MATCH($A297,O1_Community_Attributes!$A$1:$A$500,0))),""))</f>
        <v/>
      </c>
      <c r="Q297" s="8" t="str">
        <f aca="false">IF($A297="","",IFERROR(IF(INDEX(O1_Community_Attributes!$Z$1:$Z$500,MATCH($A297,O1_Community_Attributes!$A$1:$A$500,0))="","",INDEX(O1_Community_Attributes!$Z$1:$Z$500,MATCH($A297,O1_Community_Attributes!$A$1:$A$500,0))),""))</f>
        <v/>
      </c>
      <c r="R297" s="8" t="str">
        <f aca="false">IF($A297="","",IFERROR(IF(INDEX(O1_Community_Attributes!$BK$1:$BK$500,MATCH($A297,O1_Community_Attributes!$A$1:$A$500,0))="","",INDEX(O1_Community_Attributes!$BK$1:$BK$500,MATCH($A297,O1_Community_Attributes!$A$1:$A$500,0))),""))</f>
        <v/>
      </c>
      <c r="S297" s="8" t="str">
        <f aca="false">IF(OR($C297="",$M297=""),"",$M297/$C297)</f>
        <v/>
      </c>
      <c r="T297" s="8" t="str">
        <f aca="false">IF($C297="","",IF(AND($M297="",$P297=""),"",IF($M297="","B",IF(ABS($S297-1)&lt;=0.3,"A",IF(OR($S297&gt;2,$S297&lt;0.5),"C","B")))))</f>
        <v/>
      </c>
    </row>
    <row r="298" customFormat="false" ht="15" hidden="false" customHeight="true" outlineLevel="0" collapsed="false">
      <c r="H298" s="8" t="str">
        <f aca="false">IF(C298="","",IF(C298&lt;1,"yes","no"))</f>
        <v/>
      </c>
      <c r="I298" s="8" t="str">
        <f aca="false">IF(C298="","",IF(C298&lt;2.6,"r75",IF(C298&lt;5.2,"r110",IF(C298&lt;9.9,"r150",IF(C298&lt;19.8,"r210","r300")))))</f>
        <v/>
      </c>
      <c r="M298" s="8" t="str">
        <f aca="false">IF($A298="","",IFERROR(IF(INDEX(O1_Community_Attributes!$V$1:$V$500,MATCH($A298,O1_Community_Attributes!$A$1:$A$500,0))="","",INDEX(O1_Community_Attributes!$V$1:$V$500,MATCH($A298,O1_Community_Attributes!$A$1:$A$500,0))),""))</f>
        <v/>
      </c>
      <c r="N298" s="8" t="str">
        <f aca="false">IF($A298="","",IFERROR(IF(INDEX(O1_Community_Attributes!$W$1:$W$500,MATCH($A298,O1_Community_Attributes!$A$1:$A$500,0))="","",INDEX(O1_Community_Attributes!$W$1:$W$500,MATCH($A298,O1_Community_Attributes!$A$1:$A$500,0))),""))</f>
        <v/>
      </c>
      <c r="O298" s="8" t="str">
        <f aca="false">IF($A298="","",IFERROR(IF(INDEX(O1_Community_Attributes!$X$1:$X$500,MATCH($A298,O1_Community_Attributes!$A$1:$A$500,0))="","",INDEX(O1_Community_Attributes!$X$1:$X$500,MATCH($A298,O1_Community_Attributes!$A$1:$A$500,0))),""))</f>
        <v/>
      </c>
      <c r="P298" s="8" t="str">
        <f aca="false">IF($A298="","",IFERROR(IF(INDEX(O1_Community_Attributes!$Y$1:$Y$500,MATCH($A298,O1_Community_Attributes!$A$1:$A$500,0))="","",INDEX(O1_Community_Attributes!$Y$1:$Y$500,MATCH($A298,O1_Community_Attributes!$A$1:$A$500,0))),""))</f>
        <v/>
      </c>
      <c r="Q298" s="8" t="str">
        <f aca="false">IF($A298="","",IFERROR(IF(INDEX(O1_Community_Attributes!$Z$1:$Z$500,MATCH($A298,O1_Community_Attributes!$A$1:$A$500,0))="","",INDEX(O1_Community_Attributes!$Z$1:$Z$500,MATCH($A298,O1_Community_Attributes!$A$1:$A$500,0))),""))</f>
        <v/>
      </c>
      <c r="R298" s="8" t="str">
        <f aca="false">IF($A298="","",IFERROR(IF(INDEX(O1_Community_Attributes!$BK$1:$BK$500,MATCH($A298,O1_Community_Attributes!$A$1:$A$500,0))="","",INDEX(O1_Community_Attributes!$BK$1:$BK$500,MATCH($A298,O1_Community_Attributes!$A$1:$A$500,0))),""))</f>
        <v/>
      </c>
      <c r="S298" s="8" t="str">
        <f aca="false">IF(OR($C298="",$M298=""),"",$M298/$C298)</f>
        <v/>
      </c>
      <c r="T298" s="8" t="str">
        <f aca="false">IF($C298="","",IF(AND($M298="",$P298=""),"",IF($M298="","B",IF(ABS($S298-1)&lt;=0.3,"A",IF(OR($S298&gt;2,$S298&lt;0.5),"C","B")))))</f>
        <v/>
      </c>
    </row>
    <row r="299" customFormat="false" ht="15" hidden="false" customHeight="true" outlineLevel="0" collapsed="false">
      <c r="H299" s="8" t="str">
        <f aca="false">IF(C299="","",IF(C299&lt;1,"yes","no"))</f>
        <v/>
      </c>
      <c r="I299" s="8" t="str">
        <f aca="false">IF(C299="","",IF(C299&lt;2.6,"r75",IF(C299&lt;5.2,"r110",IF(C299&lt;9.9,"r150",IF(C299&lt;19.8,"r210","r300")))))</f>
        <v/>
      </c>
      <c r="M299" s="8" t="str">
        <f aca="false">IF($A299="","",IFERROR(IF(INDEX(O1_Community_Attributes!$V$1:$V$500,MATCH($A299,O1_Community_Attributes!$A$1:$A$500,0))="","",INDEX(O1_Community_Attributes!$V$1:$V$500,MATCH($A299,O1_Community_Attributes!$A$1:$A$500,0))),""))</f>
        <v/>
      </c>
      <c r="N299" s="8" t="str">
        <f aca="false">IF($A299="","",IFERROR(IF(INDEX(O1_Community_Attributes!$W$1:$W$500,MATCH($A299,O1_Community_Attributes!$A$1:$A$500,0))="","",INDEX(O1_Community_Attributes!$W$1:$W$500,MATCH($A299,O1_Community_Attributes!$A$1:$A$500,0))),""))</f>
        <v/>
      </c>
      <c r="O299" s="8" t="str">
        <f aca="false">IF($A299="","",IFERROR(IF(INDEX(O1_Community_Attributes!$X$1:$X$500,MATCH($A299,O1_Community_Attributes!$A$1:$A$500,0))="","",INDEX(O1_Community_Attributes!$X$1:$X$500,MATCH($A299,O1_Community_Attributes!$A$1:$A$500,0))),""))</f>
        <v/>
      </c>
      <c r="P299" s="8" t="str">
        <f aca="false">IF($A299="","",IFERROR(IF(INDEX(O1_Community_Attributes!$Y$1:$Y$500,MATCH($A299,O1_Community_Attributes!$A$1:$A$500,0))="","",INDEX(O1_Community_Attributes!$Y$1:$Y$500,MATCH($A299,O1_Community_Attributes!$A$1:$A$500,0))),""))</f>
        <v/>
      </c>
      <c r="Q299" s="8" t="str">
        <f aca="false">IF($A299="","",IFERROR(IF(INDEX(O1_Community_Attributes!$Z$1:$Z$500,MATCH($A299,O1_Community_Attributes!$A$1:$A$500,0))="","",INDEX(O1_Community_Attributes!$Z$1:$Z$500,MATCH($A299,O1_Community_Attributes!$A$1:$A$500,0))),""))</f>
        <v/>
      </c>
      <c r="R299" s="8" t="str">
        <f aca="false">IF($A299="","",IFERROR(IF(INDEX(O1_Community_Attributes!$BK$1:$BK$500,MATCH($A299,O1_Community_Attributes!$A$1:$A$500,0))="","",INDEX(O1_Community_Attributes!$BK$1:$BK$500,MATCH($A299,O1_Community_Attributes!$A$1:$A$500,0))),""))</f>
        <v/>
      </c>
      <c r="S299" s="8" t="str">
        <f aca="false">IF(OR($C299="",$M299=""),"",$M299/$C299)</f>
        <v/>
      </c>
      <c r="T299" s="8" t="str">
        <f aca="false">IF($C299="","",IF(AND($M299="",$P299=""),"",IF($M299="","B",IF(ABS($S299-1)&lt;=0.3,"A",IF(OR($S299&gt;2,$S299&lt;0.5),"C","B")))))</f>
        <v/>
      </c>
    </row>
    <row r="300" customFormat="false" ht="15" hidden="false" customHeight="true" outlineLevel="0" collapsed="false">
      <c r="H300" s="8" t="str">
        <f aca="false">IF(C300="","",IF(C300&lt;1,"yes","no"))</f>
        <v/>
      </c>
      <c r="I300" s="8" t="str">
        <f aca="false">IF(C300="","",IF(C300&lt;2.6,"r75",IF(C300&lt;5.2,"r110",IF(C300&lt;9.9,"r150",IF(C300&lt;19.8,"r210","r300")))))</f>
        <v/>
      </c>
      <c r="M300" s="8" t="str">
        <f aca="false">IF($A300="","",IFERROR(IF(INDEX(O1_Community_Attributes!$V$1:$V$500,MATCH($A300,O1_Community_Attributes!$A$1:$A$500,0))="","",INDEX(O1_Community_Attributes!$V$1:$V$500,MATCH($A300,O1_Community_Attributes!$A$1:$A$500,0))),""))</f>
        <v/>
      </c>
      <c r="N300" s="8" t="str">
        <f aca="false">IF($A300="","",IFERROR(IF(INDEX(O1_Community_Attributes!$W$1:$W$500,MATCH($A300,O1_Community_Attributes!$A$1:$A$500,0))="","",INDEX(O1_Community_Attributes!$W$1:$W$500,MATCH($A300,O1_Community_Attributes!$A$1:$A$500,0))),""))</f>
        <v/>
      </c>
      <c r="O300" s="8" t="str">
        <f aca="false">IF($A300="","",IFERROR(IF(INDEX(O1_Community_Attributes!$X$1:$X$500,MATCH($A300,O1_Community_Attributes!$A$1:$A$500,0))="","",INDEX(O1_Community_Attributes!$X$1:$X$500,MATCH($A300,O1_Community_Attributes!$A$1:$A$500,0))),""))</f>
        <v/>
      </c>
      <c r="P300" s="8" t="str">
        <f aca="false">IF($A300="","",IFERROR(IF(INDEX(O1_Community_Attributes!$Y$1:$Y$500,MATCH($A300,O1_Community_Attributes!$A$1:$A$500,0))="","",INDEX(O1_Community_Attributes!$Y$1:$Y$500,MATCH($A300,O1_Community_Attributes!$A$1:$A$500,0))),""))</f>
        <v/>
      </c>
      <c r="Q300" s="8" t="str">
        <f aca="false">IF($A300="","",IFERROR(IF(INDEX(O1_Community_Attributes!$Z$1:$Z$500,MATCH($A300,O1_Community_Attributes!$A$1:$A$500,0))="","",INDEX(O1_Community_Attributes!$Z$1:$Z$500,MATCH($A300,O1_Community_Attributes!$A$1:$A$500,0))),""))</f>
        <v/>
      </c>
      <c r="R300" s="8" t="str">
        <f aca="false">IF($A300="","",IFERROR(IF(INDEX(O1_Community_Attributes!$BK$1:$BK$500,MATCH($A300,O1_Community_Attributes!$A$1:$A$500,0))="","",INDEX(O1_Community_Attributes!$BK$1:$BK$500,MATCH($A300,O1_Community_Attributes!$A$1:$A$500,0))),""))</f>
        <v/>
      </c>
      <c r="S300" s="8" t="str">
        <f aca="false">IF(OR($C300="",$M300=""),"",$M300/$C300)</f>
        <v/>
      </c>
      <c r="T300" s="8" t="str">
        <f aca="false">IF($C300="","",IF(AND($M300="",$P300=""),"",IF($M300="","B",IF(ABS($S300-1)&lt;=0.3,"A",IF(OR($S300&gt;2,$S300&lt;0.5),"C","B")))))</f>
        <v/>
      </c>
    </row>
    <row r="301" customFormat="false" ht="15" hidden="false" customHeight="true" outlineLevel="0" collapsed="false">
      <c r="H301" s="8" t="str">
        <f aca="false">IF(C301="","",IF(C301&lt;1,"yes","no"))</f>
        <v/>
      </c>
      <c r="I301" s="8" t="str">
        <f aca="false">IF(C301="","",IF(C301&lt;2.6,"r75",IF(C301&lt;5.2,"r110",IF(C301&lt;9.9,"r150",IF(C301&lt;19.8,"r210","r300")))))</f>
        <v/>
      </c>
      <c r="M301" s="8" t="str">
        <f aca="false">IF($A301="","",IFERROR(IF(INDEX(O1_Community_Attributes!$V$1:$V$500,MATCH($A301,O1_Community_Attributes!$A$1:$A$500,0))="","",INDEX(O1_Community_Attributes!$V$1:$V$500,MATCH($A301,O1_Community_Attributes!$A$1:$A$500,0))),""))</f>
        <v/>
      </c>
      <c r="N301" s="8" t="str">
        <f aca="false">IF($A301="","",IFERROR(IF(INDEX(O1_Community_Attributes!$W$1:$W$500,MATCH($A301,O1_Community_Attributes!$A$1:$A$500,0))="","",INDEX(O1_Community_Attributes!$W$1:$W$500,MATCH($A301,O1_Community_Attributes!$A$1:$A$500,0))),""))</f>
        <v/>
      </c>
      <c r="O301" s="8" t="str">
        <f aca="false">IF($A301="","",IFERROR(IF(INDEX(O1_Community_Attributes!$X$1:$X$500,MATCH($A301,O1_Community_Attributes!$A$1:$A$500,0))="","",INDEX(O1_Community_Attributes!$X$1:$X$500,MATCH($A301,O1_Community_Attributes!$A$1:$A$500,0))),""))</f>
        <v/>
      </c>
      <c r="P301" s="8" t="str">
        <f aca="false">IF($A301="","",IFERROR(IF(INDEX(O1_Community_Attributes!$Y$1:$Y$500,MATCH($A301,O1_Community_Attributes!$A$1:$A$500,0))="","",INDEX(O1_Community_Attributes!$Y$1:$Y$500,MATCH($A301,O1_Community_Attributes!$A$1:$A$500,0))),""))</f>
        <v/>
      </c>
      <c r="Q301" s="8" t="str">
        <f aca="false">IF($A301="","",IFERROR(IF(INDEX(O1_Community_Attributes!$Z$1:$Z$500,MATCH($A301,O1_Community_Attributes!$A$1:$A$500,0))="","",INDEX(O1_Community_Attributes!$Z$1:$Z$500,MATCH($A301,O1_Community_Attributes!$A$1:$A$500,0))),""))</f>
        <v/>
      </c>
      <c r="R301" s="8" t="str">
        <f aca="false">IF($A301="","",IFERROR(IF(INDEX(O1_Community_Attributes!$BK$1:$BK$500,MATCH($A301,O1_Community_Attributes!$A$1:$A$500,0))="","",INDEX(O1_Community_Attributes!$BK$1:$BK$500,MATCH($A301,O1_Community_Attributes!$A$1:$A$500,0))),""))</f>
        <v/>
      </c>
      <c r="S301" s="8" t="str">
        <f aca="false">IF(OR($C301="",$M301=""),"",$M301/$C301)</f>
        <v/>
      </c>
      <c r="T301" s="8" t="str">
        <f aca="false">IF($C301="","",IF(AND($M301="",$P301=""),"",IF($M301="","B",IF(ABS($S301-1)&lt;=0.3,"A",IF(OR($S301&gt;2,$S301&lt;0.5),"C","B")))))</f>
        <v/>
      </c>
    </row>
    <row r="302" customFormat="false" ht="15" hidden="false" customHeight="true" outlineLevel="0" collapsed="false">
      <c r="H302" s="8" t="str">
        <f aca="false">IF(C302="","",IF(C302&lt;1,"yes","no"))</f>
        <v/>
      </c>
      <c r="I302" s="8" t="str">
        <f aca="false">IF(C302="","",IF(C302&lt;2.6,"r75",IF(C302&lt;5.2,"r110",IF(C302&lt;9.9,"r150",IF(C302&lt;19.8,"r210","r300")))))</f>
        <v/>
      </c>
      <c r="M302" s="8" t="str">
        <f aca="false">IF($A302="","",IFERROR(IF(INDEX(O1_Community_Attributes!$V$1:$V$500,MATCH($A302,O1_Community_Attributes!$A$1:$A$500,0))="","",INDEX(O1_Community_Attributes!$V$1:$V$500,MATCH($A302,O1_Community_Attributes!$A$1:$A$500,0))),""))</f>
        <v/>
      </c>
      <c r="N302" s="8" t="str">
        <f aca="false">IF($A302="","",IFERROR(IF(INDEX(O1_Community_Attributes!$W$1:$W$500,MATCH($A302,O1_Community_Attributes!$A$1:$A$500,0))="","",INDEX(O1_Community_Attributes!$W$1:$W$500,MATCH($A302,O1_Community_Attributes!$A$1:$A$500,0))),""))</f>
        <v/>
      </c>
      <c r="O302" s="8" t="str">
        <f aca="false">IF($A302="","",IFERROR(IF(INDEX(O1_Community_Attributes!$X$1:$X$500,MATCH($A302,O1_Community_Attributes!$A$1:$A$500,0))="","",INDEX(O1_Community_Attributes!$X$1:$X$500,MATCH($A302,O1_Community_Attributes!$A$1:$A$500,0))),""))</f>
        <v/>
      </c>
      <c r="P302" s="8" t="str">
        <f aca="false">IF($A302="","",IFERROR(IF(INDEX(O1_Community_Attributes!$Y$1:$Y$500,MATCH($A302,O1_Community_Attributes!$A$1:$A$500,0))="","",INDEX(O1_Community_Attributes!$Y$1:$Y$500,MATCH($A302,O1_Community_Attributes!$A$1:$A$500,0))),""))</f>
        <v/>
      </c>
      <c r="Q302" s="8" t="str">
        <f aca="false">IF($A302="","",IFERROR(IF(INDEX(O1_Community_Attributes!$Z$1:$Z$500,MATCH($A302,O1_Community_Attributes!$A$1:$A$500,0))="","",INDEX(O1_Community_Attributes!$Z$1:$Z$500,MATCH($A302,O1_Community_Attributes!$A$1:$A$500,0))),""))</f>
        <v/>
      </c>
      <c r="R302" s="8" t="str">
        <f aca="false">IF($A302="","",IFERROR(IF(INDEX(O1_Community_Attributes!$BK$1:$BK$500,MATCH($A302,O1_Community_Attributes!$A$1:$A$500,0))="","",INDEX(O1_Community_Attributes!$BK$1:$BK$500,MATCH($A302,O1_Community_Attributes!$A$1:$A$500,0))),""))</f>
        <v/>
      </c>
      <c r="S302" s="8" t="str">
        <f aca="false">IF(OR($C302="",$M302=""),"",$M302/$C302)</f>
        <v/>
      </c>
      <c r="T302" s="8" t="str">
        <f aca="false">IF($C302="","",IF(AND($M302="",$P302=""),"",IF($M302="","B",IF(ABS($S302-1)&lt;=0.3,"A",IF(OR($S302&gt;2,$S302&lt;0.5),"C","B")))))</f>
        <v/>
      </c>
    </row>
    <row r="303" customFormat="false" ht="15" hidden="false" customHeight="true" outlineLevel="0" collapsed="false">
      <c r="H303" s="8" t="str">
        <f aca="false">IF(C303="","",IF(C303&lt;1,"yes","no"))</f>
        <v/>
      </c>
      <c r="I303" s="8" t="str">
        <f aca="false">IF(C303="","",IF(C303&lt;2.6,"r75",IF(C303&lt;5.2,"r110",IF(C303&lt;9.9,"r150",IF(C303&lt;19.8,"r210","r300")))))</f>
        <v/>
      </c>
      <c r="M303" s="8" t="str">
        <f aca="false">IF($A303="","",IFERROR(IF(INDEX(O1_Community_Attributes!$V$1:$V$500,MATCH($A303,O1_Community_Attributes!$A$1:$A$500,0))="","",INDEX(O1_Community_Attributes!$V$1:$V$500,MATCH($A303,O1_Community_Attributes!$A$1:$A$500,0))),""))</f>
        <v/>
      </c>
      <c r="N303" s="8" t="str">
        <f aca="false">IF($A303="","",IFERROR(IF(INDEX(O1_Community_Attributes!$W$1:$W$500,MATCH($A303,O1_Community_Attributes!$A$1:$A$500,0))="","",INDEX(O1_Community_Attributes!$W$1:$W$500,MATCH($A303,O1_Community_Attributes!$A$1:$A$500,0))),""))</f>
        <v/>
      </c>
      <c r="O303" s="8" t="str">
        <f aca="false">IF($A303="","",IFERROR(IF(INDEX(O1_Community_Attributes!$X$1:$X$500,MATCH($A303,O1_Community_Attributes!$A$1:$A$500,0))="","",INDEX(O1_Community_Attributes!$X$1:$X$500,MATCH($A303,O1_Community_Attributes!$A$1:$A$500,0))),""))</f>
        <v/>
      </c>
      <c r="P303" s="8" t="str">
        <f aca="false">IF($A303="","",IFERROR(IF(INDEX(O1_Community_Attributes!$Y$1:$Y$500,MATCH($A303,O1_Community_Attributes!$A$1:$A$500,0))="","",INDEX(O1_Community_Attributes!$Y$1:$Y$500,MATCH($A303,O1_Community_Attributes!$A$1:$A$500,0))),""))</f>
        <v/>
      </c>
      <c r="Q303" s="8" t="str">
        <f aca="false">IF($A303="","",IFERROR(IF(INDEX(O1_Community_Attributes!$Z$1:$Z$500,MATCH($A303,O1_Community_Attributes!$A$1:$A$500,0))="","",INDEX(O1_Community_Attributes!$Z$1:$Z$500,MATCH($A303,O1_Community_Attributes!$A$1:$A$500,0))),""))</f>
        <v/>
      </c>
      <c r="R303" s="8" t="str">
        <f aca="false">IF($A303="","",IFERROR(IF(INDEX(O1_Community_Attributes!$BK$1:$BK$500,MATCH($A303,O1_Community_Attributes!$A$1:$A$500,0))="","",INDEX(O1_Community_Attributes!$BK$1:$BK$500,MATCH($A303,O1_Community_Attributes!$A$1:$A$500,0))),""))</f>
        <v/>
      </c>
      <c r="S303" s="8" t="str">
        <f aca="false">IF(OR($C303="",$M303=""),"",$M303/$C303)</f>
        <v/>
      </c>
      <c r="T303" s="8" t="str">
        <f aca="false">IF($C303="","",IF(AND($M303="",$P303=""),"",IF($M303="","B",IF(ABS($S303-1)&lt;=0.3,"A",IF(OR($S303&gt;2,$S303&lt;0.5),"C","B")))))</f>
        <v/>
      </c>
    </row>
    <row r="304" customFormat="false" ht="15" hidden="false" customHeight="true" outlineLevel="0" collapsed="false">
      <c r="H304" s="8" t="str">
        <f aca="false">IF(C304="","",IF(C304&lt;1,"yes","no"))</f>
        <v/>
      </c>
      <c r="I304" s="8" t="str">
        <f aca="false">IF(C304="","",IF(C304&lt;2.6,"r75",IF(C304&lt;5.2,"r110",IF(C304&lt;9.9,"r150",IF(C304&lt;19.8,"r210","r300")))))</f>
        <v/>
      </c>
      <c r="M304" s="8" t="str">
        <f aca="false">IF($A304="","",IFERROR(IF(INDEX(O1_Community_Attributes!$V$1:$V$500,MATCH($A304,O1_Community_Attributes!$A$1:$A$500,0))="","",INDEX(O1_Community_Attributes!$V$1:$V$500,MATCH($A304,O1_Community_Attributes!$A$1:$A$500,0))),""))</f>
        <v/>
      </c>
      <c r="N304" s="8" t="str">
        <f aca="false">IF($A304="","",IFERROR(IF(INDEX(O1_Community_Attributes!$W$1:$W$500,MATCH($A304,O1_Community_Attributes!$A$1:$A$500,0))="","",INDEX(O1_Community_Attributes!$W$1:$W$500,MATCH($A304,O1_Community_Attributes!$A$1:$A$500,0))),""))</f>
        <v/>
      </c>
      <c r="O304" s="8" t="str">
        <f aca="false">IF($A304="","",IFERROR(IF(INDEX(O1_Community_Attributes!$X$1:$X$500,MATCH($A304,O1_Community_Attributes!$A$1:$A$500,0))="","",INDEX(O1_Community_Attributes!$X$1:$X$500,MATCH($A304,O1_Community_Attributes!$A$1:$A$500,0))),""))</f>
        <v/>
      </c>
      <c r="P304" s="8" t="str">
        <f aca="false">IF($A304="","",IFERROR(IF(INDEX(O1_Community_Attributes!$Y$1:$Y$500,MATCH($A304,O1_Community_Attributes!$A$1:$A$500,0))="","",INDEX(O1_Community_Attributes!$Y$1:$Y$500,MATCH($A304,O1_Community_Attributes!$A$1:$A$500,0))),""))</f>
        <v/>
      </c>
      <c r="Q304" s="8" t="str">
        <f aca="false">IF($A304="","",IFERROR(IF(INDEX(O1_Community_Attributes!$Z$1:$Z$500,MATCH($A304,O1_Community_Attributes!$A$1:$A$500,0))="","",INDEX(O1_Community_Attributes!$Z$1:$Z$500,MATCH($A304,O1_Community_Attributes!$A$1:$A$500,0))),""))</f>
        <v/>
      </c>
      <c r="R304" s="8" t="str">
        <f aca="false">IF($A304="","",IFERROR(IF(INDEX(O1_Community_Attributes!$BK$1:$BK$500,MATCH($A304,O1_Community_Attributes!$A$1:$A$500,0))="","",INDEX(O1_Community_Attributes!$BK$1:$BK$500,MATCH($A304,O1_Community_Attributes!$A$1:$A$500,0))),""))</f>
        <v/>
      </c>
      <c r="S304" s="8" t="str">
        <f aca="false">IF(OR($C304="",$M304=""),"",$M304/$C304)</f>
        <v/>
      </c>
      <c r="T304" s="8" t="str">
        <f aca="false">IF($C304="","",IF(AND($M304="",$P304=""),"",IF($M304="","B",IF(ABS($S304-1)&lt;=0.3,"A",IF(OR($S304&gt;2,$S304&lt;0.5),"C","B")))))</f>
        <v/>
      </c>
    </row>
    <row r="305" customFormat="false" ht="15" hidden="false" customHeight="true" outlineLevel="0" collapsed="false">
      <c r="H305" s="8" t="str">
        <f aca="false">IF(C305="","",IF(C305&lt;1,"yes","no"))</f>
        <v/>
      </c>
      <c r="I305" s="8" t="str">
        <f aca="false">IF(C305="","",IF(C305&lt;2.6,"r75",IF(C305&lt;5.2,"r110",IF(C305&lt;9.9,"r150",IF(C305&lt;19.8,"r210","r300")))))</f>
        <v/>
      </c>
      <c r="M305" s="8" t="str">
        <f aca="false">IF($A305="","",IFERROR(IF(INDEX(O1_Community_Attributes!$V$1:$V$500,MATCH($A305,O1_Community_Attributes!$A$1:$A$500,0))="","",INDEX(O1_Community_Attributes!$V$1:$V$500,MATCH($A305,O1_Community_Attributes!$A$1:$A$500,0))),""))</f>
        <v/>
      </c>
      <c r="N305" s="8" t="str">
        <f aca="false">IF($A305="","",IFERROR(IF(INDEX(O1_Community_Attributes!$W$1:$W$500,MATCH($A305,O1_Community_Attributes!$A$1:$A$500,0))="","",INDEX(O1_Community_Attributes!$W$1:$W$500,MATCH($A305,O1_Community_Attributes!$A$1:$A$500,0))),""))</f>
        <v/>
      </c>
      <c r="O305" s="8" t="str">
        <f aca="false">IF($A305="","",IFERROR(IF(INDEX(O1_Community_Attributes!$X$1:$X$500,MATCH($A305,O1_Community_Attributes!$A$1:$A$500,0))="","",INDEX(O1_Community_Attributes!$X$1:$X$500,MATCH($A305,O1_Community_Attributes!$A$1:$A$500,0))),""))</f>
        <v/>
      </c>
      <c r="P305" s="8" t="str">
        <f aca="false">IF($A305="","",IFERROR(IF(INDEX(O1_Community_Attributes!$Y$1:$Y$500,MATCH($A305,O1_Community_Attributes!$A$1:$A$500,0))="","",INDEX(O1_Community_Attributes!$Y$1:$Y$500,MATCH($A305,O1_Community_Attributes!$A$1:$A$500,0))),""))</f>
        <v/>
      </c>
      <c r="Q305" s="8" t="str">
        <f aca="false">IF($A305="","",IFERROR(IF(INDEX(O1_Community_Attributes!$Z$1:$Z$500,MATCH($A305,O1_Community_Attributes!$A$1:$A$500,0))="","",INDEX(O1_Community_Attributes!$Z$1:$Z$500,MATCH($A305,O1_Community_Attributes!$A$1:$A$500,0))),""))</f>
        <v/>
      </c>
      <c r="R305" s="8" t="str">
        <f aca="false">IF($A305="","",IFERROR(IF(INDEX(O1_Community_Attributes!$BK$1:$BK$500,MATCH($A305,O1_Community_Attributes!$A$1:$A$500,0))="","",INDEX(O1_Community_Attributes!$BK$1:$BK$500,MATCH($A305,O1_Community_Attributes!$A$1:$A$500,0))),""))</f>
        <v/>
      </c>
      <c r="S305" s="8" t="str">
        <f aca="false">IF(OR($C305="",$M305=""),"",$M305/$C305)</f>
        <v/>
      </c>
      <c r="T305" s="8" t="str">
        <f aca="false">IF($C305="","",IF(AND($M305="",$P305=""),"",IF($M305="","B",IF(ABS($S305-1)&lt;=0.3,"A",IF(OR($S305&gt;2,$S305&lt;0.5),"C","B")))))</f>
        <v/>
      </c>
    </row>
    <row r="306" customFormat="false" ht="15" hidden="false" customHeight="true" outlineLevel="0" collapsed="false">
      <c r="H306" s="8" t="str">
        <f aca="false">IF(C306="","",IF(C306&lt;1,"yes","no"))</f>
        <v/>
      </c>
      <c r="I306" s="8" t="str">
        <f aca="false">IF(C306="","",IF(C306&lt;2.6,"r75",IF(C306&lt;5.2,"r110",IF(C306&lt;9.9,"r150",IF(C306&lt;19.8,"r210","r300")))))</f>
        <v/>
      </c>
      <c r="M306" s="8" t="str">
        <f aca="false">IF($A306="","",IFERROR(IF(INDEX(O1_Community_Attributes!$V$1:$V$500,MATCH($A306,O1_Community_Attributes!$A$1:$A$500,0))="","",INDEX(O1_Community_Attributes!$V$1:$V$500,MATCH($A306,O1_Community_Attributes!$A$1:$A$500,0))),""))</f>
        <v/>
      </c>
      <c r="N306" s="8" t="str">
        <f aca="false">IF($A306="","",IFERROR(IF(INDEX(O1_Community_Attributes!$W$1:$W$500,MATCH($A306,O1_Community_Attributes!$A$1:$A$500,0))="","",INDEX(O1_Community_Attributes!$W$1:$W$500,MATCH($A306,O1_Community_Attributes!$A$1:$A$500,0))),""))</f>
        <v/>
      </c>
      <c r="O306" s="8" t="str">
        <f aca="false">IF($A306="","",IFERROR(IF(INDEX(O1_Community_Attributes!$X$1:$X$500,MATCH($A306,O1_Community_Attributes!$A$1:$A$500,0))="","",INDEX(O1_Community_Attributes!$X$1:$X$500,MATCH($A306,O1_Community_Attributes!$A$1:$A$500,0))),""))</f>
        <v/>
      </c>
      <c r="P306" s="8" t="str">
        <f aca="false">IF($A306="","",IFERROR(IF(INDEX(O1_Community_Attributes!$Y$1:$Y$500,MATCH($A306,O1_Community_Attributes!$A$1:$A$500,0))="","",INDEX(O1_Community_Attributes!$Y$1:$Y$500,MATCH($A306,O1_Community_Attributes!$A$1:$A$500,0))),""))</f>
        <v/>
      </c>
      <c r="Q306" s="8" t="str">
        <f aca="false">IF($A306="","",IFERROR(IF(INDEX(O1_Community_Attributes!$Z$1:$Z$500,MATCH($A306,O1_Community_Attributes!$A$1:$A$500,0))="","",INDEX(O1_Community_Attributes!$Z$1:$Z$500,MATCH($A306,O1_Community_Attributes!$A$1:$A$500,0))),""))</f>
        <v/>
      </c>
      <c r="R306" s="8" t="str">
        <f aca="false">IF($A306="","",IFERROR(IF(INDEX(O1_Community_Attributes!$BK$1:$BK$500,MATCH($A306,O1_Community_Attributes!$A$1:$A$500,0))="","",INDEX(O1_Community_Attributes!$BK$1:$BK$500,MATCH($A306,O1_Community_Attributes!$A$1:$A$500,0))),""))</f>
        <v/>
      </c>
      <c r="S306" s="8" t="str">
        <f aca="false">IF(OR($C306="",$M306=""),"",$M306/$C306)</f>
        <v/>
      </c>
      <c r="T306" s="8" t="str">
        <f aca="false">IF($C306="","",IF(AND($M306="",$P306=""),"",IF($M306="","B",IF(ABS($S306-1)&lt;=0.3,"A",IF(OR($S306&gt;2,$S306&lt;0.5),"C","B")))))</f>
        <v/>
      </c>
    </row>
    <row r="307" customFormat="false" ht="15" hidden="false" customHeight="true" outlineLevel="0" collapsed="false">
      <c r="H307" s="8" t="str">
        <f aca="false">IF(C307="","",IF(C307&lt;1,"yes","no"))</f>
        <v/>
      </c>
      <c r="I307" s="8" t="str">
        <f aca="false">IF(C307="","",IF(C307&lt;2.6,"r75",IF(C307&lt;5.2,"r110",IF(C307&lt;9.9,"r150",IF(C307&lt;19.8,"r210","r300")))))</f>
        <v/>
      </c>
      <c r="M307" s="8" t="str">
        <f aca="false">IF($A307="","",IFERROR(IF(INDEX(O1_Community_Attributes!$V$1:$V$500,MATCH($A307,O1_Community_Attributes!$A$1:$A$500,0))="","",INDEX(O1_Community_Attributes!$V$1:$V$500,MATCH($A307,O1_Community_Attributes!$A$1:$A$500,0))),""))</f>
        <v/>
      </c>
      <c r="N307" s="8" t="str">
        <f aca="false">IF($A307="","",IFERROR(IF(INDEX(O1_Community_Attributes!$W$1:$W$500,MATCH($A307,O1_Community_Attributes!$A$1:$A$500,0))="","",INDEX(O1_Community_Attributes!$W$1:$W$500,MATCH($A307,O1_Community_Attributes!$A$1:$A$500,0))),""))</f>
        <v/>
      </c>
      <c r="O307" s="8" t="str">
        <f aca="false">IF($A307="","",IFERROR(IF(INDEX(O1_Community_Attributes!$X$1:$X$500,MATCH($A307,O1_Community_Attributes!$A$1:$A$500,0))="","",INDEX(O1_Community_Attributes!$X$1:$X$500,MATCH($A307,O1_Community_Attributes!$A$1:$A$500,0))),""))</f>
        <v/>
      </c>
      <c r="P307" s="8" t="str">
        <f aca="false">IF($A307="","",IFERROR(IF(INDEX(O1_Community_Attributes!$Y$1:$Y$500,MATCH($A307,O1_Community_Attributes!$A$1:$A$500,0))="","",INDEX(O1_Community_Attributes!$Y$1:$Y$500,MATCH($A307,O1_Community_Attributes!$A$1:$A$500,0))),""))</f>
        <v/>
      </c>
      <c r="Q307" s="8" t="str">
        <f aca="false">IF($A307="","",IFERROR(IF(INDEX(O1_Community_Attributes!$Z$1:$Z$500,MATCH($A307,O1_Community_Attributes!$A$1:$A$500,0))="","",INDEX(O1_Community_Attributes!$Z$1:$Z$500,MATCH($A307,O1_Community_Attributes!$A$1:$A$500,0))),""))</f>
        <v/>
      </c>
      <c r="R307" s="8" t="str">
        <f aca="false">IF($A307="","",IFERROR(IF(INDEX(O1_Community_Attributes!$BK$1:$BK$500,MATCH($A307,O1_Community_Attributes!$A$1:$A$500,0))="","",INDEX(O1_Community_Attributes!$BK$1:$BK$500,MATCH($A307,O1_Community_Attributes!$A$1:$A$500,0))),""))</f>
        <v/>
      </c>
      <c r="S307" s="8" t="str">
        <f aca="false">IF(OR($C307="",$M307=""),"",$M307/$C307)</f>
        <v/>
      </c>
      <c r="T307" s="8" t="str">
        <f aca="false">IF($C307="","",IF(AND($M307="",$P307=""),"",IF($M307="","B",IF(ABS($S307-1)&lt;=0.3,"A",IF(OR($S307&gt;2,$S307&lt;0.5),"C","B")))))</f>
        <v/>
      </c>
    </row>
    <row r="308" customFormat="false" ht="15" hidden="false" customHeight="true" outlineLevel="0" collapsed="false">
      <c r="H308" s="8" t="str">
        <f aca="false">IF(C308="","",IF(C308&lt;1,"yes","no"))</f>
        <v/>
      </c>
      <c r="I308" s="8" t="str">
        <f aca="false">IF(C308="","",IF(C308&lt;2.6,"r75",IF(C308&lt;5.2,"r110",IF(C308&lt;9.9,"r150",IF(C308&lt;19.8,"r210","r300")))))</f>
        <v/>
      </c>
      <c r="M308" s="8" t="str">
        <f aca="false">IF($A308="","",IFERROR(IF(INDEX(O1_Community_Attributes!$V$1:$V$500,MATCH($A308,O1_Community_Attributes!$A$1:$A$500,0))="","",INDEX(O1_Community_Attributes!$V$1:$V$500,MATCH($A308,O1_Community_Attributes!$A$1:$A$500,0))),""))</f>
        <v/>
      </c>
      <c r="N308" s="8" t="str">
        <f aca="false">IF($A308="","",IFERROR(IF(INDEX(O1_Community_Attributes!$W$1:$W$500,MATCH($A308,O1_Community_Attributes!$A$1:$A$500,0))="","",INDEX(O1_Community_Attributes!$W$1:$W$500,MATCH($A308,O1_Community_Attributes!$A$1:$A$500,0))),""))</f>
        <v/>
      </c>
      <c r="O308" s="8" t="str">
        <f aca="false">IF($A308="","",IFERROR(IF(INDEX(O1_Community_Attributes!$X$1:$X$500,MATCH($A308,O1_Community_Attributes!$A$1:$A$500,0))="","",INDEX(O1_Community_Attributes!$X$1:$X$500,MATCH($A308,O1_Community_Attributes!$A$1:$A$500,0))),""))</f>
        <v/>
      </c>
      <c r="P308" s="8" t="str">
        <f aca="false">IF($A308="","",IFERROR(IF(INDEX(O1_Community_Attributes!$Y$1:$Y$500,MATCH($A308,O1_Community_Attributes!$A$1:$A$500,0))="","",INDEX(O1_Community_Attributes!$Y$1:$Y$500,MATCH($A308,O1_Community_Attributes!$A$1:$A$500,0))),""))</f>
        <v/>
      </c>
      <c r="Q308" s="8" t="str">
        <f aca="false">IF($A308="","",IFERROR(IF(INDEX(O1_Community_Attributes!$Z$1:$Z$500,MATCH($A308,O1_Community_Attributes!$A$1:$A$500,0))="","",INDEX(O1_Community_Attributes!$Z$1:$Z$500,MATCH($A308,O1_Community_Attributes!$A$1:$A$500,0))),""))</f>
        <v/>
      </c>
      <c r="R308" s="8" t="str">
        <f aca="false">IF($A308="","",IFERROR(IF(INDEX(O1_Community_Attributes!$BK$1:$BK$500,MATCH($A308,O1_Community_Attributes!$A$1:$A$500,0))="","",INDEX(O1_Community_Attributes!$BK$1:$BK$500,MATCH($A308,O1_Community_Attributes!$A$1:$A$500,0))),""))</f>
        <v/>
      </c>
      <c r="S308" s="8" t="str">
        <f aca="false">IF(OR($C308="",$M308=""),"",$M308/$C308)</f>
        <v/>
      </c>
      <c r="T308" s="8" t="str">
        <f aca="false">IF($C308="","",IF(AND($M308="",$P308=""),"",IF($M308="","B",IF(ABS($S308-1)&lt;=0.3,"A",IF(OR($S308&gt;2,$S308&lt;0.5),"C","B")))))</f>
        <v/>
      </c>
    </row>
    <row r="309" customFormat="false" ht="15" hidden="false" customHeight="true" outlineLevel="0" collapsed="false">
      <c r="H309" s="8" t="str">
        <f aca="false">IF(C309="","",IF(C309&lt;1,"yes","no"))</f>
        <v/>
      </c>
      <c r="I309" s="8" t="str">
        <f aca="false">IF(C309="","",IF(C309&lt;2.6,"r75",IF(C309&lt;5.2,"r110",IF(C309&lt;9.9,"r150",IF(C309&lt;19.8,"r210","r300")))))</f>
        <v/>
      </c>
      <c r="M309" s="8" t="str">
        <f aca="false">IF($A309="","",IFERROR(IF(INDEX(O1_Community_Attributes!$V$1:$V$500,MATCH($A309,O1_Community_Attributes!$A$1:$A$500,0))="","",INDEX(O1_Community_Attributes!$V$1:$V$500,MATCH($A309,O1_Community_Attributes!$A$1:$A$500,0))),""))</f>
        <v/>
      </c>
      <c r="N309" s="8" t="str">
        <f aca="false">IF($A309="","",IFERROR(IF(INDEX(O1_Community_Attributes!$W$1:$W$500,MATCH($A309,O1_Community_Attributes!$A$1:$A$500,0))="","",INDEX(O1_Community_Attributes!$W$1:$W$500,MATCH($A309,O1_Community_Attributes!$A$1:$A$500,0))),""))</f>
        <v/>
      </c>
      <c r="O309" s="8" t="str">
        <f aca="false">IF($A309="","",IFERROR(IF(INDEX(O1_Community_Attributes!$X$1:$X$500,MATCH($A309,O1_Community_Attributes!$A$1:$A$500,0))="","",INDEX(O1_Community_Attributes!$X$1:$X$500,MATCH($A309,O1_Community_Attributes!$A$1:$A$500,0))),""))</f>
        <v/>
      </c>
      <c r="P309" s="8" t="str">
        <f aca="false">IF($A309="","",IFERROR(IF(INDEX(O1_Community_Attributes!$Y$1:$Y$500,MATCH($A309,O1_Community_Attributes!$A$1:$A$500,0))="","",INDEX(O1_Community_Attributes!$Y$1:$Y$500,MATCH($A309,O1_Community_Attributes!$A$1:$A$500,0))),""))</f>
        <v/>
      </c>
      <c r="Q309" s="8" t="str">
        <f aca="false">IF($A309="","",IFERROR(IF(INDEX(O1_Community_Attributes!$Z$1:$Z$500,MATCH($A309,O1_Community_Attributes!$A$1:$A$500,0))="","",INDEX(O1_Community_Attributes!$Z$1:$Z$500,MATCH($A309,O1_Community_Attributes!$A$1:$A$500,0))),""))</f>
        <v/>
      </c>
      <c r="R309" s="8" t="str">
        <f aca="false">IF($A309="","",IFERROR(IF(INDEX(O1_Community_Attributes!$BK$1:$BK$500,MATCH($A309,O1_Community_Attributes!$A$1:$A$500,0))="","",INDEX(O1_Community_Attributes!$BK$1:$BK$500,MATCH($A309,O1_Community_Attributes!$A$1:$A$500,0))),""))</f>
        <v/>
      </c>
      <c r="S309" s="8" t="str">
        <f aca="false">IF(OR($C309="",$M309=""),"",$M309/$C309)</f>
        <v/>
      </c>
      <c r="T309" s="8" t="str">
        <f aca="false">IF($C309="","",IF(AND($M309="",$P309=""),"",IF($M309="","B",IF(ABS($S309-1)&lt;=0.3,"A",IF(OR($S309&gt;2,$S309&lt;0.5),"C","B")))))</f>
        <v/>
      </c>
    </row>
    <row r="310" customFormat="false" ht="15" hidden="false" customHeight="true" outlineLevel="0" collapsed="false">
      <c r="H310" s="8" t="str">
        <f aca="false">IF(C310="","",IF(C310&lt;1,"yes","no"))</f>
        <v/>
      </c>
      <c r="I310" s="8" t="str">
        <f aca="false">IF(C310="","",IF(C310&lt;2.6,"r75",IF(C310&lt;5.2,"r110",IF(C310&lt;9.9,"r150",IF(C310&lt;19.8,"r210","r300")))))</f>
        <v/>
      </c>
      <c r="M310" s="8" t="str">
        <f aca="false">IF($A310="","",IFERROR(IF(INDEX(O1_Community_Attributes!$V$1:$V$500,MATCH($A310,O1_Community_Attributes!$A$1:$A$500,0))="","",INDEX(O1_Community_Attributes!$V$1:$V$500,MATCH($A310,O1_Community_Attributes!$A$1:$A$500,0))),""))</f>
        <v/>
      </c>
      <c r="N310" s="8" t="str">
        <f aca="false">IF($A310="","",IFERROR(IF(INDEX(O1_Community_Attributes!$W$1:$W$500,MATCH($A310,O1_Community_Attributes!$A$1:$A$500,0))="","",INDEX(O1_Community_Attributes!$W$1:$W$500,MATCH($A310,O1_Community_Attributes!$A$1:$A$500,0))),""))</f>
        <v/>
      </c>
      <c r="O310" s="8" t="str">
        <f aca="false">IF($A310="","",IFERROR(IF(INDEX(O1_Community_Attributes!$X$1:$X$500,MATCH($A310,O1_Community_Attributes!$A$1:$A$500,0))="","",INDEX(O1_Community_Attributes!$X$1:$X$500,MATCH($A310,O1_Community_Attributes!$A$1:$A$500,0))),""))</f>
        <v/>
      </c>
      <c r="P310" s="8" t="str">
        <f aca="false">IF($A310="","",IFERROR(IF(INDEX(O1_Community_Attributes!$Y$1:$Y$500,MATCH($A310,O1_Community_Attributes!$A$1:$A$500,0))="","",INDEX(O1_Community_Attributes!$Y$1:$Y$500,MATCH($A310,O1_Community_Attributes!$A$1:$A$500,0))),""))</f>
        <v/>
      </c>
      <c r="Q310" s="8" t="str">
        <f aca="false">IF($A310="","",IFERROR(IF(INDEX(O1_Community_Attributes!$Z$1:$Z$500,MATCH($A310,O1_Community_Attributes!$A$1:$A$500,0))="","",INDEX(O1_Community_Attributes!$Z$1:$Z$500,MATCH($A310,O1_Community_Attributes!$A$1:$A$500,0))),""))</f>
        <v/>
      </c>
      <c r="R310" s="8" t="str">
        <f aca="false">IF($A310="","",IFERROR(IF(INDEX(O1_Community_Attributes!$BK$1:$BK$500,MATCH($A310,O1_Community_Attributes!$A$1:$A$500,0))="","",INDEX(O1_Community_Attributes!$BK$1:$BK$500,MATCH($A310,O1_Community_Attributes!$A$1:$A$500,0))),""))</f>
        <v/>
      </c>
      <c r="S310" s="8" t="str">
        <f aca="false">IF(OR($C310="",$M310=""),"",$M310/$C310)</f>
        <v/>
      </c>
      <c r="T310" s="8" t="str">
        <f aca="false">IF($C310="","",IF(AND($M310="",$P310=""),"",IF($M310="","B",IF(ABS($S310-1)&lt;=0.3,"A",IF(OR($S310&gt;2,$S310&lt;0.5),"C","B")))))</f>
        <v/>
      </c>
    </row>
    <row r="311" customFormat="false" ht="15" hidden="false" customHeight="true" outlineLevel="0" collapsed="false">
      <c r="H311" s="8" t="str">
        <f aca="false">IF(C311="","",IF(C311&lt;1,"yes","no"))</f>
        <v/>
      </c>
      <c r="I311" s="8" t="str">
        <f aca="false">IF(C311="","",IF(C311&lt;2.6,"r75",IF(C311&lt;5.2,"r110",IF(C311&lt;9.9,"r150",IF(C311&lt;19.8,"r210","r300")))))</f>
        <v/>
      </c>
      <c r="M311" s="8" t="str">
        <f aca="false">IF($A311="","",IFERROR(IF(INDEX(O1_Community_Attributes!$V$1:$V$500,MATCH($A311,O1_Community_Attributes!$A$1:$A$500,0))="","",INDEX(O1_Community_Attributes!$V$1:$V$500,MATCH($A311,O1_Community_Attributes!$A$1:$A$500,0))),""))</f>
        <v/>
      </c>
      <c r="N311" s="8" t="str">
        <f aca="false">IF($A311="","",IFERROR(IF(INDEX(O1_Community_Attributes!$W$1:$W$500,MATCH($A311,O1_Community_Attributes!$A$1:$A$500,0))="","",INDEX(O1_Community_Attributes!$W$1:$W$500,MATCH($A311,O1_Community_Attributes!$A$1:$A$500,0))),""))</f>
        <v/>
      </c>
      <c r="O311" s="8" t="str">
        <f aca="false">IF($A311="","",IFERROR(IF(INDEX(O1_Community_Attributes!$X$1:$X$500,MATCH($A311,O1_Community_Attributes!$A$1:$A$500,0))="","",INDEX(O1_Community_Attributes!$X$1:$X$500,MATCH($A311,O1_Community_Attributes!$A$1:$A$500,0))),""))</f>
        <v/>
      </c>
      <c r="P311" s="8" t="str">
        <f aca="false">IF($A311="","",IFERROR(IF(INDEX(O1_Community_Attributes!$Y$1:$Y$500,MATCH($A311,O1_Community_Attributes!$A$1:$A$500,0))="","",INDEX(O1_Community_Attributes!$Y$1:$Y$500,MATCH($A311,O1_Community_Attributes!$A$1:$A$500,0))),""))</f>
        <v/>
      </c>
      <c r="Q311" s="8" t="str">
        <f aca="false">IF($A311="","",IFERROR(IF(INDEX(O1_Community_Attributes!$Z$1:$Z$500,MATCH($A311,O1_Community_Attributes!$A$1:$A$500,0))="","",INDEX(O1_Community_Attributes!$Z$1:$Z$500,MATCH($A311,O1_Community_Attributes!$A$1:$A$500,0))),""))</f>
        <v/>
      </c>
      <c r="R311" s="8" t="str">
        <f aca="false">IF($A311="","",IFERROR(IF(INDEX(O1_Community_Attributes!$BK$1:$BK$500,MATCH($A311,O1_Community_Attributes!$A$1:$A$500,0))="","",INDEX(O1_Community_Attributes!$BK$1:$BK$500,MATCH($A311,O1_Community_Attributes!$A$1:$A$500,0))),""))</f>
        <v/>
      </c>
      <c r="S311" s="8" t="str">
        <f aca="false">IF(OR($C311="",$M311=""),"",$M311/$C311)</f>
        <v/>
      </c>
      <c r="T311" s="8" t="str">
        <f aca="false">IF($C311="","",IF(AND($M311="",$P311=""),"",IF($M311="","B",IF(ABS($S311-1)&lt;=0.3,"A",IF(OR($S311&gt;2,$S311&lt;0.5),"C","B")))))</f>
        <v/>
      </c>
    </row>
    <row r="312" customFormat="false" ht="15" hidden="false" customHeight="true" outlineLevel="0" collapsed="false">
      <c r="H312" s="8" t="str">
        <f aca="false">IF(C312="","",IF(C312&lt;1,"yes","no"))</f>
        <v/>
      </c>
      <c r="I312" s="8" t="str">
        <f aca="false">IF(C312="","",IF(C312&lt;2.6,"r75",IF(C312&lt;5.2,"r110",IF(C312&lt;9.9,"r150",IF(C312&lt;19.8,"r210","r300")))))</f>
        <v/>
      </c>
      <c r="M312" s="8" t="str">
        <f aca="false">IF($A312="","",IFERROR(IF(INDEX(O1_Community_Attributes!$V$1:$V$500,MATCH($A312,O1_Community_Attributes!$A$1:$A$500,0))="","",INDEX(O1_Community_Attributes!$V$1:$V$500,MATCH($A312,O1_Community_Attributes!$A$1:$A$500,0))),""))</f>
        <v/>
      </c>
      <c r="N312" s="8" t="str">
        <f aca="false">IF($A312="","",IFERROR(IF(INDEX(O1_Community_Attributes!$W$1:$W$500,MATCH($A312,O1_Community_Attributes!$A$1:$A$500,0))="","",INDEX(O1_Community_Attributes!$W$1:$W$500,MATCH($A312,O1_Community_Attributes!$A$1:$A$500,0))),""))</f>
        <v/>
      </c>
      <c r="O312" s="8" t="str">
        <f aca="false">IF($A312="","",IFERROR(IF(INDEX(O1_Community_Attributes!$X$1:$X$500,MATCH($A312,O1_Community_Attributes!$A$1:$A$500,0))="","",INDEX(O1_Community_Attributes!$X$1:$X$500,MATCH($A312,O1_Community_Attributes!$A$1:$A$500,0))),""))</f>
        <v/>
      </c>
      <c r="P312" s="8" t="str">
        <f aca="false">IF($A312="","",IFERROR(IF(INDEX(O1_Community_Attributes!$Y$1:$Y$500,MATCH($A312,O1_Community_Attributes!$A$1:$A$500,0))="","",INDEX(O1_Community_Attributes!$Y$1:$Y$500,MATCH($A312,O1_Community_Attributes!$A$1:$A$500,0))),""))</f>
        <v/>
      </c>
      <c r="Q312" s="8" t="str">
        <f aca="false">IF($A312="","",IFERROR(IF(INDEX(O1_Community_Attributes!$Z$1:$Z$500,MATCH($A312,O1_Community_Attributes!$A$1:$A$500,0))="","",INDEX(O1_Community_Attributes!$Z$1:$Z$500,MATCH($A312,O1_Community_Attributes!$A$1:$A$500,0))),""))</f>
        <v/>
      </c>
      <c r="R312" s="8" t="str">
        <f aca="false">IF($A312="","",IFERROR(IF(INDEX(O1_Community_Attributes!$BK$1:$BK$500,MATCH($A312,O1_Community_Attributes!$A$1:$A$500,0))="","",INDEX(O1_Community_Attributes!$BK$1:$BK$500,MATCH($A312,O1_Community_Attributes!$A$1:$A$500,0))),""))</f>
        <v/>
      </c>
      <c r="S312" s="8" t="str">
        <f aca="false">IF(OR($C312="",$M312=""),"",$M312/$C312)</f>
        <v/>
      </c>
      <c r="T312" s="8" t="str">
        <f aca="false">IF($C312="","",IF(AND($M312="",$P312=""),"",IF($M312="","B",IF(ABS($S312-1)&lt;=0.3,"A",IF(OR($S312&gt;2,$S312&lt;0.5),"C","B")))))</f>
        <v/>
      </c>
    </row>
    <row r="313" customFormat="false" ht="15" hidden="false" customHeight="true" outlineLevel="0" collapsed="false">
      <c r="H313" s="8" t="str">
        <f aca="false">IF(C313="","",IF(C313&lt;1,"yes","no"))</f>
        <v/>
      </c>
      <c r="I313" s="8" t="str">
        <f aca="false">IF(C313="","",IF(C313&lt;2.6,"r75",IF(C313&lt;5.2,"r110",IF(C313&lt;9.9,"r150",IF(C313&lt;19.8,"r210","r300")))))</f>
        <v/>
      </c>
      <c r="M313" s="8" t="str">
        <f aca="false">IF($A313="","",IFERROR(IF(INDEX(O1_Community_Attributes!$V$1:$V$500,MATCH($A313,O1_Community_Attributes!$A$1:$A$500,0))="","",INDEX(O1_Community_Attributes!$V$1:$V$500,MATCH($A313,O1_Community_Attributes!$A$1:$A$500,0))),""))</f>
        <v/>
      </c>
      <c r="N313" s="8" t="str">
        <f aca="false">IF($A313="","",IFERROR(IF(INDEX(O1_Community_Attributes!$W$1:$W$500,MATCH($A313,O1_Community_Attributes!$A$1:$A$500,0))="","",INDEX(O1_Community_Attributes!$W$1:$W$500,MATCH($A313,O1_Community_Attributes!$A$1:$A$500,0))),""))</f>
        <v/>
      </c>
      <c r="O313" s="8" t="str">
        <f aca="false">IF($A313="","",IFERROR(IF(INDEX(O1_Community_Attributes!$X$1:$X$500,MATCH($A313,O1_Community_Attributes!$A$1:$A$500,0))="","",INDEX(O1_Community_Attributes!$X$1:$X$500,MATCH($A313,O1_Community_Attributes!$A$1:$A$500,0))),""))</f>
        <v/>
      </c>
      <c r="P313" s="8" t="str">
        <f aca="false">IF($A313="","",IFERROR(IF(INDEX(O1_Community_Attributes!$Y$1:$Y$500,MATCH($A313,O1_Community_Attributes!$A$1:$A$500,0))="","",INDEX(O1_Community_Attributes!$Y$1:$Y$500,MATCH($A313,O1_Community_Attributes!$A$1:$A$500,0))),""))</f>
        <v/>
      </c>
      <c r="Q313" s="8" t="str">
        <f aca="false">IF($A313="","",IFERROR(IF(INDEX(O1_Community_Attributes!$Z$1:$Z$500,MATCH($A313,O1_Community_Attributes!$A$1:$A$500,0))="","",INDEX(O1_Community_Attributes!$Z$1:$Z$500,MATCH($A313,O1_Community_Attributes!$A$1:$A$500,0))),""))</f>
        <v/>
      </c>
      <c r="R313" s="8" t="str">
        <f aca="false">IF($A313="","",IFERROR(IF(INDEX(O1_Community_Attributes!$BK$1:$BK$500,MATCH($A313,O1_Community_Attributes!$A$1:$A$500,0))="","",INDEX(O1_Community_Attributes!$BK$1:$BK$500,MATCH($A313,O1_Community_Attributes!$A$1:$A$500,0))),""))</f>
        <v/>
      </c>
      <c r="S313" s="8" t="str">
        <f aca="false">IF(OR($C313="",$M313=""),"",$M313/$C313)</f>
        <v/>
      </c>
      <c r="T313" s="8" t="str">
        <f aca="false">IF($C313="","",IF(AND($M313="",$P313=""),"",IF($M313="","B",IF(ABS($S313-1)&lt;=0.3,"A",IF(OR($S313&gt;2,$S313&lt;0.5),"C","B")))))</f>
        <v/>
      </c>
    </row>
    <row r="314" customFormat="false" ht="15" hidden="false" customHeight="true" outlineLevel="0" collapsed="false">
      <c r="H314" s="8" t="str">
        <f aca="false">IF(C314="","",IF(C314&lt;1,"yes","no"))</f>
        <v/>
      </c>
      <c r="I314" s="8" t="str">
        <f aca="false">IF(C314="","",IF(C314&lt;2.6,"r75",IF(C314&lt;5.2,"r110",IF(C314&lt;9.9,"r150",IF(C314&lt;19.8,"r210","r300")))))</f>
        <v/>
      </c>
      <c r="M314" s="8" t="str">
        <f aca="false">IF($A314="","",IFERROR(IF(INDEX(O1_Community_Attributes!$V$1:$V$500,MATCH($A314,O1_Community_Attributes!$A$1:$A$500,0))="","",INDEX(O1_Community_Attributes!$V$1:$V$500,MATCH($A314,O1_Community_Attributes!$A$1:$A$500,0))),""))</f>
        <v/>
      </c>
      <c r="N314" s="8" t="str">
        <f aca="false">IF($A314="","",IFERROR(IF(INDEX(O1_Community_Attributes!$W$1:$W$500,MATCH($A314,O1_Community_Attributes!$A$1:$A$500,0))="","",INDEX(O1_Community_Attributes!$W$1:$W$500,MATCH($A314,O1_Community_Attributes!$A$1:$A$500,0))),""))</f>
        <v/>
      </c>
      <c r="O314" s="8" t="str">
        <f aca="false">IF($A314="","",IFERROR(IF(INDEX(O1_Community_Attributes!$X$1:$X$500,MATCH($A314,O1_Community_Attributes!$A$1:$A$500,0))="","",INDEX(O1_Community_Attributes!$X$1:$X$500,MATCH($A314,O1_Community_Attributes!$A$1:$A$500,0))),""))</f>
        <v/>
      </c>
      <c r="P314" s="8" t="str">
        <f aca="false">IF($A314="","",IFERROR(IF(INDEX(O1_Community_Attributes!$Y$1:$Y$500,MATCH($A314,O1_Community_Attributes!$A$1:$A$500,0))="","",INDEX(O1_Community_Attributes!$Y$1:$Y$500,MATCH($A314,O1_Community_Attributes!$A$1:$A$500,0))),""))</f>
        <v/>
      </c>
      <c r="Q314" s="8" t="str">
        <f aca="false">IF($A314="","",IFERROR(IF(INDEX(O1_Community_Attributes!$Z$1:$Z$500,MATCH($A314,O1_Community_Attributes!$A$1:$A$500,0))="","",INDEX(O1_Community_Attributes!$Z$1:$Z$500,MATCH($A314,O1_Community_Attributes!$A$1:$A$500,0))),""))</f>
        <v/>
      </c>
      <c r="R314" s="8" t="str">
        <f aca="false">IF($A314="","",IFERROR(IF(INDEX(O1_Community_Attributes!$BK$1:$BK$500,MATCH($A314,O1_Community_Attributes!$A$1:$A$500,0))="","",INDEX(O1_Community_Attributes!$BK$1:$BK$500,MATCH($A314,O1_Community_Attributes!$A$1:$A$500,0))),""))</f>
        <v/>
      </c>
      <c r="S314" s="8" t="str">
        <f aca="false">IF(OR($C314="",$M314=""),"",$M314/$C314)</f>
        <v/>
      </c>
      <c r="T314" s="8" t="str">
        <f aca="false">IF($C314="","",IF(AND($M314="",$P314=""),"",IF($M314="","B",IF(ABS($S314-1)&lt;=0.3,"A",IF(OR($S314&gt;2,$S314&lt;0.5),"C","B")))))</f>
        <v/>
      </c>
    </row>
    <row r="315" customFormat="false" ht="15" hidden="false" customHeight="true" outlineLevel="0" collapsed="false">
      <c r="H315" s="8" t="str">
        <f aca="false">IF(C315="","",IF(C315&lt;1,"yes","no"))</f>
        <v/>
      </c>
      <c r="I315" s="8" t="str">
        <f aca="false">IF(C315="","",IF(C315&lt;2.6,"r75",IF(C315&lt;5.2,"r110",IF(C315&lt;9.9,"r150",IF(C315&lt;19.8,"r210","r300")))))</f>
        <v/>
      </c>
      <c r="M315" s="8" t="str">
        <f aca="false">IF($A315="","",IFERROR(IF(INDEX(O1_Community_Attributes!$V$1:$V$500,MATCH($A315,O1_Community_Attributes!$A$1:$A$500,0))="","",INDEX(O1_Community_Attributes!$V$1:$V$500,MATCH($A315,O1_Community_Attributes!$A$1:$A$500,0))),""))</f>
        <v/>
      </c>
      <c r="N315" s="8" t="str">
        <f aca="false">IF($A315="","",IFERROR(IF(INDEX(O1_Community_Attributes!$W$1:$W$500,MATCH($A315,O1_Community_Attributes!$A$1:$A$500,0))="","",INDEX(O1_Community_Attributes!$W$1:$W$500,MATCH($A315,O1_Community_Attributes!$A$1:$A$500,0))),""))</f>
        <v/>
      </c>
      <c r="O315" s="8" t="str">
        <f aca="false">IF($A315="","",IFERROR(IF(INDEX(O1_Community_Attributes!$X$1:$X$500,MATCH($A315,O1_Community_Attributes!$A$1:$A$500,0))="","",INDEX(O1_Community_Attributes!$X$1:$X$500,MATCH($A315,O1_Community_Attributes!$A$1:$A$500,0))),""))</f>
        <v/>
      </c>
      <c r="P315" s="8" t="str">
        <f aca="false">IF($A315="","",IFERROR(IF(INDEX(O1_Community_Attributes!$Y$1:$Y$500,MATCH($A315,O1_Community_Attributes!$A$1:$A$500,0))="","",INDEX(O1_Community_Attributes!$Y$1:$Y$500,MATCH($A315,O1_Community_Attributes!$A$1:$A$500,0))),""))</f>
        <v/>
      </c>
      <c r="Q315" s="8" t="str">
        <f aca="false">IF($A315="","",IFERROR(IF(INDEX(O1_Community_Attributes!$Z$1:$Z$500,MATCH($A315,O1_Community_Attributes!$A$1:$A$500,0))="","",INDEX(O1_Community_Attributes!$Z$1:$Z$500,MATCH($A315,O1_Community_Attributes!$A$1:$A$500,0))),""))</f>
        <v/>
      </c>
      <c r="R315" s="8" t="str">
        <f aca="false">IF($A315="","",IFERROR(IF(INDEX(O1_Community_Attributes!$BK$1:$BK$500,MATCH($A315,O1_Community_Attributes!$A$1:$A$500,0))="","",INDEX(O1_Community_Attributes!$BK$1:$BK$500,MATCH($A315,O1_Community_Attributes!$A$1:$A$500,0))),""))</f>
        <v/>
      </c>
      <c r="S315" s="8" t="str">
        <f aca="false">IF(OR($C315="",$M315=""),"",$M315/$C315)</f>
        <v/>
      </c>
      <c r="T315" s="8" t="str">
        <f aca="false">IF($C315="","",IF(AND($M315="",$P315=""),"",IF($M315="","B",IF(ABS($S315-1)&lt;=0.3,"A",IF(OR($S315&gt;2,$S315&lt;0.5),"C","B")))))</f>
        <v/>
      </c>
    </row>
    <row r="316" customFormat="false" ht="15" hidden="false" customHeight="true" outlineLevel="0" collapsed="false">
      <c r="H316" s="8" t="str">
        <f aca="false">IF(C316="","",IF(C316&lt;1,"yes","no"))</f>
        <v/>
      </c>
      <c r="I316" s="8" t="str">
        <f aca="false">IF(C316="","",IF(C316&lt;2.6,"r75",IF(C316&lt;5.2,"r110",IF(C316&lt;9.9,"r150",IF(C316&lt;19.8,"r210","r300")))))</f>
        <v/>
      </c>
      <c r="M316" s="8" t="str">
        <f aca="false">IF($A316="","",IFERROR(IF(INDEX(O1_Community_Attributes!$V$1:$V$500,MATCH($A316,O1_Community_Attributes!$A$1:$A$500,0))="","",INDEX(O1_Community_Attributes!$V$1:$V$500,MATCH($A316,O1_Community_Attributes!$A$1:$A$500,0))),""))</f>
        <v/>
      </c>
      <c r="N316" s="8" t="str">
        <f aca="false">IF($A316="","",IFERROR(IF(INDEX(O1_Community_Attributes!$W$1:$W$500,MATCH($A316,O1_Community_Attributes!$A$1:$A$500,0))="","",INDEX(O1_Community_Attributes!$W$1:$W$500,MATCH($A316,O1_Community_Attributes!$A$1:$A$500,0))),""))</f>
        <v/>
      </c>
      <c r="O316" s="8" t="str">
        <f aca="false">IF($A316="","",IFERROR(IF(INDEX(O1_Community_Attributes!$X$1:$X$500,MATCH($A316,O1_Community_Attributes!$A$1:$A$500,0))="","",INDEX(O1_Community_Attributes!$X$1:$X$500,MATCH($A316,O1_Community_Attributes!$A$1:$A$500,0))),""))</f>
        <v/>
      </c>
      <c r="P316" s="8" t="str">
        <f aca="false">IF($A316="","",IFERROR(IF(INDEX(O1_Community_Attributes!$Y$1:$Y$500,MATCH($A316,O1_Community_Attributes!$A$1:$A$500,0))="","",INDEX(O1_Community_Attributes!$Y$1:$Y$500,MATCH($A316,O1_Community_Attributes!$A$1:$A$500,0))),""))</f>
        <v/>
      </c>
      <c r="Q316" s="8" t="str">
        <f aca="false">IF($A316="","",IFERROR(IF(INDEX(O1_Community_Attributes!$Z$1:$Z$500,MATCH($A316,O1_Community_Attributes!$A$1:$A$500,0))="","",INDEX(O1_Community_Attributes!$Z$1:$Z$500,MATCH($A316,O1_Community_Attributes!$A$1:$A$500,0))),""))</f>
        <v/>
      </c>
      <c r="R316" s="8" t="str">
        <f aca="false">IF($A316="","",IFERROR(IF(INDEX(O1_Community_Attributes!$BK$1:$BK$500,MATCH($A316,O1_Community_Attributes!$A$1:$A$500,0))="","",INDEX(O1_Community_Attributes!$BK$1:$BK$500,MATCH($A316,O1_Community_Attributes!$A$1:$A$500,0))),""))</f>
        <v/>
      </c>
      <c r="S316" s="8" t="str">
        <f aca="false">IF(OR($C316="",$M316=""),"",$M316/$C316)</f>
        <v/>
      </c>
      <c r="T316" s="8" t="str">
        <f aca="false">IF($C316="","",IF(AND($M316="",$P316=""),"",IF($M316="","B",IF(ABS($S316-1)&lt;=0.3,"A",IF(OR($S316&gt;2,$S316&lt;0.5),"C","B")))))</f>
        <v/>
      </c>
    </row>
    <row r="317" customFormat="false" ht="15" hidden="false" customHeight="true" outlineLevel="0" collapsed="false">
      <c r="H317" s="8" t="str">
        <f aca="false">IF(C317="","",IF(C317&lt;1,"yes","no"))</f>
        <v/>
      </c>
      <c r="I317" s="8" t="str">
        <f aca="false">IF(C317="","",IF(C317&lt;2.6,"r75",IF(C317&lt;5.2,"r110",IF(C317&lt;9.9,"r150",IF(C317&lt;19.8,"r210","r300")))))</f>
        <v/>
      </c>
      <c r="M317" s="8" t="str">
        <f aca="false">IF($A317="","",IFERROR(IF(INDEX(O1_Community_Attributes!$V$1:$V$500,MATCH($A317,O1_Community_Attributes!$A$1:$A$500,0))="","",INDEX(O1_Community_Attributes!$V$1:$V$500,MATCH($A317,O1_Community_Attributes!$A$1:$A$500,0))),""))</f>
        <v/>
      </c>
      <c r="N317" s="8" t="str">
        <f aca="false">IF($A317="","",IFERROR(IF(INDEX(O1_Community_Attributes!$W$1:$W$500,MATCH($A317,O1_Community_Attributes!$A$1:$A$500,0))="","",INDEX(O1_Community_Attributes!$W$1:$W$500,MATCH($A317,O1_Community_Attributes!$A$1:$A$500,0))),""))</f>
        <v/>
      </c>
      <c r="O317" s="8" t="str">
        <f aca="false">IF($A317="","",IFERROR(IF(INDEX(O1_Community_Attributes!$X$1:$X$500,MATCH($A317,O1_Community_Attributes!$A$1:$A$500,0))="","",INDEX(O1_Community_Attributes!$X$1:$X$500,MATCH($A317,O1_Community_Attributes!$A$1:$A$500,0))),""))</f>
        <v/>
      </c>
      <c r="P317" s="8" t="str">
        <f aca="false">IF($A317="","",IFERROR(IF(INDEX(O1_Community_Attributes!$Y$1:$Y$500,MATCH($A317,O1_Community_Attributes!$A$1:$A$500,0))="","",INDEX(O1_Community_Attributes!$Y$1:$Y$500,MATCH($A317,O1_Community_Attributes!$A$1:$A$500,0))),""))</f>
        <v/>
      </c>
      <c r="Q317" s="8" t="str">
        <f aca="false">IF($A317="","",IFERROR(IF(INDEX(O1_Community_Attributes!$Z$1:$Z$500,MATCH($A317,O1_Community_Attributes!$A$1:$A$500,0))="","",INDEX(O1_Community_Attributes!$Z$1:$Z$500,MATCH($A317,O1_Community_Attributes!$A$1:$A$500,0))),""))</f>
        <v/>
      </c>
      <c r="R317" s="8" t="str">
        <f aca="false">IF($A317="","",IFERROR(IF(INDEX(O1_Community_Attributes!$BK$1:$BK$500,MATCH($A317,O1_Community_Attributes!$A$1:$A$500,0))="","",INDEX(O1_Community_Attributes!$BK$1:$BK$500,MATCH($A317,O1_Community_Attributes!$A$1:$A$500,0))),""))</f>
        <v/>
      </c>
      <c r="S317" s="8" t="str">
        <f aca="false">IF(OR($C317="",$M317=""),"",$M317/$C317)</f>
        <v/>
      </c>
      <c r="T317" s="8" t="str">
        <f aca="false">IF($C317="","",IF(AND($M317="",$P317=""),"",IF($M317="","B",IF(ABS($S317-1)&lt;=0.3,"A",IF(OR($S317&gt;2,$S317&lt;0.5),"C","B")))))</f>
        <v/>
      </c>
    </row>
    <row r="318" customFormat="false" ht="15" hidden="false" customHeight="true" outlineLevel="0" collapsed="false">
      <c r="H318" s="8" t="str">
        <f aca="false">IF(C318="","",IF(C318&lt;1,"yes","no"))</f>
        <v/>
      </c>
      <c r="I318" s="8" t="str">
        <f aca="false">IF(C318="","",IF(C318&lt;2.6,"r75",IF(C318&lt;5.2,"r110",IF(C318&lt;9.9,"r150",IF(C318&lt;19.8,"r210","r300")))))</f>
        <v/>
      </c>
      <c r="M318" s="8" t="str">
        <f aca="false">IF($A318="","",IFERROR(IF(INDEX(O1_Community_Attributes!$V$1:$V$500,MATCH($A318,O1_Community_Attributes!$A$1:$A$500,0))="","",INDEX(O1_Community_Attributes!$V$1:$V$500,MATCH($A318,O1_Community_Attributes!$A$1:$A$500,0))),""))</f>
        <v/>
      </c>
      <c r="N318" s="8" t="str">
        <f aca="false">IF($A318="","",IFERROR(IF(INDEX(O1_Community_Attributes!$W$1:$W$500,MATCH($A318,O1_Community_Attributes!$A$1:$A$500,0))="","",INDEX(O1_Community_Attributes!$W$1:$W$500,MATCH($A318,O1_Community_Attributes!$A$1:$A$500,0))),""))</f>
        <v/>
      </c>
      <c r="O318" s="8" t="str">
        <f aca="false">IF($A318="","",IFERROR(IF(INDEX(O1_Community_Attributes!$X$1:$X$500,MATCH($A318,O1_Community_Attributes!$A$1:$A$500,0))="","",INDEX(O1_Community_Attributes!$X$1:$X$500,MATCH($A318,O1_Community_Attributes!$A$1:$A$500,0))),""))</f>
        <v/>
      </c>
      <c r="P318" s="8" t="str">
        <f aca="false">IF($A318="","",IFERROR(IF(INDEX(O1_Community_Attributes!$Y$1:$Y$500,MATCH($A318,O1_Community_Attributes!$A$1:$A$500,0))="","",INDEX(O1_Community_Attributes!$Y$1:$Y$500,MATCH($A318,O1_Community_Attributes!$A$1:$A$500,0))),""))</f>
        <v/>
      </c>
      <c r="Q318" s="8" t="str">
        <f aca="false">IF($A318="","",IFERROR(IF(INDEX(O1_Community_Attributes!$Z$1:$Z$500,MATCH($A318,O1_Community_Attributes!$A$1:$A$500,0))="","",INDEX(O1_Community_Attributes!$Z$1:$Z$500,MATCH($A318,O1_Community_Attributes!$A$1:$A$500,0))),""))</f>
        <v/>
      </c>
      <c r="R318" s="8" t="str">
        <f aca="false">IF($A318="","",IFERROR(IF(INDEX(O1_Community_Attributes!$BK$1:$BK$500,MATCH($A318,O1_Community_Attributes!$A$1:$A$500,0))="","",INDEX(O1_Community_Attributes!$BK$1:$BK$500,MATCH($A318,O1_Community_Attributes!$A$1:$A$500,0))),""))</f>
        <v/>
      </c>
      <c r="S318" s="8" t="str">
        <f aca="false">IF(OR($C318="",$M318=""),"",$M318/$C318)</f>
        <v/>
      </c>
      <c r="T318" s="8" t="str">
        <f aca="false">IF($C318="","",IF(AND($M318="",$P318=""),"",IF($M318="","B",IF(ABS($S318-1)&lt;=0.3,"A",IF(OR($S318&gt;2,$S318&lt;0.5),"C","B")))))</f>
        <v/>
      </c>
    </row>
    <row r="319" customFormat="false" ht="15" hidden="false" customHeight="true" outlineLevel="0" collapsed="false">
      <c r="H319" s="8" t="str">
        <f aca="false">IF(C319="","",IF(C319&lt;1,"yes","no"))</f>
        <v/>
      </c>
      <c r="I319" s="8" t="str">
        <f aca="false">IF(C319="","",IF(C319&lt;2.6,"r75",IF(C319&lt;5.2,"r110",IF(C319&lt;9.9,"r150",IF(C319&lt;19.8,"r210","r300")))))</f>
        <v/>
      </c>
      <c r="M319" s="8" t="str">
        <f aca="false">IF($A319="","",IFERROR(IF(INDEX(O1_Community_Attributes!$V$1:$V$500,MATCH($A319,O1_Community_Attributes!$A$1:$A$500,0))="","",INDEX(O1_Community_Attributes!$V$1:$V$500,MATCH($A319,O1_Community_Attributes!$A$1:$A$500,0))),""))</f>
        <v/>
      </c>
      <c r="N319" s="8" t="str">
        <f aca="false">IF($A319="","",IFERROR(IF(INDEX(O1_Community_Attributes!$W$1:$W$500,MATCH($A319,O1_Community_Attributes!$A$1:$A$500,0))="","",INDEX(O1_Community_Attributes!$W$1:$W$500,MATCH($A319,O1_Community_Attributes!$A$1:$A$500,0))),""))</f>
        <v/>
      </c>
      <c r="O319" s="8" t="str">
        <f aca="false">IF($A319="","",IFERROR(IF(INDEX(O1_Community_Attributes!$X$1:$X$500,MATCH($A319,O1_Community_Attributes!$A$1:$A$500,0))="","",INDEX(O1_Community_Attributes!$X$1:$X$500,MATCH($A319,O1_Community_Attributes!$A$1:$A$500,0))),""))</f>
        <v/>
      </c>
      <c r="P319" s="8" t="str">
        <f aca="false">IF($A319="","",IFERROR(IF(INDEX(O1_Community_Attributes!$Y$1:$Y$500,MATCH($A319,O1_Community_Attributes!$A$1:$A$500,0))="","",INDEX(O1_Community_Attributes!$Y$1:$Y$500,MATCH($A319,O1_Community_Attributes!$A$1:$A$500,0))),""))</f>
        <v/>
      </c>
      <c r="Q319" s="8" t="str">
        <f aca="false">IF($A319="","",IFERROR(IF(INDEX(O1_Community_Attributes!$Z$1:$Z$500,MATCH($A319,O1_Community_Attributes!$A$1:$A$500,0))="","",INDEX(O1_Community_Attributes!$Z$1:$Z$500,MATCH($A319,O1_Community_Attributes!$A$1:$A$500,0))),""))</f>
        <v/>
      </c>
      <c r="R319" s="8" t="str">
        <f aca="false">IF($A319="","",IFERROR(IF(INDEX(O1_Community_Attributes!$BK$1:$BK$500,MATCH($A319,O1_Community_Attributes!$A$1:$A$500,0))="","",INDEX(O1_Community_Attributes!$BK$1:$BK$500,MATCH($A319,O1_Community_Attributes!$A$1:$A$500,0))),""))</f>
        <v/>
      </c>
      <c r="S319" s="8" t="str">
        <f aca="false">IF(OR($C319="",$M319=""),"",$M319/$C319)</f>
        <v/>
      </c>
      <c r="T319" s="8" t="str">
        <f aca="false">IF($C319="","",IF(AND($M319="",$P319=""),"",IF($M319="","B",IF(ABS($S319-1)&lt;=0.3,"A",IF(OR($S319&gt;2,$S319&lt;0.5),"C","B")))))</f>
        <v/>
      </c>
    </row>
    <row r="320" customFormat="false" ht="15" hidden="false" customHeight="true" outlineLevel="0" collapsed="false">
      <c r="H320" s="8" t="str">
        <f aca="false">IF(C320="","",IF(C320&lt;1,"yes","no"))</f>
        <v/>
      </c>
      <c r="I320" s="8" t="str">
        <f aca="false">IF(C320="","",IF(C320&lt;2.6,"r75",IF(C320&lt;5.2,"r110",IF(C320&lt;9.9,"r150",IF(C320&lt;19.8,"r210","r300")))))</f>
        <v/>
      </c>
      <c r="M320" s="8" t="str">
        <f aca="false">IF($A320="","",IFERROR(IF(INDEX(O1_Community_Attributes!$V$1:$V$500,MATCH($A320,O1_Community_Attributes!$A$1:$A$500,0))="","",INDEX(O1_Community_Attributes!$V$1:$V$500,MATCH($A320,O1_Community_Attributes!$A$1:$A$500,0))),""))</f>
        <v/>
      </c>
      <c r="N320" s="8" t="str">
        <f aca="false">IF($A320="","",IFERROR(IF(INDEX(O1_Community_Attributes!$W$1:$W$500,MATCH($A320,O1_Community_Attributes!$A$1:$A$500,0))="","",INDEX(O1_Community_Attributes!$W$1:$W$500,MATCH($A320,O1_Community_Attributes!$A$1:$A$500,0))),""))</f>
        <v/>
      </c>
      <c r="O320" s="8" t="str">
        <f aca="false">IF($A320="","",IFERROR(IF(INDEX(O1_Community_Attributes!$X$1:$X$500,MATCH($A320,O1_Community_Attributes!$A$1:$A$500,0))="","",INDEX(O1_Community_Attributes!$X$1:$X$500,MATCH($A320,O1_Community_Attributes!$A$1:$A$500,0))),""))</f>
        <v/>
      </c>
      <c r="P320" s="8" t="str">
        <f aca="false">IF($A320="","",IFERROR(IF(INDEX(O1_Community_Attributes!$Y$1:$Y$500,MATCH($A320,O1_Community_Attributes!$A$1:$A$500,0))="","",INDEX(O1_Community_Attributes!$Y$1:$Y$500,MATCH($A320,O1_Community_Attributes!$A$1:$A$500,0))),""))</f>
        <v/>
      </c>
      <c r="Q320" s="8" t="str">
        <f aca="false">IF($A320="","",IFERROR(IF(INDEX(O1_Community_Attributes!$Z$1:$Z$500,MATCH($A320,O1_Community_Attributes!$A$1:$A$500,0))="","",INDEX(O1_Community_Attributes!$Z$1:$Z$500,MATCH($A320,O1_Community_Attributes!$A$1:$A$500,0))),""))</f>
        <v/>
      </c>
      <c r="R320" s="8" t="str">
        <f aca="false">IF($A320="","",IFERROR(IF(INDEX(O1_Community_Attributes!$BK$1:$BK$500,MATCH($A320,O1_Community_Attributes!$A$1:$A$500,0))="","",INDEX(O1_Community_Attributes!$BK$1:$BK$500,MATCH($A320,O1_Community_Attributes!$A$1:$A$500,0))),""))</f>
        <v/>
      </c>
      <c r="S320" s="8" t="str">
        <f aca="false">IF(OR($C320="",$M320=""),"",$M320/$C320)</f>
        <v/>
      </c>
      <c r="T320" s="8" t="str">
        <f aca="false">IF($C320="","",IF(AND($M320="",$P320=""),"",IF($M320="","B",IF(ABS($S320-1)&lt;=0.3,"A",IF(OR($S320&gt;2,$S320&lt;0.5),"C","B")))))</f>
        <v/>
      </c>
    </row>
    <row r="321" customFormat="false" ht="15" hidden="false" customHeight="true" outlineLevel="0" collapsed="false">
      <c r="H321" s="8" t="str">
        <f aca="false">IF(C321="","",IF(C321&lt;1,"yes","no"))</f>
        <v/>
      </c>
      <c r="I321" s="8" t="str">
        <f aca="false">IF(C321="","",IF(C321&lt;2.6,"r75",IF(C321&lt;5.2,"r110",IF(C321&lt;9.9,"r150",IF(C321&lt;19.8,"r210","r300")))))</f>
        <v/>
      </c>
      <c r="M321" s="8" t="str">
        <f aca="false">IF($A321="","",IFERROR(IF(INDEX(O1_Community_Attributes!$V$1:$V$500,MATCH($A321,O1_Community_Attributes!$A$1:$A$500,0))="","",INDEX(O1_Community_Attributes!$V$1:$V$500,MATCH($A321,O1_Community_Attributes!$A$1:$A$500,0))),""))</f>
        <v/>
      </c>
      <c r="N321" s="8" t="str">
        <f aca="false">IF($A321="","",IFERROR(IF(INDEX(O1_Community_Attributes!$W$1:$W$500,MATCH($A321,O1_Community_Attributes!$A$1:$A$500,0))="","",INDEX(O1_Community_Attributes!$W$1:$W$500,MATCH($A321,O1_Community_Attributes!$A$1:$A$500,0))),""))</f>
        <v/>
      </c>
      <c r="O321" s="8" t="str">
        <f aca="false">IF($A321="","",IFERROR(IF(INDEX(O1_Community_Attributes!$X$1:$X$500,MATCH($A321,O1_Community_Attributes!$A$1:$A$500,0))="","",INDEX(O1_Community_Attributes!$X$1:$X$500,MATCH($A321,O1_Community_Attributes!$A$1:$A$500,0))),""))</f>
        <v/>
      </c>
      <c r="P321" s="8" t="str">
        <f aca="false">IF($A321="","",IFERROR(IF(INDEX(O1_Community_Attributes!$Y$1:$Y$500,MATCH($A321,O1_Community_Attributes!$A$1:$A$500,0))="","",INDEX(O1_Community_Attributes!$Y$1:$Y$500,MATCH($A321,O1_Community_Attributes!$A$1:$A$500,0))),""))</f>
        <v/>
      </c>
      <c r="Q321" s="8" t="str">
        <f aca="false">IF($A321="","",IFERROR(IF(INDEX(O1_Community_Attributes!$Z$1:$Z$500,MATCH($A321,O1_Community_Attributes!$A$1:$A$500,0))="","",INDEX(O1_Community_Attributes!$Z$1:$Z$500,MATCH($A321,O1_Community_Attributes!$A$1:$A$500,0))),""))</f>
        <v/>
      </c>
      <c r="R321" s="8" t="str">
        <f aca="false">IF($A321="","",IFERROR(IF(INDEX(O1_Community_Attributes!$BK$1:$BK$500,MATCH($A321,O1_Community_Attributes!$A$1:$A$500,0))="","",INDEX(O1_Community_Attributes!$BK$1:$BK$500,MATCH($A321,O1_Community_Attributes!$A$1:$A$500,0))),""))</f>
        <v/>
      </c>
      <c r="S321" s="8" t="str">
        <f aca="false">IF(OR($C321="",$M321=""),"",$M321/$C321)</f>
        <v/>
      </c>
      <c r="T321" s="8" t="str">
        <f aca="false">IF($C321="","",IF(AND($M321="",$P321=""),"",IF($M321="","B",IF(ABS($S321-1)&lt;=0.3,"A",IF(OR($S321&gt;2,$S321&lt;0.5),"C","B")))))</f>
        <v/>
      </c>
    </row>
    <row r="322" customFormat="false" ht="15" hidden="false" customHeight="true" outlineLevel="0" collapsed="false">
      <c r="H322" s="8" t="str">
        <f aca="false">IF(C322="","",IF(C322&lt;1,"yes","no"))</f>
        <v/>
      </c>
      <c r="I322" s="8" t="str">
        <f aca="false">IF(C322="","",IF(C322&lt;2.6,"r75",IF(C322&lt;5.2,"r110",IF(C322&lt;9.9,"r150",IF(C322&lt;19.8,"r210","r300")))))</f>
        <v/>
      </c>
      <c r="M322" s="8" t="str">
        <f aca="false">IF($A322="","",IFERROR(IF(INDEX(O1_Community_Attributes!$V$1:$V$500,MATCH($A322,O1_Community_Attributes!$A$1:$A$500,0))="","",INDEX(O1_Community_Attributes!$V$1:$V$500,MATCH($A322,O1_Community_Attributes!$A$1:$A$500,0))),""))</f>
        <v/>
      </c>
      <c r="N322" s="8" t="str">
        <f aca="false">IF($A322="","",IFERROR(IF(INDEX(O1_Community_Attributes!$W$1:$W$500,MATCH($A322,O1_Community_Attributes!$A$1:$A$500,0))="","",INDEX(O1_Community_Attributes!$W$1:$W$500,MATCH($A322,O1_Community_Attributes!$A$1:$A$500,0))),""))</f>
        <v/>
      </c>
      <c r="O322" s="8" t="str">
        <f aca="false">IF($A322="","",IFERROR(IF(INDEX(O1_Community_Attributes!$X$1:$X$500,MATCH($A322,O1_Community_Attributes!$A$1:$A$500,0))="","",INDEX(O1_Community_Attributes!$X$1:$X$500,MATCH($A322,O1_Community_Attributes!$A$1:$A$500,0))),""))</f>
        <v/>
      </c>
      <c r="P322" s="8" t="str">
        <f aca="false">IF($A322="","",IFERROR(IF(INDEX(O1_Community_Attributes!$Y$1:$Y$500,MATCH($A322,O1_Community_Attributes!$A$1:$A$500,0))="","",INDEX(O1_Community_Attributes!$Y$1:$Y$500,MATCH($A322,O1_Community_Attributes!$A$1:$A$500,0))),""))</f>
        <v/>
      </c>
      <c r="Q322" s="8" t="str">
        <f aca="false">IF($A322="","",IFERROR(IF(INDEX(O1_Community_Attributes!$Z$1:$Z$500,MATCH($A322,O1_Community_Attributes!$A$1:$A$500,0))="","",INDEX(O1_Community_Attributes!$Z$1:$Z$500,MATCH($A322,O1_Community_Attributes!$A$1:$A$500,0))),""))</f>
        <v/>
      </c>
      <c r="R322" s="8" t="str">
        <f aca="false">IF($A322="","",IFERROR(IF(INDEX(O1_Community_Attributes!$BK$1:$BK$500,MATCH($A322,O1_Community_Attributes!$A$1:$A$500,0))="","",INDEX(O1_Community_Attributes!$BK$1:$BK$500,MATCH($A322,O1_Community_Attributes!$A$1:$A$500,0))),""))</f>
        <v/>
      </c>
      <c r="S322" s="8" t="str">
        <f aca="false">IF(OR($C322="",$M322=""),"",$M322/$C322)</f>
        <v/>
      </c>
      <c r="T322" s="8" t="str">
        <f aca="false">IF($C322="","",IF(AND($M322="",$P322=""),"",IF($M322="","B",IF(ABS($S322-1)&lt;=0.3,"A",IF(OR($S322&gt;2,$S322&lt;0.5),"C","B")))))</f>
        <v/>
      </c>
    </row>
    <row r="323" customFormat="false" ht="15" hidden="false" customHeight="true" outlineLevel="0" collapsed="false">
      <c r="H323" s="8" t="str">
        <f aca="false">IF(C323="","",IF(C323&lt;1,"yes","no"))</f>
        <v/>
      </c>
      <c r="I323" s="8" t="str">
        <f aca="false">IF(C323="","",IF(C323&lt;2.6,"r75",IF(C323&lt;5.2,"r110",IF(C323&lt;9.9,"r150",IF(C323&lt;19.8,"r210","r300")))))</f>
        <v/>
      </c>
      <c r="M323" s="8" t="str">
        <f aca="false">IF($A323="","",IFERROR(IF(INDEX(O1_Community_Attributes!$V$1:$V$500,MATCH($A323,O1_Community_Attributes!$A$1:$A$500,0))="","",INDEX(O1_Community_Attributes!$V$1:$V$500,MATCH($A323,O1_Community_Attributes!$A$1:$A$500,0))),""))</f>
        <v/>
      </c>
      <c r="N323" s="8" t="str">
        <f aca="false">IF($A323="","",IFERROR(IF(INDEX(O1_Community_Attributes!$W$1:$W$500,MATCH($A323,O1_Community_Attributes!$A$1:$A$500,0))="","",INDEX(O1_Community_Attributes!$W$1:$W$500,MATCH($A323,O1_Community_Attributes!$A$1:$A$500,0))),""))</f>
        <v/>
      </c>
      <c r="O323" s="8" t="str">
        <f aca="false">IF($A323="","",IFERROR(IF(INDEX(O1_Community_Attributes!$X$1:$X$500,MATCH($A323,O1_Community_Attributes!$A$1:$A$500,0))="","",INDEX(O1_Community_Attributes!$X$1:$X$500,MATCH($A323,O1_Community_Attributes!$A$1:$A$500,0))),""))</f>
        <v/>
      </c>
      <c r="P323" s="8" t="str">
        <f aca="false">IF($A323="","",IFERROR(IF(INDEX(O1_Community_Attributes!$Y$1:$Y$500,MATCH($A323,O1_Community_Attributes!$A$1:$A$500,0))="","",INDEX(O1_Community_Attributes!$Y$1:$Y$500,MATCH($A323,O1_Community_Attributes!$A$1:$A$500,0))),""))</f>
        <v/>
      </c>
      <c r="Q323" s="8" t="str">
        <f aca="false">IF($A323="","",IFERROR(IF(INDEX(O1_Community_Attributes!$Z$1:$Z$500,MATCH($A323,O1_Community_Attributes!$A$1:$A$500,0))="","",INDEX(O1_Community_Attributes!$Z$1:$Z$500,MATCH($A323,O1_Community_Attributes!$A$1:$A$500,0))),""))</f>
        <v/>
      </c>
      <c r="R323" s="8" t="str">
        <f aca="false">IF($A323="","",IFERROR(IF(INDEX(O1_Community_Attributes!$BK$1:$BK$500,MATCH($A323,O1_Community_Attributes!$A$1:$A$500,0))="","",INDEX(O1_Community_Attributes!$BK$1:$BK$500,MATCH($A323,O1_Community_Attributes!$A$1:$A$500,0))),""))</f>
        <v/>
      </c>
      <c r="S323" s="8" t="str">
        <f aca="false">IF(OR($C323="",$M323=""),"",$M323/$C323)</f>
        <v/>
      </c>
      <c r="T323" s="8" t="str">
        <f aca="false">IF($C323="","",IF(AND($M323="",$P323=""),"",IF($M323="","B",IF(ABS($S323-1)&lt;=0.3,"A",IF(OR($S323&gt;2,$S323&lt;0.5),"C","B")))))</f>
        <v/>
      </c>
    </row>
    <row r="324" customFormat="false" ht="15" hidden="false" customHeight="true" outlineLevel="0" collapsed="false">
      <c r="H324" s="8" t="str">
        <f aca="false">IF(C324="","",IF(C324&lt;1,"yes","no"))</f>
        <v/>
      </c>
      <c r="I324" s="8" t="str">
        <f aca="false">IF(C324="","",IF(C324&lt;2.6,"r75",IF(C324&lt;5.2,"r110",IF(C324&lt;9.9,"r150",IF(C324&lt;19.8,"r210","r300")))))</f>
        <v/>
      </c>
      <c r="M324" s="8" t="str">
        <f aca="false">IF($A324="","",IFERROR(IF(INDEX(O1_Community_Attributes!$V$1:$V$500,MATCH($A324,O1_Community_Attributes!$A$1:$A$500,0))="","",INDEX(O1_Community_Attributes!$V$1:$V$500,MATCH($A324,O1_Community_Attributes!$A$1:$A$500,0))),""))</f>
        <v/>
      </c>
      <c r="N324" s="8" t="str">
        <f aca="false">IF($A324="","",IFERROR(IF(INDEX(O1_Community_Attributes!$W$1:$W$500,MATCH($A324,O1_Community_Attributes!$A$1:$A$500,0))="","",INDEX(O1_Community_Attributes!$W$1:$W$500,MATCH($A324,O1_Community_Attributes!$A$1:$A$500,0))),""))</f>
        <v/>
      </c>
      <c r="O324" s="8" t="str">
        <f aca="false">IF($A324="","",IFERROR(IF(INDEX(O1_Community_Attributes!$X$1:$X$500,MATCH($A324,O1_Community_Attributes!$A$1:$A$500,0))="","",INDEX(O1_Community_Attributes!$X$1:$X$500,MATCH($A324,O1_Community_Attributes!$A$1:$A$500,0))),""))</f>
        <v/>
      </c>
      <c r="P324" s="8" t="str">
        <f aca="false">IF($A324="","",IFERROR(IF(INDEX(O1_Community_Attributes!$Y$1:$Y$500,MATCH($A324,O1_Community_Attributes!$A$1:$A$500,0))="","",INDEX(O1_Community_Attributes!$Y$1:$Y$500,MATCH($A324,O1_Community_Attributes!$A$1:$A$500,0))),""))</f>
        <v/>
      </c>
      <c r="Q324" s="8" t="str">
        <f aca="false">IF($A324="","",IFERROR(IF(INDEX(O1_Community_Attributes!$Z$1:$Z$500,MATCH($A324,O1_Community_Attributes!$A$1:$A$500,0))="","",INDEX(O1_Community_Attributes!$Z$1:$Z$500,MATCH($A324,O1_Community_Attributes!$A$1:$A$500,0))),""))</f>
        <v/>
      </c>
      <c r="R324" s="8" t="str">
        <f aca="false">IF($A324="","",IFERROR(IF(INDEX(O1_Community_Attributes!$BK$1:$BK$500,MATCH($A324,O1_Community_Attributes!$A$1:$A$500,0))="","",INDEX(O1_Community_Attributes!$BK$1:$BK$500,MATCH($A324,O1_Community_Attributes!$A$1:$A$500,0))),""))</f>
        <v/>
      </c>
      <c r="S324" s="8" t="str">
        <f aca="false">IF(OR($C324="",$M324=""),"",$M324/$C324)</f>
        <v/>
      </c>
      <c r="T324" s="8" t="str">
        <f aca="false">IF($C324="","",IF(AND($M324="",$P324=""),"",IF($M324="","B",IF(ABS($S324-1)&lt;=0.3,"A",IF(OR($S324&gt;2,$S324&lt;0.5),"C","B")))))</f>
        <v/>
      </c>
    </row>
    <row r="325" customFormat="false" ht="15" hidden="false" customHeight="true" outlineLevel="0" collapsed="false">
      <c r="H325" s="8" t="str">
        <f aca="false">IF(C325="","",IF(C325&lt;1,"yes","no"))</f>
        <v/>
      </c>
      <c r="I325" s="8" t="str">
        <f aca="false">IF(C325="","",IF(C325&lt;2.6,"r75",IF(C325&lt;5.2,"r110",IF(C325&lt;9.9,"r150",IF(C325&lt;19.8,"r210","r300")))))</f>
        <v/>
      </c>
      <c r="M325" s="8" t="str">
        <f aca="false">IF($A325="","",IFERROR(IF(INDEX(O1_Community_Attributes!$V$1:$V$500,MATCH($A325,O1_Community_Attributes!$A$1:$A$500,0))="","",INDEX(O1_Community_Attributes!$V$1:$V$500,MATCH($A325,O1_Community_Attributes!$A$1:$A$500,0))),""))</f>
        <v/>
      </c>
      <c r="N325" s="8" t="str">
        <f aca="false">IF($A325="","",IFERROR(IF(INDEX(O1_Community_Attributes!$W$1:$W$500,MATCH($A325,O1_Community_Attributes!$A$1:$A$500,0))="","",INDEX(O1_Community_Attributes!$W$1:$W$500,MATCH($A325,O1_Community_Attributes!$A$1:$A$500,0))),""))</f>
        <v/>
      </c>
      <c r="O325" s="8" t="str">
        <f aca="false">IF($A325="","",IFERROR(IF(INDEX(O1_Community_Attributes!$X$1:$X$500,MATCH($A325,O1_Community_Attributes!$A$1:$A$500,0))="","",INDEX(O1_Community_Attributes!$X$1:$X$500,MATCH($A325,O1_Community_Attributes!$A$1:$A$500,0))),""))</f>
        <v/>
      </c>
      <c r="P325" s="8" t="str">
        <f aca="false">IF($A325="","",IFERROR(IF(INDEX(O1_Community_Attributes!$Y$1:$Y$500,MATCH($A325,O1_Community_Attributes!$A$1:$A$500,0))="","",INDEX(O1_Community_Attributes!$Y$1:$Y$500,MATCH($A325,O1_Community_Attributes!$A$1:$A$500,0))),""))</f>
        <v/>
      </c>
      <c r="Q325" s="8" t="str">
        <f aca="false">IF($A325="","",IFERROR(IF(INDEX(O1_Community_Attributes!$Z$1:$Z$500,MATCH($A325,O1_Community_Attributes!$A$1:$A$500,0))="","",INDEX(O1_Community_Attributes!$Z$1:$Z$500,MATCH($A325,O1_Community_Attributes!$A$1:$A$500,0))),""))</f>
        <v/>
      </c>
      <c r="R325" s="8" t="str">
        <f aca="false">IF($A325="","",IFERROR(IF(INDEX(O1_Community_Attributes!$BK$1:$BK$500,MATCH($A325,O1_Community_Attributes!$A$1:$A$500,0))="","",INDEX(O1_Community_Attributes!$BK$1:$BK$500,MATCH($A325,O1_Community_Attributes!$A$1:$A$500,0))),""))</f>
        <v/>
      </c>
      <c r="S325" s="8" t="str">
        <f aca="false">IF(OR($C325="",$M325=""),"",$M325/$C325)</f>
        <v/>
      </c>
      <c r="T325" s="8" t="str">
        <f aca="false">IF($C325="","",IF(AND($M325="",$P325=""),"",IF($M325="","B",IF(ABS($S325-1)&lt;=0.3,"A",IF(OR($S325&gt;2,$S325&lt;0.5),"C","B")))))</f>
        <v/>
      </c>
    </row>
    <row r="326" customFormat="false" ht="15" hidden="false" customHeight="true" outlineLevel="0" collapsed="false">
      <c r="H326" s="8" t="str">
        <f aca="false">IF(C326="","",IF(C326&lt;1,"yes","no"))</f>
        <v/>
      </c>
      <c r="I326" s="8" t="str">
        <f aca="false">IF(C326="","",IF(C326&lt;2.6,"r75",IF(C326&lt;5.2,"r110",IF(C326&lt;9.9,"r150",IF(C326&lt;19.8,"r210","r300")))))</f>
        <v/>
      </c>
      <c r="M326" s="8" t="str">
        <f aca="false">IF($A326="","",IFERROR(IF(INDEX(O1_Community_Attributes!$V$1:$V$500,MATCH($A326,O1_Community_Attributes!$A$1:$A$500,0))="","",INDEX(O1_Community_Attributes!$V$1:$V$500,MATCH($A326,O1_Community_Attributes!$A$1:$A$500,0))),""))</f>
        <v/>
      </c>
      <c r="N326" s="8" t="str">
        <f aca="false">IF($A326="","",IFERROR(IF(INDEX(O1_Community_Attributes!$W$1:$W$500,MATCH($A326,O1_Community_Attributes!$A$1:$A$500,0))="","",INDEX(O1_Community_Attributes!$W$1:$W$500,MATCH($A326,O1_Community_Attributes!$A$1:$A$500,0))),""))</f>
        <v/>
      </c>
      <c r="O326" s="8" t="str">
        <f aca="false">IF($A326="","",IFERROR(IF(INDEX(O1_Community_Attributes!$X$1:$X$500,MATCH($A326,O1_Community_Attributes!$A$1:$A$500,0))="","",INDEX(O1_Community_Attributes!$X$1:$X$500,MATCH($A326,O1_Community_Attributes!$A$1:$A$500,0))),""))</f>
        <v/>
      </c>
      <c r="P326" s="8" t="str">
        <f aca="false">IF($A326="","",IFERROR(IF(INDEX(O1_Community_Attributes!$Y$1:$Y$500,MATCH($A326,O1_Community_Attributes!$A$1:$A$500,0))="","",INDEX(O1_Community_Attributes!$Y$1:$Y$500,MATCH($A326,O1_Community_Attributes!$A$1:$A$500,0))),""))</f>
        <v/>
      </c>
      <c r="Q326" s="8" t="str">
        <f aca="false">IF($A326="","",IFERROR(IF(INDEX(O1_Community_Attributes!$Z$1:$Z$500,MATCH($A326,O1_Community_Attributes!$A$1:$A$500,0))="","",INDEX(O1_Community_Attributes!$Z$1:$Z$500,MATCH($A326,O1_Community_Attributes!$A$1:$A$500,0))),""))</f>
        <v/>
      </c>
      <c r="R326" s="8" t="str">
        <f aca="false">IF($A326="","",IFERROR(IF(INDEX(O1_Community_Attributes!$BK$1:$BK$500,MATCH($A326,O1_Community_Attributes!$A$1:$A$500,0))="","",INDEX(O1_Community_Attributes!$BK$1:$BK$500,MATCH($A326,O1_Community_Attributes!$A$1:$A$500,0))),""))</f>
        <v/>
      </c>
      <c r="S326" s="8" t="str">
        <f aca="false">IF(OR($C326="",$M326=""),"",$M326/$C326)</f>
        <v/>
      </c>
      <c r="T326" s="8" t="str">
        <f aca="false">IF($C326="","",IF(AND($M326="",$P326=""),"",IF($M326="","B",IF(ABS($S326-1)&lt;=0.3,"A",IF(OR($S326&gt;2,$S326&lt;0.5),"C","B")))))</f>
        <v/>
      </c>
    </row>
    <row r="327" customFormat="false" ht="15" hidden="false" customHeight="true" outlineLevel="0" collapsed="false">
      <c r="H327" s="8" t="str">
        <f aca="false">IF(C327="","",IF(C327&lt;1,"yes","no"))</f>
        <v/>
      </c>
      <c r="I327" s="8" t="str">
        <f aca="false">IF(C327="","",IF(C327&lt;2.6,"r75",IF(C327&lt;5.2,"r110",IF(C327&lt;9.9,"r150",IF(C327&lt;19.8,"r210","r300")))))</f>
        <v/>
      </c>
      <c r="M327" s="8" t="str">
        <f aca="false">IF($A327="","",IFERROR(IF(INDEX(O1_Community_Attributes!$V$1:$V$500,MATCH($A327,O1_Community_Attributes!$A$1:$A$500,0))="","",INDEX(O1_Community_Attributes!$V$1:$V$500,MATCH($A327,O1_Community_Attributes!$A$1:$A$500,0))),""))</f>
        <v/>
      </c>
      <c r="N327" s="8" t="str">
        <f aca="false">IF($A327="","",IFERROR(IF(INDEX(O1_Community_Attributes!$W$1:$W$500,MATCH($A327,O1_Community_Attributes!$A$1:$A$500,0))="","",INDEX(O1_Community_Attributes!$W$1:$W$500,MATCH($A327,O1_Community_Attributes!$A$1:$A$500,0))),""))</f>
        <v/>
      </c>
      <c r="O327" s="8" t="str">
        <f aca="false">IF($A327="","",IFERROR(IF(INDEX(O1_Community_Attributes!$X$1:$X$500,MATCH($A327,O1_Community_Attributes!$A$1:$A$500,0))="","",INDEX(O1_Community_Attributes!$X$1:$X$500,MATCH($A327,O1_Community_Attributes!$A$1:$A$500,0))),""))</f>
        <v/>
      </c>
      <c r="P327" s="8" t="str">
        <f aca="false">IF($A327="","",IFERROR(IF(INDEX(O1_Community_Attributes!$Y$1:$Y$500,MATCH($A327,O1_Community_Attributes!$A$1:$A$500,0))="","",INDEX(O1_Community_Attributes!$Y$1:$Y$500,MATCH($A327,O1_Community_Attributes!$A$1:$A$500,0))),""))</f>
        <v/>
      </c>
      <c r="Q327" s="8" t="str">
        <f aca="false">IF($A327="","",IFERROR(IF(INDEX(O1_Community_Attributes!$Z$1:$Z$500,MATCH($A327,O1_Community_Attributes!$A$1:$A$500,0))="","",INDEX(O1_Community_Attributes!$Z$1:$Z$500,MATCH($A327,O1_Community_Attributes!$A$1:$A$500,0))),""))</f>
        <v/>
      </c>
      <c r="R327" s="8" t="str">
        <f aca="false">IF($A327="","",IFERROR(IF(INDEX(O1_Community_Attributes!$BK$1:$BK$500,MATCH($A327,O1_Community_Attributes!$A$1:$A$500,0))="","",INDEX(O1_Community_Attributes!$BK$1:$BK$500,MATCH($A327,O1_Community_Attributes!$A$1:$A$500,0))),""))</f>
        <v/>
      </c>
      <c r="S327" s="8" t="str">
        <f aca="false">IF(OR($C327="",$M327=""),"",$M327/$C327)</f>
        <v/>
      </c>
      <c r="T327" s="8" t="str">
        <f aca="false">IF($C327="","",IF(AND($M327="",$P327=""),"",IF($M327="","B",IF(ABS($S327-1)&lt;=0.3,"A",IF(OR($S327&gt;2,$S327&lt;0.5),"C","B")))))</f>
        <v/>
      </c>
    </row>
    <row r="328" customFormat="false" ht="15" hidden="false" customHeight="true" outlineLevel="0" collapsed="false">
      <c r="H328" s="8" t="str">
        <f aca="false">IF(C328="","",IF(C328&lt;1,"yes","no"))</f>
        <v/>
      </c>
      <c r="I328" s="8" t="str">
        <f aca="false">IF(C328="","",IF(C328&lt;2.6,"r75",IF(C328&lt;5.2,"r110",IF(C328&lt;9.9,"r150",IF(C328&lt;19.8,"r210","r300")))))</f>
        <v/>
      </c>
      <c r="M328" s="8" t="str">
        <f aca="false">IF($A328="","",IFERROR(IF(INDEX(O1_Community_Attributes!$V$1:$V$500,MATCH($A328,O1_Community_Attributes!$A$1:$A$500,0))="","",INDEX(O1_Community_Attributes!$V$1:$V$500,MATCH($A328,O1_Community_Attributes!$A$1:$A$500,0))),""))</f>
        <v/>
      </c>
      <c r="N328" s="8" t="str">
        <f aca="false">IF($A328="","",IFERROR(IF(INDEX(O1_Community_Attributes!$W$1:$W$500,MATCH($A328,O1_Community_Attributes!$A$1:$A$500,0))="","",INDEX(O1_Community_Attributes!$W$1:$W$500,MATCH($A328,O1_Community_Attributes!$A$1:$A$500,0))),""))</f>
        <v/>
      </c>
      <c r="O328" s="8" t="str">
        <f aca="false">IF($A328="","",IFERROR(IF(INDEX(O1_Community_Attributes!$X$1:$X$500,MATCH($A328,O1_Community_Attributes!$A$1:$A$500,0))="","",INDEX(O1_Community_Attributes!$X$1:$X$500,MATCH($A328,O1_Community_Attributes!$A$1:$A$500,0))),""))</f>
        <v/>
      </c>
      <c r="P328" s="8" t="str">
        <f aca="false">IF($A328="","",IFERROR(IF(INDEX(O1_Community_Attributes!$Y$1:$Y$500,MATCH($A328,O1_Community_Attributes!$A$1:$A$500,0))="","",INDEX(O1_Community_Attributes!$Y$1:$Y$500,MATCH($A328,O1_Community_Attributes!$A$1:$A$500,0))),""))</f>
        <v/>
      </c>
      <c r="Q328" s="8" t="str">
        <f aca="false">IF($A328="","",IFERROR(IF(INDEX(O1_Community_Attributes!$Z$1:$Z$500,MATCH($A328,O1_Community_Attributes!$A$1:$A$500,0))="","",INDEX(O1_Community_Attributes!$Z$1:$Z$500,MATCH($A328,O1_Community_Attributes!$A$1:$A$500,0))),""))</f>
        <v/>
      </c>
      <c r="R328" s="8" t="str">
        <f aca="false">IF($A328="","",IFERROR(IF(INDEX(O1_Community_Attributes!$BK$1:$BK$500,MATCH($A328,O1_Community_Attributes!$A$1:$A$500,0))="","",INDEX(O1_Community_Attributes!$BK$1:$BK$500,MATCH($A328,O1_Community_Attributes!$A$1:$A$500,0))),""))</f>
        <v/>
      </c>
      <c r="S328" s="8" t="str">
        <f aca="false">IF(OR($C328="",$M328=""),"",$M328/$C328)</f>
        <v/>
      </c>
      <c r="T328" s="8" t="str">
        <f aca="false">IF($C328="","",IF(AND($M328="",$P328=""),"",IF($M328="","B",IF(ABS($S328-1)&lt;=0.3,"A",IF(OR($S328&gt;2,$S328&lt;0.5),"C","B")))))</f>
        <v/>
      </c>
    </row>
    <row r="329" customFormat="false" ht="15" hidden="false" customHeight="true" outlineLevel="0" collapsed="false">
      <c r="H329" s="8" t="str">
        <f aca="false">IF(C329="","",IF(C329&lt;1,"yes","no"))</f>
        <v/>
      </c>
      <c r="I329" s="8" t="str">
        <f aca="false">IF(C329="","",IF(C329&lt;2.6,"r75",IF(C329&lt;5.2,"r110",IF(C329&lt;9.9,"r150",IF(C329&lt;19.8,"r210","r300")))))</f>
        <v/>
      </c>
      <c r="M329" s="8" t="str">
        <f aca="false">IF($A329="","",IFERROR(IF(INDEX(O1_Community_Attributes!$V$1:$V$500,MATCH($A329,O1_Community_Attributes!$A$1:$A$500,0))="","",INDEX(O1_Community_Attributes!$V$1:$V$500,MATCH($A329,O1_Community_Attributes!$A$1:$A$500,0))),""))</f>
        <v/>
      </c>
      <c r="N329" s="8" t="str">
        <f aca="false">IF($A329="","",IFERROR(IF(INDEX(O1_Community_Attributes!$W$1:$W$500,MATCH($A329,O1_Community_Attributes!$A$1:$A$500,0))="","",INDEX(O1_Community_Attributes!$W$1:$W$500,MATCH($A329,O1_Community_Attributes!$A$1:$A$500,0))),""))</f>
        <v/>
      </c>
      <c r="O329" s="8" t="str">
        <f aca="false">IF($A329="","",IFERROR(IF(INDEX(O1_Community_Attributes!$X$1:$X$500,MATCH($A329,O1_Community_Attributes!$A$1:$A$500,0))="","",INDEX(O1_Community_Attributes!$X$1:$X$500,MATCH($A329,O1_Community_Attributes!$A$1:$A$500,0))),""))</f>
        <v/>
      </c>
      <c r="P329" s="8" t="str">
        <f aca="false">IF($A329="","",IFERROR(IF(INDEX(O1_Community_Attributes!$Y$1:$Y$500,MATCH($A329,O1_Community_Attributes!$A$1:$A$500,0))="","",INDEX(O1_Community_Attributes!$Y$1:$Y$500,MATCH($A329,O1_Community_Attributes!$A$1:$A$500,0))),""))</f>
        <v/>
      </c>
      <c r="Q329" s="8" t="str">
        <f aca="false">IF($A329="","",IFERROR(IF(INDEX(O1_Community_Attributes!$Z$1:$Z$500,MATCH($A329,O1_Community_Attributes!$A$1:$A$500,0))="","",INDEX(O1_Community_Attributes!$Z$1:$Z$500,MATCH($A329,O1_Community_Attributes!$A$1:$A$500,0))),""))</f>
        <v/>
      </c>
      <c r="R329" s="8" t="str">
        <f aca="false">IF($A329="","",IFERROR(IF(INDEX(O1_Community_Attributes!$BK$1:$BK$500,MATCH($A329,O1_Community_Attributes!$A$1:$A$500,0))="","",INDEX(O1_Community_Attributes!$BK$1:$BK$500,MATCH($A329,O1_Community_Attributes!$A$1:$A$500,0))),""))</f>
        <v/>
      </c>
      <c r="S329" s="8" t="str">
        <f aca="false">IF(OR($C329="",$M329=""),"",$M329/$C329)</f>
        <v/>
      </c>
      <c r="T329" s="8" t="str">
        <f aca="false">IF($C329="","",IF(AND($M329="",$P329=""),"",IF($M329="","B",IF(ABS($S329-1)&lt;=0.3,"A",IF(OR($S329&gt;2,$S329&lt;0.5),"C","B")))))</f>
        <v/>
      </c>
    </row>
    <row r="330" customFormat="false" ht="15" hidden="false" customHeight="true" outlineLevel="0" collapsed="false">
      <c r="H330" s="8" t="str">
        <f aca="false">IF(C330="","",IF(C330&lt;1,"yes","no"))</f>
        <v/>
      </c>
      <c r="I330" s="8" t="str">
        <f aca="false">IF(C330="","",IF(C330&lt;2.6,"r75",IF(C330&lt;5.2,"r110",IF(C330&lt;9.9,"r150",IF(C330&lt;19.8,"r210","r300")))))</f>
        <v/>
      </c>
      <c r="M330" s="8" t="str">
        <f aca="false">IF($A330="","",IFERROR(IF(INDEX(O1_Community_Attributes!$V$1:$V$500,MATCH($A330,O1_Community_Attributes!$A$1:$A$500,0))="","",INDEX(O1_Community_Attributes!$V$1:$V$500,MATCH($A330,O1_Community_Attributes!$A$1:$A$500,0))),""))</f>
        <v/>
      </c>
      <c r="N330" s="8" t="str">
        <f aca="false">IF($A330="","",IFERROR(IF(INDEX(O1_Community_Attributes!$W$1:$W$500,MATCH($A330,O1_Community_Attributes!$A$1:$A$500,0))="","",INDEX(O1_Community_Attributes!$W$1:$W$500,MATCH($A330,O1_Community_Attributes!$A$1:$A$500,0))),""))</f>
        <v/>
      </c>
      <c r="O330" s="8" t="str">
        <f aca="false">IF($A330="","",IFERROR(IF(INDEX(O1_Community_Attributes!$X$1:$X$500,MATCH($A330,O1_Community_Attributes!$A$1:$A$500,0))="","",INDEX(O1_Community_Attributes!$X$1:$X$500,MATCH($A330,O1_Community_Attributes!$A$1:$A$500,0))),""))</f>
        <v/>
      </c>
      <c r="P330" s="8" t="str">
        <f aca="false">IF($A330="","",IFERROR(IF(INDEX(O1_Community_Attributes!$Y$1:$Y$500,MATCH($A330,O1_Community_Attributes!$A$1:$A$500,0))="","",INDEX(O1_Community_Attributes!$Y$1:$Y$500,MATCH($A330,O1_Community_Attributes!$A$1:$A$500,0))),""))</f>
        <v/>
      </c>
      <c r="Q330" s="8" t="str">
        <f aca="false">IF($A330="","",IFERROR(IF(INDEX(O1_Community_Attributes!$Z$1:$Z$500,MATCH($A330,O1_Community_Attributes!$A$1:$A$500,0))="","",INDEX(O1_Community_Attributes!$Z$1:$Z$500,MATCH($A330,O1_Community_Attributes!$A$1:$A$500,0))),""))</f>
        <v/>
      </c>
      <c r="R330" s="8" t="str">
        <f aca="false">IF($A330="","",IFERROR(IF(INDEX(O1_Community_Attributes!$BK$1:$BK$500,MATCH($A330,O1_Community_Attributes!$A$1:$A$500,0))="","",INDEX(O1_Community_Attributes!$BK$1:$BK$500,MATCH($A330,O1_Community_Attributes!$A$1:$A$500,0))),""))</f>
        <v/>
      </c>
      <c r="S330" s="8" t="str">
        <f aca="false">IF(OR($C330="",$M330=""),"",$M330/$C330)</f>
        <v/>
      </c>
      <c r="T330" s="8" t="str">
        <f aca="false">IF($C330="","",IF(AND($M330="",$P330=""),"",IF($M330="","B",IF(ABS($S330-1)&lt;=0.3,"A",IF(OR($S330&gt;2,$S330&lt;0.5),"C","B")))))</f>
        <v/>
      </c>
    </row>
    <row r="331" customFormat="false" ht="15" hidden="false" customHeight="true" outlineLevel="0" collapsed="false">
      <c r="H331" s="8" t="str">
        <f aca="false">IF(C331="","",IF(C331&lt;1,"yes","no"))</f>
        <v/>
      </c>
      <c r="I331" s="8" t="str">
        <f aca="false">IF(C331="","",IF(C331&lt;2.6,"r75",IF(C331&lt;5.2,"r110",IF(C331&lt;9.9,"r150",IF(C331&lt;19.8,"r210","r300")))))</f>
        <v/>
      </c>
      <c r="M331" s="8" t="str">
        <f aca="false">IF($A331="","",IFERROR(IF(INDEX(O1_Community_Attributes!$V$1:$V$500,MATCH($A331,O1_Community_Attributes!$A$1:$A$500,0))="","",INDEX(O1_Community_Attributes!$V$1:$V$500,MATCH($A331,O1_Community_Attributes!$A$1:$A$500,0))),""))</f>
        <v/>
      </c>
      <c r="N331" s="8" t="str">
        <f aca="false">IF($A331="","",IFERROR(IF(INDEX(O1_Community_Attributes!$W$1:$W$500,MATCH($A331,O1_Community_Attributes!$A$1:$A$500,0))="","",INDEX(O1_Community_Attributes!$W$1:$W$500,MATCH($A331,O1_Community_Attributes!$A$1:$A$500,0))),""))</f>
        <v/>
      </c>
      <c r="O331" s="8" t="str">
        <f aca="false">IF($A331="","",IFERROR(IF(INDEX(O1_Community_Attributes!$X$1:$X$500,MATCH($A331,O1_Community_Attributes!$A$1:$A$500,0))="","",INDEX(O1_Community_Attributes!$X$1:$X$500,MATCH($A331,O1_Community_Attributes!$A$1:$A$500,0))),""))</f>
        <v/>
      </c>
      <c r="P331" s="8" t="str">
        <f aca="false">IF($A331="","",IFERROR(IF(INDEX(O1_Community_Attributes!$Y$1:$Y$500,MATCH($A331,O1_Community_Attributes!$A$1:$A$500,0))="","",INDEX(O1_Community_Attributes!$Y$1:$Y$500,MATCH($A331,O1_Community_Attributes!$A$1:$A$500,0))),""))</f>
        <v/>
      </c>
      <c r="Q331" s="8" t="str">
        <f aca="false">IF($A331="","",IFERROR(IF(INDEX(O1_Community_Attributes!$Z$1:$Z$500,MATCH($A331,O1_Community_Attributes!$A$1:$A$500,0))="","",INDEX(O1_Community_Attributes!$Z$1:$Z$500,MATCH($A331,O1_Community_Attributes!$A$1:$A$500,0))),""))</f>
        <v/>
      </c>
      <c r="R331" s="8" t="str">
        <f aca="false">IF($A331="","",IFERROR(IF(INDEX(O1_Community_Attributes!$BK$1:$BK$500,MATCH($A331,O1_Community_Attributes!$A$1:$A$500,0))="","",INDEX(O1_Community_Attributes!$BK$1:$BK$500,MATCH($A331,O1_Community_Attributes!$A$1:$A$500,0))),""))</f>
        <v/>
      </c>
      <c r="S331" s="8" t="str">
        <f aca="false">IF(OR($C331="",$M331=""),"",$M331/$C331)</f>
        <v/>
      </c>
      <c r="T331" s="8" t="str">
        <f aca="false">IF($C331="","",IF(AND($M331="",$P331=""),"",IF($M331="","B",IF(ABS($S331-1)&lt;=0.3,"A",IF(OR($S331&gt;2,$S331&lt;0.5),"C","B")))))</f>
        <v/>
      </c>
    </row>
    <row r="332" customFormat="false" ht="15" hidden="false" customHeight="true" outlineLevel="0" collapsed="false">
      <c r="H332" s="8" t="str">
        <f aca="false">IF(C332="","",IF(C332&lt;1,"yes","no"))</f>
        <v/>
      </c>
      <c r="I332" s="8" t="str">
        <f aca="false">IF(C332="","",IF(C332&lt;2.6,"r75",IF(C332&lt;5.2,"r110",IF(C332&lt;9.9,"r150",IF(C332&lt;19.8,"r210","r300")))))</f>
        <v/>
      </c>
      <c r="M332" s="8" t="str">
        <f aca="false">IF($A332="","",IFERROR(IF(INDEX(O1_Community_Attributes!$V$1:$V$500,MATCH($A332,O1_Community_Attributes!$A$1:$A$500,0))="","",INDEX(O1_Community_Attributes!$V$1:$V$500,MATCH($A332,O1_Community_Attributes!$A$1:$A$500,0))),""))</f>
        <v/>
      </c>
      <c r="N332" s="8" t="str">
        <f aca="false">IF($A332="","",IFERROR(IF(INDEX(O1_Community_Attributes!$W$1:$W$500,MATCH($A332,O1_Community_Attributes!$A$1:$A$500,0))="","",INDEX(O1_Community_Attributes!$W$1:$W$500,MATCH($A332,O1_Community_Attributes!$A$1:$A$500,0))),""))</f>
        <v/>
      </c>
      <c r="O332" s="8" t="str">
        <f aca="false">IF($A332="","",IFERROR(IF(INDEX(O1_Community_Attributes!$X$1:$X$500,MATCH($A332,O1_Community_Attributes!$A$1:$A$500,0))="","",INDEX(O1_Community_Attributes!$X$1:$X$500,MATCH($A332,O1_Community_Attributes!$A$1:$A$500,0))),""))</f>
        <v/>
      </c>
      <c r="P332" s="8" t="str">
        <f aca="false">IF($A332="","",IFERROR(IF(INDEX(O1_Community_Attributes!$Y$1:$Y$500,MATCH($A332,O1_Community_Attributes!$A$1:$A$500,0))="","",INDEX(O1_Community_Attributes!$Y$1:$Y$500,MATCH($A332,O1_Community_Attributes!$A$1:$A$500,0))),""))</f>
        <v/>
      </c>
      <c r="Q332" s="8" t="str">
        <f aca="false">IF($A332="","",IFERROR(IF(INDEX(O1_Community_Attributes!$Z$1:$Z$500,MATCH($A332,O1_Community_Attributes!$A$1:$A$500,0))="","",INDEX(O1_Community_Attributes!$Z$1:$Z$500,MATCH($A332,O1_Community_Attributes!$A$1:$A$500,0))),""))</f>
        <v/>
      </c>
      <c r="R332" s="8" t="str">
        <f aca="false">IF($A332="","",IFERROR(IF(INDEX(O1_Community_Attributes!$BK$1:$BK$500,MATCH($A332,O1_Community_Attributes!$A$1:$A$500,0))="","",INDEX(O1_Community_Attributes!$BK$1:$BK$500,MATCH($A332,O1_Community_Attributes!$A$1:$A$500,0))),""))</f>
        <v/>
      </c>
      <c r="S332" s="8" t="str">
        <f aca="false">IF(OR($C332="",$M332=""),"",$M332/$C332)</f>
        <v/>
      </c>
      <c r="T332" s="8" t="str">
        <f aca="false">IF($C332="","",IF(AND($M332="",$P332=""),"",IF($M332="","B",IF(ABS($S332-1)&lt;=0.3,"A",IF(OR($S332&gt;2,$S332&lt;0.5),"C","B")))))</f>
        <v/>
      </c>
    </row>
    <row r="333" customFormat="false" ht="15" hidden="false" customHeight="true" outlineLevel="0" collapsed="false">
      <c r="H333" s="8" t="str">
        <f aca="false">IF(C333="","",IF(C333&lt;1,"yes","no"))</f>
        <v/>
      </c>
      <c r="I333" s="8" t="str">
        <f aca="false">IF(C333="","",IF(C333&lt;2.6,"r75",IF(C333&lt;5.2,"r110",IF(C333&lt;9.9,"r150",IF(C333&lt;19.8,"r210","r300")))))</f>
        <v/>
      </c>
      <c r="M333" s="8" t="str">
        <f aca="false">IF($A333="","",IFERROR(IF(INDEX(O1_Community_Attributes!$V$1:$V$500,MATCH($A333,O1_Community_Attributes!$A$1:$A$500,0))="","",INDEX(O1_Community_Attributes!$V$1:$V$500,MATCH($A333,O1_Community_Attributes!$A$1:$A$500,0))),""))</f>
        <v/>
      </c>
      <c r="N333" s="8" t="str">
        <f aca="false">IF($A333="","",IFERROR(IF(INDEX(O1_Community_Attributes!$W$1:$W$500,MATCH($A333,O1_Community_Attributes!$A$1:$A$500,0))="","",INDEX(O1_Community_Attributes!$W$1:$W$500,MATCH($A333,O1_Community_Attributes!$A$1:$A$500,0))),""))</f>
        <v/>
      </c>
      <c r="O333" s="8" t="str">
        <f aca="false">IF($A333="","",IFERROR(IF(INDEX(O1_Community_Attributes!$X$1:$X$500,MATCH($A333,O1_Community_Attributes!$A$1:$A$500,0))="","",INDEX(O1_Community_Attributes!$X$1:$X$500,MATCH($A333,O1_Community_Attributes!$A$1:$A$500,0))),""))</f>
        <v/>
      </c>
      <c r="P333" s="8" t="str">
        <f aca="false">IF($A333="","",IFERROR(IF(INDEX(O1_Community_Attributes!$Y$1:$Y$500,MATCH($A333,O1_Community_Attributes!$A$1:$A$500,0))="","",INDEX(O1_Community_Attributes!$Y$1:$Y$500,MATCH($A333,O1_Community_Attributes!$A$1:$A$500,0))),""))</f>
        <v/>
      </c>
      <c r="Q333" s="8" t="str">
        <f aca="false">IF($A333="","",IFERROR(IF(INDEX(O1_Community_Attributes!$Z$1:$Z$500,MATCH($A333,O1_Community_Attributes!$A$1:$A$500,0))="","",INDEX(O1_Community_Attributes!$Z$1:$Z$500,MATCH($A333,O1_Community_Attributes!$A$1:$A$500,0))),""))</f>
        <v/>
      </c>
      <c r="R333" s="8" t="str">
        <f aca="false">IF($A333="","",IFERROR(IF(INDEX(O1_Community_Attributes!$BK$1:$BK$500,MATCH($A333,O1_Community_Attributes!$A$1:$A$500,0))="","",INDEX(O1_Community_Attributes!$BK$1:$BK$500,MATCH($A333,O1_Community_Attributes!$A$1:$A$500,0))),""))</f>
        <v/>
      </c>
      <c r="S333" s="8" t="str">
        <f aca="false">IF(OR($C333="",$M333=""),"",$M333/$C333)</f>
        <v/>
      </c>
      <c r="T333" s="8" t="str">
        <f aca="false">IF($C333="","",IF(AND($M333="",$P333=""),"",IF($M333="","B",IF(ABS($S333-1)&lt;=0.3,"A",IF(OR($S333&gt;2,$S333&lt;0.5),"C","B")))))</f>
        <v/>
      </c>
    </row>
    <row r="334" customFormat="false" ht="15" hidden="false" customHeight="true" outlineLevel="0" collapsed="false">
      <c r="H334" s="8" t="str">
        <f aca="false">IF(C334="","",IF(C334&lt;1,"yes","no"))</f>
        <v/>
      </c>
      <c r="I334" s="8" t="str">
        <f aca="false">IF(C334="","",IF(C334&lt;2.6,"r75",IF(C334&lt;5.2,"r110",IF(C334&lt;9.9,"r150",IF(C334&lt;19.8,"r210","r300")))))</f>
        <v/>
      </c>
      <c r="M334" s="8" t="str">
        <f aca="false">IF($A334="","",IFERROR(IF(INDEX(O1_Community_Attributes!$V$1:$V$500,MATCH($A334,O1_Community_Attributes!$A$1:$A$500,0))="","",INDEX(O1_Community_Attributes!$V$1:$V$500,MATCH($A334,O1_Community_Attributes!$A$1:$A$500,0))),""))</f>
        <v/>
      </c>
      <c r="N334" s="8" t="str">
        <f aca="false">IF($A334="","",IFERROR(IF(INDEX(O1_Community_Attributes!$W$1:$W$500,MATCH($A334,O1_Community_Attributes!$A$1:$A$500,0))="","",INDEX(O1_Community_Attributes!$W$1:$W$500,MATCH($A334,O1_Community_Attributes!$A$1:$A$500,0))),""))</f>
        <v/>
      </c>
      <c r="O334" s="8" t="str">
        <f aca="false">IF($A334="","",IFERROR(IF(INDEX(O1_Community_Attributes!$X$1:$X$500,MATCH($A334,O1_Community_Attributes!$A$1:$A$500,0))="","",INDEX(O1_Community_Attributes!$X$1:$X$500,MATCH($A334,O1_Community_Attributes!$A$1:$A$500,0))),""))</f>
        <v/>
      </c>
      <c r="P334" s="8" t="str">
        <f aca="false">IF($A334="","",IFERROR(IF(INDEX(O1_Community_Attributes!$Y$1:$Y$500,MATCH($A334,O1_Community_Attributes!$A$1:$A$500,0))="","",INDEX(O1_Community_Attributes!$Y$1:$Y$500,MATCH($A334,O1_Community_Attributes!$A$1:$A$500,0))),""))</f>
        <v/>
      </c>
      <c r="Q334" s="8" t="str">
        <f aca="false">IF($A334="","",IFERROR(IF(INDEX(O1_Community_Attributes!$Z$1:$Z$500,MATCH($A334,O1_Community_Attributes!$A$1:$A$500,0))="","",INDEX(O1_Community_Attributes!$Z$1:$Z$500,MATCH($A334,O1_Community_Attributes!$A$1:$A$500,0))),""))</f>
        <v/>
      </c>
      <c r="R334" s="8" t="str">
        <f aca="false">IF($A334="","",IFERROR(IF(INDEX(O1_Community_Attributes!$BK$1:$BK$500,MATCH($A334,O1_Community_Attributes!$A$1:$A$500,0))="","",INDEX(O1_Community_Attributes!$BK$1:$BK$500,MATCH($A334,O1_Community_Attributes!$A$1:$A$500,0))),""))</f>
        <v/>
      </c>
      <c r="S334" s="8" t="str">
        <f aca="false">IF(OR($C334="",$M334=""),"",$M334/$C334)</f>
        <v/>
      </c>
      <c r="T334" s="8" t="str">
        <f aca="false">IF($C334="","",IF(AND($M334="",$P334=""),"",IF($M334="","B",IF(ABS($S334-1)&lt;=0.3,"A",IF(OR($S334&gt;2,$S334&lt;0.5),"C","B")))))</f>
        <v/>
      </c>
    </row>
    <row r="335" customFormat="false" ht="15" hidden="false" customHeight="true" outlineLevel="0" collapsed="false">
      <c r="H335" s="8" t="str">
        <f aca="false">IF(C335="","",IF(C335&lt;1,"yes","no"))</f>
        <v/>
      </c>
      <c r="I335" s="8" t="str">
        <f aca="false">IF(C335="","",IF(C335&lt;2.6,"r75",IF(C335&lt;5.2,"r110",IF(C335&lt;9.9,"r150",IF(C335&lt;19.8,"r210","r300")))))</f>
        <v/>
      </c>
      <c r="M335" s="8" t="str">
        <f aca="false">IF($A335="","",IFERROR(IF(INDEX(O1_Community_Attributes!$V$1:$V$500,MATCH($A335,O1_Community_Attributes!$A$1:$A$500,0))="","",INDEX(O1_Community_Attributes!$V$1:$V$500,MATCH($A335,O1_Community_Attributes!$A$1:$A$500,0))),""))</f>
        <v/>
      </c>
      <c r="N335" s="8" t="str">
        <f aca="false">IF($A335="","",IFERROR(IF(INDEX(O1_Community_Attributes!$W$1:$W$500,MATCH($A335,O1_Community_Attributes!$A$1:$A$500,0))="","",INDEX(O1_Community_Attributes!$W$1:$W$500,MATCH($A335,O1_Community_Attributes!$A$1:$A$500,0))),""))</f>
        <v/>
      </c>
      <c r="O335" s="8" t="str">
        <f aca="false">IF($A335="","",IFERROR(IF(INDEX(O1_Community_Attributes!$X$1:$X$500,MATCH($A335,O1_Community_Attributes!$A$1:$A$500,0))="","",INDEX(O1_Community_Attributes!$X$1:$X$500,MATCH($A335,O1_Community_Attributes!$A$1:$A$500,0))),""))</f>
        <v/>
      </c>
      <c r="P335" s="8" t="str">
        <f aca="false">IF($A335="","",IFERROR(IF(INDEX(O1_Community_Attributes!$Y$1:$Y$500,MATCH($A335,O1_Community_Attributes!$A$1:$A$500,0))="","",INDEX(O1_Community_Attributes!$Y$1:$Y$500,MATCH($A335,O1_Community_Attributes!$A$1:$A$500,0))),""))</f>
        <v/>
      </c>
      <c r="Q335" s="8" t="str">
        <f aca="false">IF($A335="","",IFERROR(IF(INDEX(O1_Community_Attributes!$Z$1:$Z$500,MATCH($A335,O1_Community_Attributes!$A$1:$A$500,0))="","",INDEX(O1_Community_Attributes!$Z$1:$Z$500,MATCH($A335,O1_Community_Attributes!$A$1:$A$500,0))),""))</f>
        <v/>
      </c>
      <c r="R335" s="8" t="str">
        <f aca="false">IF($A335="","",IFERROR(IF(INDEX(O1_Community_Attributes!$BK$1:$BK$500,MATCH($A335,O1_Community_Attributes!$A$1:$A$500,0))="","",INDEX(O1_Community_Attributes!$BK$1:$BK$500,MATCH($A335,O1_Community_Attributes!$A$1:$A$500,0))),""))</f>
        <v/>
      </c>
      <c r="S335" s="8" t="str">
        <f aca="false">IF(OR($C335="",$M335=""),"",$M335/$C335)</f>
        <v/>
      </c>
      <c r="T335" s="8" t="str">
        <f aca="false">IF($C335="","",IF(AND($M335="",$P335=""),"",IF($M335="","B",IF(ABS($S335-1)&lt;=0.3,"A",IF(OR($S335&gt;2,$S335&lt;0.5),"C","B")))))</f>
        <v/>
      </c>
    </row>
    <row r="336" customFormat="false" ht="15" hidden="false" customHeight="true" outlineLevel="0" collapsed="false">
      <c r="H336" s="8" t="str">
        <f aca="false">IF(C336="","",IF(C336&lt;1,"yes","no"))</f>
        <v/>
      </c>
      <c r="I336" s="8" t="str">
        <f aca="false">IF(C336="","",IF(C336&lt;2.6,"r75",IF(C336&lt;5.2,"r110",IF(C336&lt;9.9,"r150",IF(C336&lt;19.8,"r210","r300")))))</f>
        <v/>
      </c>
      <c r="M336" s="8" t="str">
        <f aca="false">IF($A336="","",IFERROR(IF(INDEX(O1_Community_Attributes!$V$1:$V$500,MATCH($A336,O1_Community_Attributes!$A$1:$A$500,0))="","",INDEX(O1_Community_Attributes!$V$1:$V$500,MATCH($A336,O1_Community_Attributes!$A$1:$A$500,0))),""))</f>
        <v/>
      </c>
      <c r="N336" s="8" t="str">
        <f aca="false">IF($A336="","",IFERROR(IF(INDEX(O1_Community_Attributes!$W$1:$W$500,MATCH($A336,O1_Community_Attributes!$A$1:$A$500,0))="","",INDEX(O1_Community_Attributes!$W$1:$W$500,MATCH($A336,O1_Community_Attributes!$A$1:$A$500,0))),""))</f>
        <v/>
      </c>
      <c r="O336" s="8" t="str">
        <f aca="false">IF($A336="","",IFERROR(IF(INDEX(O1_Community_Attributes!$X$1:$X$500,MATCH($A336,O1_Community_Attributes!$A$1:$A$500,0))="","",INDEX(O1_Community_Attributes!$X$1:$X$500,MATCH($A336,O1_Community_Attributes!$A$1:$A$500,0))),""))</f>
        <v/>
      </c>
      <c r="P336" s="8" t="str">
        <f aca="false">IF($A336="","",IFERROR(IF(INDEX(O1_Community_Attributes!$Y$1:$Y$500,MATCH($A336,O1_Community_Attributes!$A$1:$A$500,0))="","",INDEX(O1_Community_Attributes!$Y$1:$Y$500,MATCH($A336,O1_Community_Attributes!$A$1:$A$500,0))),""))</f>
        <v/>
      </c>
      <c r="Q336" s="8" t="str">
        <f aca="false">IF($A336="","",IFERROR(IF(INDEX(O1_Community_Attributes!$Z$1:$Z$500,MATCH($A336,O1_Community_Attributes!$A$1:$A$500,0))="","",INDEX(O1_Community_Attributes!$Z$1:$Z$500,MATCH($A336,O1_Community_Attributes!$A$1:$A$500,0))),""))</f>
        <v/>
      </c>
      <c r="R336" s="8" t="str">
        <f aca="false">IF($A336="","",IFERROR(IF(INDEX(O1_Community_Attributes!$BK$1:$BK$500,MATCH($A336,O1_Community_Attributes!$A$1:$A$500,0))="","",INDEX(O1_Community_Attributes!$BK$1:$BK$500,MATCH($A336,O1_Community_Attributes!$A$1:$A$500,0))),""))</f>
        <v/>
      </c>
      <c r="S336" s="8" t="str">
        <f aca="false">IF(OR($C336="",$M336=""),"",$M336/$C336)</f>
        <v/>
      </c>
      <c r="T336" s="8" t="str">
        <f aca="false">IF($C336="","",IF(AND($M336="",$P336=""),"",IF($M336="","B",IF(ABS($S336-1)&lt;=0.3,"A",IF(OR($S336&gt;2,$S336&lt;0.5),"C","B")))))</f>
        <v/>
      </c>
    </row>
    <row r="337" customFormat="false" ht="15" hidden="false" customHeight="true" outlineLevel="0" collapsed="false">
      <c r="H337" s="8" t="str">
        <f aca="false">IF(C337="","",IF(C337&lt;1,"yes","no"))</f>
        <v/>
      </c>
      <c r="I337" s="8" t="str">
        <f aca="false">IF(C337="","",IF(C337&lt;2.6,"r75",IF(C337&lt;5.2,"r110",IF(C337&lt;9.9,"r150",IF(C337&lt;19.8,"r210","r300")))))</f>
        <v/>
      </c>
      <c r="M337" s="8" t="str">
        <f aca="false">IF($A337="","",IFERROR(IF(INDEX(O1_Community_Attributes!$V$1:$V$500,MATCH($A337,O1_Community_Attributes!$A$1:$A$500,0))="","",INDEX(O1_Community_Attributes!$V$1:$V$500,MATCH($A337,O1_Community_Attributes!$A$1:$A$500,0))),""))</f>
        <v/>
      </c>
      <c r="N337" s="8" t="str">
        <f aca="false">IF($A337="","",IFERROR(IF(INDEX(O1_Community_Attributes!$W$1:$W$500,MATCH($A337,O1_Community_Attributes!$A$1:$A$500,0))="","",INDEX(O1_Community_Attributes!$W$1:$W$500,MATCH($A337,O1_Community_Attributes!$A$1:$A$500,0))),""))</f>
        <v/>
      </c>
      <c r="O337" s="8" t="str">
        <f aca="false">IF($A337="","",IFERROR(IF(INDEX(O1_Community_Attributes!$X$1:$X$500,MATCH($A337,O1_Community_Attributes!$A$1:$A$500,0))="","",INDEX(O1_Community_Attributes!$X$1:$X$500,MATCH($A337,O1_Community_Attributes!$A$1:$A$500,0))),""))</f>
        <v/>
      </c>
      <c r="P337" s="8" t="str">
        <f aca="false">IF($A337="","",IFERROR(IF(INDEX(O1_Community_Attributes!$Y$1:$Y$500,MATCH($A337,O1_Community_Attributes!$A$1:$A$500,0))="","",INDEX(O1_Community_Attributes!$Y$1:$Y$500,MATCH($A337,O1_Community_Attributes!$A$1:$A$500,0))),""))</f>
        <v/>
      </c>
      <c r="Q337" s="8" t="str">
        <f aca="false">IF($A337="","",IFERROR(IF(INDEX(O1_Community_Attributes!$Z$1:$Z$500,MATCH($A337,O1_Community_Attributes!$A$1:$A$500,0))="","",INDEX(O1_Community_Attributes!$Z$1:$Z$500,MATCH($A337,O1_Community_Attributes!$A$1:$A$500,0))),""))</f>
        <v/>
      </c>
      <c r="R337" s="8" t="str">
        <f aca="false">IF($A337="","",IFERROR(IF(INDEX(O1_Community_Attributes!$BK$1:$BK$500,MATCH($A337,O1_Community_Attributes!$A$1:$A$500,0))="","",INDEX(O1_Community_Attributes!$BK$1:$BK$500,MATCH($A337,O1_Community_Attributes!$A$1:$A$500,0))),""))</f>
        <v/>
      </c>
      <c r="S337" s="8" t="str">
        <f aca="false">IF(OR($C337="",$M337=""),"",$M337/$C337)</f>
        <v/>
      </c>
      <c r="T337" s="8" t="str">
        <f aca="false">IF($C337="","",IF(AND($M337="",$P337=""),"",IF($M337="","B",IF(ABS($S337-1)&lt;=0.3,"A",IF(OR($S337&gt;2,$S337&lt;0.5),"C","B")))))</f>
        <v/>
      </c>
    </row>
    <row r="338" customFormat="false" ht="15" hidden="false" customHeight="true" outlineLevel="0" collapsed="false">
      <c r="H338" s="8" t="str">
        <f aca="false">IF(C338="","",IF(C338&lt;1,"yes","no"))</f>
        <v/>
      </c>
      <c r="I338" s="8" t="str">
        <f aca="false">IF(C338="","",IF(C338&lt;2.6,"r75",IF(C338&lt;5.2,"r110",IF(C338&lt;9.9,"r150",IF(C338&lt;19.8,"r210","r300")))))</f>
        <v/>
      </c>
      <c r="M338" s="8" t="str">
        <f aca="false">IF($A338="","",IFERROR(IF(INDEX(O1_Community_Attributes!$V$1:$V$500,MATCH($A338,O1_Community_Attributes!$A$1:$A$500,0))="","",INDEX(O1_Community_Attributes!$V$1:$V$500,MATCH($A338,O1_Community_Attributes!$A$1:$A$500,0))),""))</f>
        <v/>
      </c>
      <c r="N338" s="8" t="str">
        <f aca="false">IF($A338="","",IFERROR(IF(INDEX(O1_Community_Attributes!$W$1:$W$500,MATCH($A338,O1_Community_Attributes!$A$1:$A$500,0))="","",INDEX(O1_Community_Attributes!$W$1:$W$500,MATCH($A338,O1_Community_Attributes!$A$1:$A$500,0))),""))</f>
        <v/>
      </c>
      <c r="O338" s="8" t="str">
        <f aca="false">IF($A338="","",IFERROR(IF(INDEX(O1_Community_Attributes!$X$1:$X$500,MATCH($A338,O1_Community_Attributes!$A$1:$A$500,0))="","",INDEX(O1_Community_Attributes!$X$1:$X$500,MATCH($A338,O1_Community_Attributes!$A$1:$A$500,0))),""))</f>
        <v/>
      </c>
      <c r="P338" s="8" t="str">
        <f aca="false">IF($A338="","",IFERROR(IF(INDEX(O1_Community_Attributes!$Y$1:$Y$500,MATCH($A338,O1_Community_Attributes!$A$1:$A$500,0))="","",INDEX(O1_Community_Attributes!$Y$1:$Y$500,MATCH($A338,O1_Community_Attributes!$A$1:$A$500,0))),""))</f>
        <v/>
      </c>
      <c r="Q338" s="8" t="str">
        <f aca="false">IF($A338="","",IFERROR(IF(INDEX(O1_Community_Attributes!$Z$1:$Z$500,MATCH($A338,O1_Community_Attributes!$A$1:$A$500,0))="","",INDEX(O1_Community_Attributes!$Z$1:$Z$500,MATCH($A338,O1_Community_Attributes!$A$1:$A$500,0))),""))</f>
        <v/>
      </c>
      <c r="R338" s="8" t="str">
        <f aca="false">IF($A338="","",IFERROR(IF(INDEX(O1_Community_Attributes!$BK$1:$BK$500,MATCH($A338,O1_Community_Attributes!$A$1:$A$500,0))="","",INDEX(O1_Community_Attributes!$BK$1:$BK$500,MATCH($A338,O1_Community_Attributes!$A$1:$A$500,0))),""))</f>
        <v/>
      </c>
      <c r="S338" s="8" t="str">
        <f aca="false">IF(OR($C338="",$M338=""),"",$M338/$C338)</f>
        <v/>
      </c>
      <c r="T338" s="8" t="str">
        <f aca="false">IF($C338="","",IF(AND($M338="",$P338=""),"",IF($M338="","B",IF(ABS($S338-1)&lt;=0.3,"A",IF(OR($S338&gt;2,$S338&lt;0.5),"C","B")))))</f>
        <v/>
      </c>
    </row>
    <row r="339" customFormat="false" ht="15" hidden="false" customHeight="true" outlineLevel="0" collapsed="false">
      <c r="H339" s="8" t="str">
        <f aca="false">IF(C339="","",IF(C339&lt;1,"yes","no"))</f>
        <v/>
      </c>
      <c r="I339" s="8" t="str">
        <f aca="false">IF(C339="","",IF(C339&lt;2.6,"r75",IF(C339&lt;5.2,"r110",IF(C339&lt;9.9,"r150",IF(C339&lt;19.8,"r210","r300")))))</f>
        <v/>
      </c>
      <c r="M339" s="8" t="str">
        <f aca="false">IF($A339="","",IFERROR(IF(INDEX(O1_Community_Attributes!$V$1:$V$500,MATCH($A339,O1_Community_Attributes!$A$1:$A$500,0))="","",INDEX(O1_Community_Attributes!$V$1:$V$500,MATCH($A339,O1_Community_Attributes!$A$1:$A$500,0))),""))</f>
        <v/>
      </c>
      <c r="N339" s="8" t="str">
        <f aca="false">IF($A339="","",IFERROR(IF(INDEX(O1_Community_Attributes!$W$1:$W$500,MATCH($A339,O1_Community_Attributes!$A$1:$A$500,0))="","",INDEX(O1_Community_Attributes!$W$1:$W$500,MATCH($A339,O1_Community_Attributes!$A$1:$A$500,0))),""))</f>
        <v/>
      </c>
      <c r="O339" s="8" t="str">
        <f aca="false">IF($A339="","",IFERROR(IF(INDEX(O1_Community_Attributes!$X$1:$X$500,MATCH($A339,O1_Community_Attributes!$A$1:$A$500,0))="","",INDEX(O1_Community_Attributes!$X$1:$X$500,MATCH($A339,O1_Community_Attributes!$A$1:$A$500,0))),""))</f>
        <v/>
      </c>
      <c r="P339" s="8" t="str">
        <f aca="false">IF($A339="","",IFERROR(IF(INDEX(O1_Community_Attributes!$Y$1:$Y$500,MATCH($A339,O1_Community_Attributes!$A$1:$A$500,0))="","",INDEX(O1_Community_Attributes!$Y$1:$Y$500,MATCH($A339,O1_Community_Attributes!$A$1:$A$500,0))),""))</f>
        <v/>
      </c>
      <c r="Q339" s="8" t="str">
        <f aca="false">IF($A339="","",IFERROR(IF(INDEX(O1_Community_Attributes!$Z$1:$Z$500,MATCH($A339,O1_Community_Attributes!$A$1:$A$500,0))="","",INDEX(O1_Community_Attributes!$Z$1:$Z$500,MATCH($A339,O1_Community_Attributes!$A$1:$A$500,0))),""))</f>
        <v/>
      </c>
      <c r="R339" s="8" t="str">
        <f aca="false">IF($A339="","",IFERROR(IF(INDEX(O1_Community_Attributes!$BK$1:$BK$500,MATCH($A339,O1_Community_Attributes!$A$1:$A$500,0))="","",INDEX(O1_Community_Attributes!$BK$1:$BK$500,MATCH($A339,O1_Community_Attributes!$A$1:$A$500,0))),""))</f>
        <v/>
      </c>
      <c r="S339" s="8" t="str">
        <f aca="false">IF(OR($C339="",$M339=""),"",$M339/$C339)</f>
        <v/>
      </c>
      <c r="T339" s="8" t="str">
        <f aca="false">IF($C339="","",IF(AND($M339="",$P339=""),"",IF($M339="","B",IF(ABS($S339-1)&lt;=0.3,"A",IF(OR($S339&gt;2,$S339&lt;0.5),"C","B")))))</f>
        <v/>
      </c>
    </row>
    <row r="340" customFormat="false" ht="15" hidden="false" customHeight="true" outlineLevel="0" collapsed="false">
      <c r="H340" s="8" t="str">
        <f aca="false">IF(C340="","",IF(C340&lt;1,"yes","no"))</f>
        <v/>
      </c>
      <c r="I340" s="8" t="str">
        <f aca="false">IF(C340="","",IF(C340&lt;2.6,"r75",IF(C340&lt;5.2,"r110",IF(C340&lt;9.9,"r150",IF(C340&lt;19.8,"r210","r300")))))</f>
        <v/>
      </c>
      <c r="M340" s="8" t="str">
        <f aca="false">IF($A340="","",IFERROR(IF(INDEX(O1_Community_Attributes!$V$1:$V$500,MATCH($A340,O1_Community_Attributes!$A$1:$A$500,0))="","",INDEX(O1_Community_Attributes!$V$1:$V$500,MATCH($A340,O1_Community_Attributes!$A$1:$A$500,0))),""))</f>
        <v/>
      </c>
      <c r="N340" s="8" t="str">
        <f aca="false">IF($A340="","",IFERROR(IF(INDEX(O1_Community_Attributes!$W$1:$W$500,MATCH($A340,O1_Community_Attributes!$A$1:$A$500,0))="","",INDEX(O1_Community_Attributes!$W$1:$W$500,MATCH($A340,O1_Community_Attributes!$A$1:$A$500,0))),""))</f>
        <v/>
      </c>
      <c r="O340" s="8" t="str">
        <f aca="false">IF($A340="","",IFERROR(IF(INDEX(O1_Community_Attributes!$X$1:$X$500,MATCH($A340,O1_Community_Attributes!$A$1:$A$500,0))="","",INDEX(O1_Community_Attributes!$X$1:$X$500,MATCH($A340,O1_Community_Attributes!$A$1:$A$500,0))),""))</f>
        <v/>
      </c>
      <c r="P340" s="8" t="str">
        <f aca="false">IF($A340="","",IFERROR(IF(INDEX(O1_Community_Attributes!$Y$1:$Y$500,MATCH($A340,O1_Community_Attributes!$A$1:$A$500,0))="","",INDEX(O1_Community_Attributes!$Y$1:$Y$500,MATCH($A340,O1_Community_Attributes!$A$1:$A$500,0))),""))</f>
        <v/>
      </c>
      <c r="Q340" s="8" t="str">
        <f aca="false">IF($A340="","",IFERROR(IF(INDEX(O1_Community_Attributes!$Z$1:$Z$500,MATCH($A340,O1_Community_Attributes!$A$1:$A$500,0))="","",INDEX(O1_Community_Attributes!$Z$1:$Z$500,MATCH($A340,O1_Community_Attributes!$A$1:$A$500,0))),""))</f>
        <v/>
      </c>
      <c r="R340" s="8" t="str">
        <f aca="false">IF($A340="","",IFERROR(IF(INDEX(O1_Community_Attributes!$BK$1:$BK$500,MATCH($A340,O1_Community_Attributes!$A$1:$A$500,0))="","",INDEX(O1_Community_Attributes!$BK$1:$BK$500,MATCH($A340,O1_Community_Attributes!$A$1:$A$500,0))),""))</f>
        <v/>
      </c>
      <c r="S340" s="8" t="str">
        <f aca="false">IF(OR($C340="",$M340=""),"",$M340/$C340)</f>
        <v/>
      </c>
      <c r="T340" s="8" t="str">
        <f aca="false">IF($C340="","",IF(AND($M340="",$P340=""),"",IF($M340="","B",IF(ABS($S340-1)&lt;=0.3,"A",IF(OR($S340&gt;2,$S340&lt;0.5),"C","B")))))</f>
        <v/>
      </c>
    </row>
    <row r="341" customFormat="false" ht="15" hidden="false" customHeight="true" outlineLevel="0" collapsed="false">
      <c r="H341" s="8" t="str">
        <f aca="false">IF(C341="","",IF(C341&lt;1,"yes","no"))</f>
        <v/>
      </c>
      <c r="I341" s="8" t="str">
        <f aca="false">IF(C341="","",IF(C341&lt;2.6,"r75",IF(C341&lt;5.2,"r110",IF(C341&lt;9.9,"r150",IF(C341&lt;19.8,"r210","r300")))))</f>
        <v/>
      </c>
      <c r="M341" s="8" t="str">
        <f aca="false">IF($A341="","",IFERROR(IF(INDEX(O1_Community_Attributes!$V$1:$V$500,MATCH($A341,O1_Community_Attributes!$A$1:$A$500,0))="","",INDEX(O1_Community_Attributes!$V$1:$V$500,MATCH($A341,O1_Community_Attributes!$A$1:$A$500,0))),""))</f>
        <v/>
      </c>
      <c r="N341" s="8" t="str">
        <f aca="false">IF($A341="","",IFERROR(IF(INDEX(O1_Community_Attributes!$W$1:$W$500,MATCH($A341,O1_Community_Attributes!$A$1:$A$500,0))="","",INDEX(O1_Community_Attributes!$W$1:$W$500,MATCH($A341,O1_Community_Attributes!$A$1:$A$500,0))),""))</f>
        <v/>
      </c>
      <c r="O341" s="8" t="str">
        <f aca="false">IF($A341="","",IFERROR(IF(INDEX(O1_Community_Attributes!$X$1:$X$500,MATCH($A341,O1_Community_Attributes!$A$1:$A$500,0))="","",INDEX(O1_Community_Attributes!$X$1:$X$500,MATCH($A341,O1_Community_Attributes!$A$1:$A$500,0))),""))</f>
        <v/>
      </c>
      <c r="P341" s="8" t="str">
        <f aca="false">IF($A341="","",IFERROR(IF(INDEX(O1_Community_Attributes!$Y$1:$Y$500,MATCH($A341,O1_Community_Attributes!$A$1:$A$500,0))="","",INDEX(O1_Community_Attributes!$Y$1:$Y$500,MATCH($A341,O1_Community_Attributes!$A$1:$A$500,0))),""))</f>
        <v/>
      </c>
      <c r="Q341" s="8" t="str">
        <f aca="false">IF($A341="","",IFERROR(IF(INDEX(O1_Community_Attributes!$Z$1:$Z$500,MATCH($A341,O1_Community_Attributes!$A$1:$A$500,0))="","",INDEX(O1_Community_Attributes!$Z$1:$Z$500,MATCH($A341,O1_Community_Attributes!$A$1:$A$500,0))),""))</f>
        <v/>
      </c>
      <c r="R341" s="8" t="str">
        <f aca="false">IF($A341="","",IFERROR(IF(INDEX(O1_Community_Attributes!$BK$1:$BK$500,MATCH($A341,O1_Community_Attributes!$A$1:$A$500,0))="","",INDEX(O1_Community_Attributes!$BK$1:$BK$500,MATCH($A341,O1_Community_Attributes!$A$1:$A$500,0))),""))</f>
        <v/>
      </c>
      <c r="S341" s="8" t="str">
        <f aca="false">IF(OR($C341="",$M341=""),"",$M341/$C341)</f>
        <v/>
      </c>
      <c r="T341" s="8" t="str">
        <f aca="false">IF($C341="","",IF(AND($M341="",$P341=""),"",IF($M341="","B",IF(ABS($S341-1)&lt;=0.3,"A",IF(OR($S341&gt;2,$S341&lt;0.5),"C","B")))))</f>
        <v/>
      </c>
    </row>
    <row r="342" customFormat="false" ht="15" hidden="false" customHeight="true" outlineLevel="0" collapsed="false">
      <c r="H342" s="8" t="str">
        <f aca="false">IF(C342="","",IF(C342&lt;1,"yes","no"))</f>
        <v/>
      </c>
      <c r="I342" s="8" t="str">
        <f aca="false">IF(C342="","",IF(C342&lt;2.6,"r75",IF(C342&lt;5.2,"r110",IF(C342&lt;9.9,"r150",IF(C342&lt;19.8,"r210","r300")))))</f>
        <v/>
      </c>
      <c r="M342" s="8" t="str">
        <f aca="false">IF($A342="","",IFERROR(IF(INDEX(O1_Community_Attributes!$V$1:$V$500,MATCH($A342,O1_Community_Attributes!$A$1:$A$500,0))="","",INDEX(O1_Community_Attributes!$V$1:$V$500,MATCH($A342,O1_Community_Attributes!$A$1:$A$500,0))),""))</f>
        <v/>
      </c>
      <c r="N342" s="8" t="str">
        <f aca="false">IF($A342="","",IFERROR(IF(INDEX(O1_Community_Attributes!$W$1:$W$500,MATCH($A342,O1_Community_Attributes!$A$1:$A$500,0))="","",INDEX(O1_Community_Attributes!$W$1:$W$500,MATCH($A342,O1_Community_Attributes!$A$1:$A$500,0))),""))</f>
        <v/>
      </c>
      <c r="O342" s="8" t="str">
        <f aca="false">IF($A342="","",IFERROR(IF(INDEX(O1_Community_Attributes!$X$1:$X$500,MATCH($A342,O1_Community_Attributes!$A$1:$A$500,0))="","",INDEX(O1_Community_Attributes!$X$1:$X$500,MATCH($A342,O1_Community_Attributes!$A$1:$A$500,0))),""))</f>
        <v/>
      </c>
      <c r="P342" s="8" t="str">
        <f aca="false">IF($A342="","",IFERROR(IF(INDEX(O1_Community_Attributes!$Y$1:$Y$500,MATCH($A342,O1_Community_Attributes!$A$1:$A$500,0))="","",INDEX(O1_Community_Attributes!$Y$1:$Y$500,MATCH($A342,O1_Community_Attributes!$A$1:$A$500,0))),""))</f>
        <v/>
      </c>
      <c r="Q342" s="8" t="str">
        <f aca="false">IF($A342="","",IFERROR(IF(INDEX(O1_Community_Attributes!$Z$1:$Z$500,MATCH($A342,O1_Community_Attributes!$A$1:$A$500,0))="","",INDEX(O1_Community_Attributes!$Z$1:$Z$500,MATCH($A342,O1_Community_Attributes!$A$1:$A$500,0))),""))</f>
        <v/>
      </c>
      <c r="R342" s="8" t="str">
        <f aca="false">IF($A342="","",IFERROR(IF(INDEX(O1_Community_Attributes!$BK$1:$BK$500,MATCH($A342,O1_Community_Attributes!$A$1:$A$500,0))="","",INDEX(O1_Community_Attributes!$BK$1:$BK$500,MATCH($A342,O1_Community_Attributes!$A$1:$A$500,0))),""))</f>
        <v/>
      </c>
      <c r="S342" s="8" t="str">
        <f aca="false">IF(OR($C342="",$M342=""),"",$M342/$C342)</f>
        <v/>
      </c>
      <c r="T342" s="8" t="str">
        <f aca="false">IF($C342="","",IF(AND($M342="",$P342=""),"",IF($M342="","B",IF(ABS($S342-1)&lt;=0.3,"A",IF(OR($S342&gt;2,$S342&lt;0.5),"C","B")))))</f>
        <v/>
      </c>
    </row>
    <row r="343" customFormat="false" ht="15" hidden="false" customHeight="true" outlineLevel="0" collapsed="false">
      <c r="H343" s="8" t="str">
        <f aca="false">IF(C343="","",IF(C343&lt;1,"yes","no"))</f>
        <v/>
      </c>
      <c r="I343" s="8" t="str">
        <f aca="false">IF(C343="","",IF(C343&lt;2.6,"r75",IF(C343&lt;5.2,"r110",IF(C343&lt;9.9,"r150",IF(C343&lt;19.8,"r210","r300")))))</f>
        <v/>
      </c>
      <c r="M343" s="8" t="str">
        <f aca="false">IF($A343="","",IFERROR(IF(INDEX(O1_Community_Attributes!$V$1:$V$500,MATCH($A343,O1_Community_Attributes!$A$1:$A$500,0))="","",INDEX(O1_Community_Attributes!$V$1:$V$500,MATCH($A343,O1_Community_Attributes!$A$1:$A$500,0))),""))</f>
        <v/>
      </c>
      <c r="N343" s="8" t="str">
        <f aca="false">IF($A343="","",IFERROR(IF(INDEX(O1_Community_Attributes!$W$1:$W$500,MATCH($A343,O1_Community_Attributes!$A$1:$A$500,0))="","",INDEX(O1_Community_Attributes!$W$1:$W$500,MATCH($A343,O1_Community_Attributes!$A$1:$A$500,0))),""))</f>
        <v/>
      </c>
      <c r="O343" s="8" t="str">
        <f aca="false">IF($A343="","",IFERROR(IF(INDEX(O1_Community_Attributes!$X$1:$X$500,MATCH($A343,O1_Community_Attributes!$A$1:$A$500,0))="","",INDEX(O1_Community_Attributes!$X$1:$X$500,MATCH($A343,O1_Community_Attributes!$A$1:$A$500,0))),""))</f>
        <v/>
      </c>
      <c r="P343" s="8" t="str">
        <f aca="false">IF($A343="","",IFERROR(IF(INDEX(O1_Community_Attributes!$Y$1:$Y$500,MATCH($A343,O1_Community_Attributes!$A$1:$A$500,0))="","",INDEX(O1_Community_Attributes!$Y$1:$Y$500,MATCH($A343,O1_Community_Attributes!$A$1:$A$500,0))),""))</f>
        <v/>
      </c>
      <c r="Q343" s="8" t="str">
        <f aca="false">IF($A343="","",IFERROR(IF(INDEX(O1_Community_Attributes!$Z$1:$Z$500,MATCH($A343,O1_Community_Attributes!$A$1:$A$500,0))="","",INDEX(O1_Community_Attributes!$Z$1:$Z$500,MATCH($A343,O1_Community_Attributes!$A$1:$A$500,0))),""))</f>
        <v/>
      </c>
      <c r="R343" s="8" t="str">
        <f aca="false">IF($A343="","",IFERROR(IF(INDEX(O1_Community_Attributes!$BK$1:$BK$500,MATCH($A343,O1_Community_Attributes!$A$1:$A$500,0))="","",INDEX(O1_Community_Attributes!$BK$1:$BK$500,MATCH($A343,O1_Community_Attributes!$A$1:$A$500,0))),""))</f>
        <v/>
      </c>
      <c r="S343" s="8" t="str">
        <f aca="false">IF(OR($C343="",$M343=""),"",$M343/$C343)</f>
        <v/>
      </c>
      <c r="T343" s="8" t="str">
        <f aca="false">IF($C343="","",IF(AND($M343="",$P343=""),"",IF($M343="","B",IF(ABS($S343-1)&lt;=0.3,"A",IF(OR($S343&gt;2,$S343&lt;0.5),"C","B")))))</f>
        <v/>
      </c>
    </row>
    <row r="344" customFormat="false" ht="15" hidden="false" customHeight="true" outlineLevel="0" collapsed="false">
      <c r="H344" s="8" t="str">
        <f aca="false">IF(C344="","",IF(C344&lt;1,"yes","no"))</f>
        <v/>
      </c>
      <c r="I344" s="8" t="str">
        <f aca="false">IF(C344="","",IF(C344&lt;2.6,"r75",IF(C344&lt;5.2,"r110",IF(C344&lt;9.9,"r150",IF(C344&lt;19.8,"r210","r300")))))</f>
        <v/>
      </c>
      <c r="M344" s="8" t="str">
        <f aca="false">IF($A344="","",IFERROR(IF(INDEX(O1_Community_Attributes!$V$1:$V$500,MATCH($A344,O1_Community_Attributes!$A$1:$A$500,0))="","",INDEX(O1_Community_Attributes!$V$1:$V$500,MATCH($A344,O1_Community_Attributes!$A$1:$A$500,0))),""))</f>
        <v/>
      </c>
      <c r="N344" s="8" t="str">
        <f aca="false">IF($A344="","",IFERROR(IF(INDEX(O1_Community_Attributes!$W$1:$W$500,MATCH($A344,O1_Community_Attributes!$A$1:$A$500,0))="","",INDEX(O1_Community_Attributes!$W$1:$W$500,MATCH($A344,O1_Community_Attributes!$A$1:$A$500,0))),""))</f>
        <v/>
      </c>
      <c r="O344" s="8" t="str">
        <f aca="false">IF($A344="","",IFERROR(IF(INDEX(O1_Community_Attributes!$X$1:$X$500,MATCH($A344,O1_Community_Attributes!$A$1:$A$500,0))="","",INDEX(O1_Community_Attributes!$X$1:$X$500,MATCH($A344,O1_Community_Attributes!$A$1:$A$500,0))),""))</f>
        <v/>
      </c>
      <c r="P344" s="8" t="str">
        <f aca="false">IF($A344="","",IFERROR(IF(INDEX(O1_Community_Attributes!$Y$1:$Y$500,MATCH($A344,O1_Community_Attributes!$A$1:$A$500,0))="","",INDEX(O1_Community_Attributes!$Y$1:$Y$500,MATCH($A344,O1_Community_Attributes!$A$1:$A$500,0))),""))</f>
        <v/>
      </c>
      <c r="Q344" s="8" t="str">
        <f aca="false">IF($A344="","",IFERROR(IF(INDEX(O1_Community_Attributes!$Z$1:$Z$500,MATCH($A344,O1_Community_Attributes!$A$1:$A$500,0))="","",INDEX(O1_Community_Attributes!$Z$1:$Z$500,MATCH($A344,O1_Community_Attributes!$A$1:$A$500,0))),""))</f>
        <v/>
      </c>
      <c r="R344" s="8" t="str">
        <f aca="false">IF($A344="","",IFERROR(IF(INDEX(O1_Community_Attributes!$BK$1:$BK$500,MATCH($A344,O1_Community_Attributes!$A$1:$A$500,0))="","",INDEX(O1_Community_Attributes!$BK$1:$BK$500,MATCH($A344,O1_Community_Attributes!$A$1:$A$500,0))),""))</f>
        <v/>
      </c>
      <c r="S344" s="8" t="str">
        <f aca="false">IF(OR($C344="",$M344=""),"",$M344/$C344)</f>
        <v/>
      </c>
      <c r="T344" s="8" t="str">
        <f aca="false">IF($C344="","",IF(AND($M344="",$P344=""),"",IF($M344="","B",IF(ABS($S344-1)&lt;=0.3,"A",IF(OR($S344&gt;2,$S344&lt;0.5),"C","B")))))</f>
        <v/>
      </c>
    </row>
    <row r="345" customFormat="false" ht="15" hidden="false" customHeight="true" outlineLevel="0" collapsed="false">
      <c r="H345" s="8" t="str">
        <f aca="false">IF(C345="","",IF(C345&lt;1,"yes","no"))</f>
        <v/>
      </c>
      <c r="I345" s="8" t="str">
        <f aca="false">IF(C345="","",IF(C345&lt;2.6,"r75",IF(C345&lt;5.2,"r110",IF(C345&lt;9.9,"r150",IF(C345&lt;19.8,"r210","r300")))))</f>
        <v/>
      </c>
      <c r="M345" s="8" t="str">
        <f aca="false">IF($A345="","",IFERROR(IF(INDEX(O1_Community_Attributes!$V$1:$V$500,MATCH($A345,O1_Community_Attributes!$A$1:$A$500,0))="","",INDEX(O1_Community_Attributes!$V$1:$V$500,MATCH($A345,O1_Community_Attributes!$A$1:$A$500,0))),""))</f>
        <v/>
      </c>
      <c r="N345" s="8" t="str">
        <f aca="false">IF($A345="","",IFERROR(IF(INDEX(O1_Community_Attributes!$W$1:$W$500,MATCH($A345,O1_Community_Attributes!$A$1:$A$500,0))="","",INDEX(O1_Community_Attributes!$W$1:$W$500,MATCH($A345,O1_Community_Attributes!$A$1:$A$500,0))),""))</f>
        <v/>
      </c>
      <c r="O345" s="8" t="str">
        <f aca="false">IF($A345="","",IFERROR(IF(INDEX(O1_Community_Attributes!$X$1:$X$500,MATCH($A345,O1_Community_Attributes!$A$1:$A$500,0))="","",INDEX(O1_Community_Attributes!$X$1:$X$500,MATCH($A345,O1_Community_Attributes!$A$1:$A$500,0))),""))</f>
        <v/>
      </c>
      <c r="P345" s="8" t="str">
        <f aca="false">IF($A345="","",IFERROR(IF(INDEX(O1_Community_Attributes!$Y$1:$Y$500,MATCH($A345,O1_Community_Attributes!$A$1:$A$500,0))="","",INDEX(O1_Community_Attributes!$Y$1:$Y$500,MATCH($A345,O1_Community_Attributes!$A$1:$A$500,0))),""))</f>
        <v/>
      </c>
      <c r="Q345" s="8" t="str">
        <f aca="false">IF($A345="","",IFERROR(IF(INDEX(O1_Community_Attributes!$Z$1:$Z$500,MATCH($A345,O1_Community_Attributes!$A$1:$A$500,0))="","",INDEX(O1_Community_Attributes!$Z$1:$Z$500,MATCH($A345,O1_Community_Attributes!$A$1:$A$500,0))),""))</f>
        <v/>
      </c>
      <c r="R345" s="8" t="str">
        <f aca="false">IF($A345="","",IFERROR(IF(INDEX(O1_Community_Attributes!$BK$1:$BK$500,MATCH($A345,O1_Community_Attributes!$A$1:$A$500,0))="","",INDEX(O1_Community_Attributes!$BK$1:$BK$500,MATCH($A345,O1_Community_Attributes!$A$1:$A$500,0))),""))</f>
        <v/>
      </c>
      <c r="S345" s="8" t="str">
        <f aca="false">IF(OR($C345="",$M345=""),"",$M345/$C345)</f>
        <v/>
      </c>
      <c r="T345" s="8" t="str">
        <f aca="false">IF($C345="","",IF(AND($M345="",$P345=""),"",IF($M345="","B",IF(ABS($S345-1)&lt;=0.3,"A",IF(OR($S345&gt;2,$S345&lt;0.5),"C","B")))))</f>
        <v/>
      </c>
    </row>
    <row r="346" customFormat="false" ht="15" hidden="false" customHeight="true" outlineLevel="0" collapsed="false">
      <c r="H346" s="8" t="str">
        <f aca="false">IF(C346="","",IF(C346&lt;1,"yes","no"))</f>
        <v/>
      </c>
      <c r="I346" s="8" t="str">
        <f aca="false">IF(C346="","",IF(C346&lt;2.6,"r75",IF(C346&lt;5.2,"r110",IF(C346&lt;9.9,"r150",IF(C346&lt;19.8,"r210","r300")))))</f>
        <v/>
      </c>
      <c r="M346" s="8" t="str">
        <f aca="false">IF($A346="","",IFERROR(IF(INDEX(O1_Community_Attributes!$V$1:$V$500,MATCH($A346,O1_Community_Attributes!$A$1:$A$500,0))="","",INDEX(O1_Community_Attributes!$V$1:$V$500,MATCH($A346,O1_Community_Attributes!$A$1:$A$500,0))),""))</f>
        <v/>
      </c>
      <c r="N346" s="8" t="str">
        <f aca="false">IF($A346="","",IFERROR(IF(INDEX(O1_Community_Attributes!$W$1:$W$500,MATCH($A346,O1_Community_Attributes!$A$1:$A$500,0))="","",INDEX(O1_Community_Attributes!$W$1:$W$500,MATCH($A346,O1_Community_Attributes!$A$1:$A$500,0))),""))</f>
        <v/>
      </c>
      <c r="O346" s="8" t="str">
        <f aca="false">IF($A346="","",IFERROR(IF(INDEX(O1_Community_Attributes!$X$1:$X$500,MATCH($A346,O1_Community_Attributes!$A$1:$A$500,0))="","",INDEX(O1_Community_Attributes!$X$1:$X$500,MATCH($A346,O1_Community_Attributes!$A$1:$A$500,0))),""))</f>
        <v/>
      </c>
      <c r="P346" s="8" t="str">
        <f aca="false">IF($A346="","",IFERROR(IF(INDEX(O1_Community_Attributes!$Y$1:$Y$500,MATCH($A346,O1_Community_Attributes!$A$1:$A$500,0))="","",INDEX(O1_Community_Attributes!$Y$1:$Y$500,MATCH($A346,O1_Community_Attributes!$A$1:$A$500,0))),""))</f>
        <v/>
      </c>
      <c r="Q346" s="8" t="str">
        <f aca="false">IF($A346="","",IFERROR(IF(INDEX(O1_Community_Attributes!$Z$1:$Z$500,MATCH($A346,O1_Community_Attributes!$A$1:$A$500,0))="","",INDEX(O1_Community_Attributes!$Z$1:$Z$500,MATCH($A346,O1_Community_Attributes!$A$1:$A$500,0))),""))</f>
        <v/>
      </c>
      <c r="R346" s="8" t="str">
        <f aca="false">IF($A346="","",IFERROR(IF(INDEX(O1_Community_Attributes!$BK$1:$BK$500,MATCH($A346,O1_Community_Attributes!$A$1:$A$500,0))="","",INDEX(O1_Community_Attributes!$BK$1:$BK$500,MATCH($A346,O1_Community_Attributes!$A$1:$A$500,0))),""))</f>
        <v/>
      </c>
      <c r="S346" s="8" t="str">
        <f aca="false">IF(OR($C346="",$M346=""),"",$M346/$C346)</f>
        <v/>
      </c>
      <c r="T346" s="8" t="str">
        <f aca="false">IF($C346="","",IF(AND($M346="",$P346=""),"",IF($M346="","B",IF(ABS($S346-1)&lt;=0.3,"A",IF(OR($S346&gt;2,$S346&lt;0.5),"C","B")))))</f>
        <v/>
      </c>
    </row>
    <row r="347" customFormat="false" ht="15" hidden="false" customHeight="true" outlineLevel="0" collapsed="false">
      <c r="H347" s="8" t="str">
        <f aca="false">IF(C347="","",IF(C347&lt;1,"yes","no"))</f>
        <v/>
      </c>
      <c r="I347" s="8" t="str">
        <f aca="false">IF(C347="","",IF(C347&lt;2.6,"r75",IF(C347&lt;5.2,"r110",IF(C347&lt;9.9,"r150",IF(C347&lt;19.8,"r210","r300")))))</f>
        <v/>
      </c>
      <c r="M347" s="8" t="str">
        <f aca="false">IF($A347="","",IFERROR(IF(INDEX(O1_Community_Attributes!$V$1:$V$500,MATCH($A347,O1_Community_Attributes!$A$1:$A$500,0))="","",INDEX(O1_Community_Attributes!$V$1:$V$500,MATCH($A347,O1_Community_Attributes!$A$1:$A$500,0))),""))</f>
        <v/>
      </c>
      <c r="N347" s="8" t="str">
        <f aca="false">IF($A347="","",IFERROR(IF(INDEX(O1_Community_Attributes!$W$1:$W$500,MATCH($A347,O1_Community_Attributes!$A$1:$A$500,0))="","",INDEX(O1_Community_Attributes!$W$1:$W$500,MATCH($A347,O1_Community_Attributes!$A$1:$A$500,0))),""))</f>
        <v/>
      </c>
      <c r="O347" s="8" t="str">
        <f aca="false">IF($A347="","",IFERROR(IF(INDEX(O1_Community_Attributes!$X$1:$X$500,MATCH($A347,O1_Community_Attributes!$A$1:$A$500,0))="","",INDEX(O1_Community_Attributes!$X$1:$X$500,MATCH($A347,O1_Community_Attributes!$A$1:$A$500,0))),""))</f>
        <v/>
      </c>
      <c r="P347" s="8" t="str">
        <f aca="false">IF($A347="","",IFERROR(IF(INDEX(O1_Community_Attributes!$Y$1:$Y$500,MATCH($A347,O1_Community_Attributes!$A$1:$A$500,0))="","",INDEX(O1_Community_Attributes!$Y$1:$Y$500,MATCH($A347,O1_Community_Attributes!$A$1:$A$500,0))),""))</f>
        <v/>
      </c>
      <c r="Q347" s="8" t="str">
        <f aca="false">IF($A347="","",IFERROR(IF(INDEX(O1_Community_Attributes!$Z$1:$Z$500,MATCH($A347,O1_Community_Attributes!$A$1:$A$500,0))="","",INDEX(O1_Community_Attributes!$Z$1:$Z$500,MATCH($A347,O1_Community_Attributes!$A$1:$A$500,0))),""))</f>
        <v/>
      </c>
      <c r="R347" s="8" t="str">
        <f aca="false">IF($A347="","",IFERROR(IF(INDEX(O1_Community_Attributes!$BK$1:$BK$500,MATCH($A347,O1_Community_Attributes!$A$1:$A$500,0))="","",INDEX(O1_Community_Attributes!$BK$1:$BK$500,MATCH($A347,O1_Community_Attributes!$A$1:$A$500,0))),""))</f>
        <v/>
      </c>
      <c r="S347" s="8" t="str">
        <f aca="false">IF(OR($C347="",$M347=""),"",$M347/$C347)</f>
        <v/>
      </c>
      <c r="T347" s="8" t="str">
        <f aca="false">IF($C347="","",IF(AND($M347="",$P347=""),"",IF($M347="","B",IF(ABS($S347-1)&lt;=0.3,"A",IF(OR($S347&gt;2,$S347&lt;0.5),"C","B")))))</f>
        <v/>
      </c>
    </row>
    <row r="348" customFormat="false" ht="15" hidden="false" customHeight="true" outlineLevel="0" collapsed="false">
      <c r="H348" s="8" t="str">
        <f aca="false">IF(C348="","",IF(C348&lt;1,"yes","no"))</f>
        <v/>
      </c>
      <c r="I348" s="8" t="str">
        <f aca="false">IF(C348="","",IF(C348&lt;2.6,"r75",IF(C348&lt;5.2,"r110",IF(C348&lt;9.9,"r150",IF(C348&lt;19.8,"r210","r300")))))</f>
        <v/>
      </c>
      <c r="M348" s="8" t="str">
        <f aca="false">IF($A348="","",IFERROR(IF(INDEX(O1_Community_Attributes!$V$1:$V$500,MATCH($A348,O1_Community_Attributes!$A$1:$A$500,0))="","",INDEX(O1_Community_Attributes!$V$1:$V$500,MATCH($A348,O1_Community_Attributes!$A$1:$A$500,0))),""))</f>
        <v/>
      </c>
      <c r="N348" s="8" t="str">
        <f aca="false">IF($A348="","",IFERROR(IF(INDEX(O1_Community_Attributes!$W$1:$W$500,MATCH($A348,O1_Community_Attributes!$A$1:$A$500,0))="","",INDEX(O1_Community_Attributes!$W$1:$W$500,MATCH($A348,O1_Community_Attributes!$A$1:$A$500,0))),""))</f>
        <v/>
      </c>
      <c r="O348" s="8" t="str">
        <f aca="false">IF($A348="","",IFERROR(IF(INDEX(O1_Community_Attributes!$X$1:$X$500,MATCH($A348,O1_Community_Attributes!$A$1:$A$500,0))="","",INDEX(O1_Community_Attributes!$X$1:$X$500,MATCH($A348,O1_Community_Attributes!$A$1:$A$500,0))),""))</f>
        <v/>
      </c>
      <c r="P348" s="8" t="str">
        <f aca="false">IF($A348="","",IFERROR(IF(INDEX(O1_Community_Attributes!$Y$1:$Y$500,MATCH($A348,O1_Community_Attributes!$A$1:$A$500,0))="","",INDEX(O1_Community_Attributes!$Y$1:$Y$500,MATCH($A348,O1_Community_Attributes!$A$1:$A$500,0))),""))</f>
        <v/>
      </c>
      <c r="Q348" s="8" t="str">
        <f aca="false">IF($A348="","",IFERROR(IF(INDEX(O1_Community_Attributes!$Z$1:$Z$500,MATCH($A348,O1_Community_Attributes!$A$1:$A$500,0))="","",INDEX(O1_Community_Attributes!$Z$1:$Z$500,MATCH($A348,O1_Community_Attributes!$A$1:$A$500,0))),""))</f>
        <v/>
      </c>
      <c r="R348" s="8" t="str">
        <f aca="false">IF($A348="","",IFERROR(IF(INDEX(O1_Community_Attributes!$BK$1:$BK$500,MATCH($A348,O1_Community_Attributes!$A$1:$A$500,0))="","",INDEX(O1_Community_Attributes!$BK$1:$BK$500,MATCH($A348,O1_Community_Attributes!$A$1:$A$500,0))),""))</f>
        <v/>
      </c>
      <c r="S348" s="8" t="str">
        <f aca="false">IF(OR($C348="",$M348=""),"",$M348/$C348)</f>
        <v/>
      </c>
      <c r="T348" s="8" t="str">
        <f aca="false">IF($C348="","",IF(AND($M348="",$P348=""),"",IF($M348="","B",IF(ABS($S348-1)&lt;=0.3,"A",IF(OR($S348&gt;2,$S348&lt;0.5),"C","B")))))</f>
        <v/>
      </c>
    </row>
    <row r="349" customFormat="false" ht="15" hidden="false" customHeight="true" outlineLevel="0" collapsed="false">
      <c r="H349" s="8" t="str">
        <f aca="false">IF(C349="","",IF(C349&lt;1,"yes","no"))</f>
        <v/>
      </c>
      <c r="I349" s="8" t="str">
        <f aca="false">IF(C349="","",IF(C349&lt;2.6,"r75",IF(C349&lt;5.2,"r110",IF(C349&lt;9.9,"r150",IF(C349&lt;19.8,"r210","r300")))))</f>
        <v/>
      </c>
      <c r="M349" s="8" t="str">
        <f aca="false">IF($A349="","",IFERROR(IF(INDEX(O1_Community_Attributes!$V$1:$V$500,MATCH($A349,O1_Community_Attributes!$A$1:$A$500,0))="","",INDEX(O1_Community_Attributes!$V$1:$V$500,MATCH($A349,O1_Community_Attributes!$A$1:$A$500,0))),""))</f>
        <v/>
      </c>
      <c r="N349" s="8" t="str">
        <f aca="false">IF($A349="","",IFERROR(IF(INDEX(O1_Community_Attributes!$W$1:$W$500,MATCH($A349,O1_Community_Attributes!$A$1:$A$500,0))="","",INDEX(O1_Community_Attributes!$W$1:$W$500,MATCH($A349,O1_Community_Attributes!$A$1:$A$500,0))),""))</f>
        <v/>
      </c>
      <c r="O349" s="8" t="str">
        <f aca="false">IF($A349="","",IFERROR(IF(INDEX(O1_Community_Attributes!$X$1:$X$500,MATCH($A349,O1_Community_Attributes!$A$1:$A$500,0))="","",INDEX(O1_Community_Attributes!$X$1:$X$500,MATCH($A349,O1_Community_Attributes!$A$1:$A$500,0))),""))</f>
        <v/>
      </c>
      <c r="P349" s="8" t="str">
        <f aca="false">IF($A349="","",IFERROR(IF(INDEX(O1_Community_Attributes!$Y$1:$Y$500,MATCH($A349,O1_Community_Attributes!$A$1:$A$500,0))="","",INDEX(O1_Community_Attributes!$Y$1:$Y$500,MATCH($A349,O1_Community_Attributes!$A$1:$A$500,0))),""))</f>
        <v/>
      </c>
      <c r="Q349" s="8" t="str">
        <f aca="false">IF($A349="","",IFERROR(IF(INDEX(O1_Community_Attributes!$Z$1:$Z$500,MATCH($A349,O1_Community_Attributes!$A$1:$A$500,0))="","",INDEX(O1_Community_Attributes!$Z$1:$Z$500,MATCH($A349,O1_Community_Attributes!$A$1:$A$500,0))),""))</f>
        <v/>
      </c>
      <c r="R349" s="8" t="str">
        <f aca="false">IF($A349="","",IFERROR(IF(INDEX(O1_Community_Attributes!$BK$1:$BK$500,MATCH($A349,O1_Community_Attributes!$A$1:$A$500,0))="","",INDEX(O1_Community_Attributes!$BK$1:$BK$500,MATCH($A349,O1_Community_Attributes!$A$1:$A$500,0))),""))</f>
        <v/>
      </c>
      <c r="S349" s="8" t="str">
        <f aca="false">IF(OR($C349="",$M349=""),"",$M349/$C349)</f>
        <v/>
      </c>
      <c r="T349" s="8" t="str">
        <f aca="false">IF($C349="","",IF(AND($M349="",$P349=""),"",IF($M349="","B",IF(ABS($S349-1)&lt;=0.3,"A",IF(OR($S349&gt;2,$S349&lt;0.5),"C","B")))))</f>
        <v/>
      </c>
    </row>
    <row r="350" customFormat="false" ht="15" hidden="false" customHeight="true" outlineLevel="0" collapsed="false">
      <c r="H350" s="8" t="str">
        <f aca="false">IF(C350="","",IF(C350&lt;1,"yes","no"))</f>
        <v/>
      </c>
      <c r="I350" s="8" t="str">
        <f aca="false">IF(C350="","",IF(C350&lt;2.6,"r75",IF(C350&lt;5.2,"r110",IF(C350&lt;9.9,"r150",IF(C350&lt;19.8,"r210","r300")))))</f>
        <v/>
      </c>
      <c r="M350" s="8" t="str">
        <f aca="false">IF($A350="","",IFERROR(IF(INDEX(O1_Community_Attributes!$V$1:$V$500,MATCH($A350,O1_Community_Attributes!$A$1:$A$500,0))="","",INDEX(O1_Community_Attributes!$V$1:$V$500,MATCH($A350,O1_Community_Attributes!$A$1:$A$500,0))),""))</f>
        <v/>
      </c>
      <c r="N350" s="8" t="str">
        <f aca="false">IF($A350="","",IFERROR(IF(INDEX(O1_Community_Attributes!$W$1:$W$500,MATCH($A350,O1_Community_Attributes!$A$1:$A$500,0))="","",INDEX(O1_Community_Attributes!$W$1:$W$500,MATCH($A350,O1_Community_Attributes!$A$1:$A$500,0))),""))</f>
        <v/>
      </c>
      <c r="O350" s="8" t="str">
        <f aca="false">IF($A350="","",IFERROR(IF(INDEX(O1_Community_Attributes!$X$1:$X$500,MATCH($A350,O1_Community_Attributes!$A$1:$A$500,0))="","",INDEX(O1_Community_Attributes!$X$1:$X$500,MATCH($A350,O1_Community_Attributes!$A$1:$A$500,0))),""))</f>
        <v/>
      </c>
      <c r="P350" s="8" t="str">
        <f aca="false">IF($A350="","",IFERROR(IF(INDEX(O1_Community_Attributes!$Y$1:$Y$500,MATCH($A350,O1_Community_Attributes!$A$1:$A$500,0))="","",INDEX(O1_Community_Attributes!$Y$1:$Y$500,MATCH($A350,O1_Community_Attributes!$A$1:$A$500,0))),""))</f>
        <v/>
      </c>
      <c r="Q350" s="8" t="str">
        <f aca="false">IF($A350="","",IFERROR(IF(INDEX(O1_Community_Attributes!$Z$1:$Z$500,MATCH($A350,O1_Community_Attributes!$A$1:$A$500,0))="","",INDEX(O1_Community_Attributes!$Z$1:$Z$500,MATCH($A350,O1_Community_Attributes!$A$1:$A$500,0))),""))</f>
        <v/>
      </c>
      <c r="R350" s="8" t="str">
        <f aca="false">IF($A350="","",IFERROR(IF(INDEX(O1_Community_Attributes!$BK$1:$BK$500,MATCH($A350,O1_Community_Attributes!$A$1:$A$500,0))="","",INDEX(O1_Community_Attributes!$BK$1:$BK$500,MATCH($A350,O1_Community_Attributes!$A$1:$A$500,0))),""))</f>
        <v/>
      </c>
      <c r="S350" s="8" t="str">
        <f aca="false">IF(OR($C350="",$M350=""),"",$M350/$C350)</f>
        <v/>
      </c>
      <c r="T350" s="8" t="str">
        <f aca="false">IF($C350="","",IF(AND($M350="",$P350=""),"",IF($M350="","B",IF(ABS($S350-1)&lt;=0.3,"A",IF(OR($S350&gt;2,$S350&lt;0.5),"C","B")))))</f>
        <v/>
      </c>
    </row>
    <row r="351" customFormat="false" ht="15" hidden="false" customHeight="true" outlineLevel="0" collapsed="false">
      <c r="H351" s="8" t="str">
        <f aca="false">IF(C351="","",IF(C351&lt;1,"yes","no"))</f>
        <v/>
      </c>
      <c r="I351" s="8" t="str">
        <f aca="false">IF(C351="","",IF(C351&lt;2.6,"r75",IF(C351&lt;5.2,"r110",IF(C351&lt;9.9,"r150",IF(C351&lt;19.8,"r210","r300")))))</f>
        <v/>
      </c>
      <c r="M351" s="8" t="str">
        <f aca="false">IF($A351="","",IFERROR(IF(INDEX(O1_Community_Attributes!$V$1:$V$500,MATCH($A351,O1_Community_Attributes!$A$1:$A$500,0))="","",INDEX(O1_Community_Attributes!$V$1:$V$500,MATCH($A351,O1_Community_Attributes!$A$1:$A$500,0))),""))</f>
        <v/>
      </c>
      <c r="N351" s="8" t="str">
        <f aca="false">IF($A351="","",IFERROR(IF(INDEX(O1_Community_Attributes!$W$1:$W$500,MATCH($A351,O1_Community_Attributes!$A$1:$A$500,0))="","",INDEX(O1_Community_Attributes!$W$1:$W$500,MATCH($A351,O1_Community_Attributes!$A$1:$A$500,0))),""))</f>
        <v/>
      </c>
      <c r="O351" s="8" t="str">
        <f aca="false">IF($A351="","",IFERROR(IF(INDEX(O1_Community_Attributes!$X$1:$X$500,MATCH($A351,O1_Community_Attributes!$A$1:$A$500,0))="","",INDEX(O1_Community_Attributes!$X$1:$X$500,MATCH($A351,O1_Community_Attributes!$A$1:$A$500,0))),""))</f>
        <v/>
      </c>
      <c r="P351" s="8" t="str">
        <f aca="false">IF($A351="","",IFERROR(IF(INDEX(O1_Community_Attributes!$Y$1:$Y$500,MATCH($A351,O1_Community_Attributes!$A$1:$A$500,0))="","",INDEX(O1_Community_Attributes!$Y$1:$Y$500,MATCH($A351,O1_Community_Attributes!$A$1:$A$500,0))),""))</f>
        <v/>
      </c>
      <c r="Q351" s="8" t="str">
        <f aca="false">IF($A351="","",IFERROR(IF(INDEX(O1_Community_Attributes!$Z$1:$Z$500,MATCH($A351,O1_Community_Attributes!$A$1:$A$500,0))="","",INDEX(O1_Community_Attributes!$Z$1:$Z$500,MATCH($A351,O1_Community_Attributes!$A$1:$A$500,0))),""))</f>
        <v/>
      </c>
      <c r="R351" s="8" t="str">
        <f aca="false">IF($A351="","",IFERROR(IF(INDEX(O1_Community_Attributes!$BK$1:$BK$500,MATCH($A351,O1_Community_Attributes!$A$1:$A$500,0))="","",INDEX(O1_Community_Attributes!$BK$1:$BK$500,MATCH($A351,O1_Community_Attributes!$A$1:$A$500,0))),""))</f>
        <v/>
      </c>
      <c r="S351" s="8" t="str">
        <f aca="false">IF(OR($C351="",$M351=""),"",$M351/$C351)</f>
        <v/>
      </c>
      <c r="T351" s="8" t="str">
        <f aca="false">IF($C351="","",IF(AND($M351="",$P351=""),"",IF($M351="","B",IF(ABS($S351-1)&lt;=0.3,"A",IF(OR($S351&gt;2,$S351&lt;0.5),"C","B")))))</f>
        <v/>
      </c>
    </row>
    <row r="352" customFormat="false" ht="15" hidden="false" customHeight="true" outlineLevel="0" collapsed="false">
      <c r="H352" s="8" t="str">
        <f aca="false">IF(C352="","",IF(C352&lt;1,"yes","no"))</f>
        <v/>
      </c>
      <c r="I352" s="8" t="str">
        <f aca="false">IF(C352="","",IF(C352&lt;2.6,"r75",IF(C352&lt;5.2,"r110",IF(C352&lt;9.9,"r150",IF(C352&lt;19.8,"r210","r300")))))</f>
        <v/>
      </c>
      <c r="M352" s="8" t="str">
        <f aca="false">IF($A352="","",IFERROR(IF(INDEX(O1_Community_Attributes!$V$1:$V$500,MATCH($A352,O1_Community_Attributes!$A$1:$A$500,0))="","",INDEX(O1_Community_Attributes!$V$1:$V$500,MATCH($A352,O1_Community_Attributes!$A$1:$A$500,0))),""))</f>
        <v/>
      </c>
      <c r="N352" s="8" t="str">
        <f aca="false">IF($A352="","",IFERROR(IF(INDEX(O1_Community_Attributes!$W$1:$W$500,MATCH($A352,O1_Community_Attributes!$A$1:$A$500,0))="","",INDEX(O1_Community_Attributes!$W$1:$W$500,MATCH($A352,O1_Community_Attributes!$A$1:$A$500,0))),""))</f>
        <v/>
      </c>
      <c r="O352" s="8" t="str">
        <f aca="false">IF($A352="","",IFERROR(IF(INDEX(O1_Community_Attributes!$X$1:$X$500,MATCH($A352,O1_Community_Attributes!$A$1:$A$500,0))="","",INDEX(O1_Community_Attributes!$X$1:$X$500,MATCH($A352,O1_Community_Attributes!$A$1:$A$500,0))),""))</f>
        <v/>
      </c>
      <c r="P352" s="8" t="str">
        <f aca="false">IF($A352="","",IFERROR(IF(INDEX(O1_Community_Attributes!$Y$1:$Y$500,MATCH($A352,O1_Community_Attributes!$A$1:$A$500,0))="","",INDEX(O1_Community_Attributes!$Y$1:$Y$500,MATCH($A352,O1_Community_Attributes!$A$1:$A$500,0))),""))</f>
        <v/>
      </c>
      <c r="Q352" s="8" t="str">
        <f aca="false">IF($A352="","",IFERROR(IF(INDEX(O1_Community_Attributes!$Z$1:$Z$500,MATCH($A352,O1_Community_Attributes!$A$1:$A$500,0))="","",INDEX(O1_Community_Attributes!$Z$1:$Z$500,MATCH($A352,O1_Community_Attributes!$A$1:$A$500,0))),""))</f>
        <v/>
      </c>
      <c r="R352" s="8" t="str">
        <f aca="false">IF($A352="","",IFERROR(IF(INDEX(O1_Community_Attributes!$BK$1:$BK$500,MATCH($A352,O1_Community_Attributes!$A$1:$A$500,0))="","",INDEX(O1_Community_Attributes!$BK$1:$BK$500,MATCH($A352,O1_Community_Attributes!$A$1:$A$500,0))),""))</f>
        <v/>
      </c>
      <c r="S352" s="8" t="str">
        <f aca="false">IF(OR($C352="",$M352=""),"",$M352/$C352)</f>
        <v/>
      </c>
      <c r="T352" s="8" t="str">
        <f aca="false">IF($C352="","",IF(AND($M352="",$P352=""),"",IF($M352="","B",IF(ABS($S352-1)&lt;=0.3,"A",IF(OR($S352&gt;2,$S352&lt;0.5),"C","B")))))</f>
        <v/>
      </c>
    </row>
    <row r="353" customFormat="false" ht="15" hidden="false" customHeight="true" outlineLevel="0" collapsed="false">
      <c r="H353" s="8" t="str">
        <f aca="false">IF(C353="","",IF(C353&lt;1,"yes","no"))</f>
        <v/>
      </c>
      <c r="I353" s="8" t="str">
        <f aca="false">IF(C353="","",IF(C353&lt;2.6,"r75",IF(C353&lt;5.2,"r110",IF(C353&lt;9.9,"r150",IF(C353&lt;19.8,"r210","r300")))))</f>
        <v/>
      </c>
      <c r="M353" s="8" t="str">
        <f aca="false">IF($A353="","",IFERROR(IF(INDEX(O1_Community_Attributes!$V$1:$V$500,MATCH($A353,O1_Community_Attributes!$A$1:$A$500,0))="","",INDEX(O1_Community_Attributes!$V$1:$V$500,MATCH($A353,O1_Community_Attributes!$A$1:$A$500,0))),""))</f>
        <v/>
      </c>
      <c r="N353" s="8" t="str">
        <f aca="false">IF($A353="","",IFERROR(IF(INDEX(O1_Community_Attributes!$W$1:$W$500,MATCH($A353,O1_Community_Attributes!$A$1:$A$500,0))="","",INDEX(O1_Community_Attributes!$W$1:$W$500,MATCH($A353,O1_Community_Attributes!$A$1:$A$500,0))),""))</f>
        <v/>
      </c>
      <c r="O353" s="8" t="str">
        <f aca="false">IF($A353="","",IFERROR(IF(INDEX(O1_Community_Attributes!$X$1:$X$500,MATCH($A353,O1_Community_Attributes!$A$1:$A$500,0))="","",INDEX(O1_Community_Attributes!$X$1:$X$500,MATCH($A353,O1_Community_Attributes!$A$1:$A$500,0))),""))</f>
        <v/>
      </c>
      <c r="P353" s="8" t="str">
        <f aca="false">IF($A353="","",IFERROR(IF(INDEX(O1_Community_Attributes!$Y$1:$Y$500,MATCH($A353,O1_Community_Attributes!$A$1:$A$500,0))="","",INDEX(O1_Community_Attributes!$Y$1:$Y$500,MATCH($A353,O1_Community_Attributes!$A$1:$A$500,0))),""))</f>
        <v/>
      </c>
      <c r="Q353" s="8" t="str">
        <f aca="false">IF($A353="","",IFERROR(IF(INDEX(O1_Community_Attributes!$Z$1:$Z$500,MATCH($A353,O1_Community_Attributes!$A$1:$A$500,0))="","",INDEX(O1_Community_Attributes!$Z$1:$Z$500,MATCH($A353,O1_Community_Attributes!$A$1:$A$500,0))),""))</f>
        <v/>
      </c>
      <c r="R353" s="8" t="str">
        <f aca="false">IF($A353="","",IFERROR(IF(INDEX(O1_Community_Attributes!$BK$1:$BK$500,MATCH($A353,O1_Community_Attributes!$A$1:$A$500,0))="","",INDEX(O1_Community_Attributes!$BK$1:$BK$500,MATCH($A353,O1_Community_Attributes!$A$1:$A$500,0))),""))</f>
        <v/>
      </c>
      <c r="S353" s="8" t="str">
        <f aca="false">IF(OR($C353="",$M353=""),"",$M353/$C353)</f>
        <v/>
      </c>
      <c r="T353" s="8" t="str">
        <f aca="false">IF($C353="","",IF(AND($M353="",$P353=""),"",IF($M353="","B",IF(ABS($S353-1)&lt;=0.3,"A",IF(OR($S353&gt;2,$S353&lt;0.5),"C","B")))))</f>
        <v/>
      </c>
    </row>
    <row r="354" customFormat="false" ht="15" hidden="false" customHeight="true" outlineLevel="0" collapsed="false">
      <c r="H354" s="8" t="str">
        <f aca="false">IF(C354="","",IF(C354&lt;1,"yes","no"))</f>
        <v/>
      </c>
      <c r="I354" s="8" t="str">
        <f aca="false">IF(C354="","",IF(C354&lt;2.6,"r75",IF(C354&lt;5.2,"r110",IF(C354&lt;9.9,"r150",IF(C354&lt;19.8,"r210","r300")))))</f>
        <v/>
      </c>
      <c r="M354" s="8" t="str">
        <f aca="false">IF($A354="","",IFERROR(IF(INDEX(O1_Community_Attributes!$V$1:$V$500,MATCH($A354,O1_Community_Attributes!$A$1:$A$500,0))="","",INDEX(O1_Community_Attributes!$V$1:$V$500,MATCH($A354,O1_Community_Attributes!$A$1:$A$500,0))),""))</f>
        <v/>
      </c>
      <c r="N354" s="8" t="str">
        <f aca="false">IF($A354="","",IFERROR(IF(INDEX(O1_Community_Attributes!$W$1:$W$500,MATCH($A354,O1_Community_Attributes!$A$1:$A$500,0))="","",INDEX(O1_Community_Attributes!$W$1:$W$500,MATCH($A354,O1_Community_Attributes!$A$1:$A$500,0))),""))</f>
        <v/>
      </c>
      <c r="O354" s="8" t="str">
        <f aca="false">IF($A354="","",IFERROR(IF(INDEX(O1_Community_Attributes!$X$1:$X$500,MATCH($A354,O1_Community_Attributes!$A$1:$A$500,0))="","",INDEX(O1_Community_Attributes!$X$1:$X$500,MATCH($A354,O1_Community_Attributes!$A$1:$A$500,0))),""))</f>
        <v/>
      </c>
      <c r="P354" s="8" t="str">
        <f aca="false">IF($A354="","",IFERROR(IF(INDEX(O1_Community_Attributes!$Y$1:$Y$500,MATCH($A354,O1_Community_Attributes!$A$1:$A$500,0))="","",INDEX(O1_Community_Attributes!$Y$1:$Y$500,MATCH($A354,O1_Community_Attributes!$A$1:$A$500,0))),""))</f>
        <v/>
      </c>
      <c r="Q354" s="8" t="str">
        <f aca="false">IF($A354="","",IFERROR(IF(INDEX(O1_Community_Attributes!$Z$1:$Z$500,MATCH($A354,O1_Community_Attributes!$A$1:$A$500,0))="","",INDEX(O1_Community_Attributes!$Z$1:$Z$500,MATCH($A354,O1_Community_Attributes!$A$1:$A$500,0))),""))</f>
        <v/>
      </c>
      <c r="R354" s="8" t="str">
        <f aca="false">IF($A354="","",IFERROR(IF(INDEX(O1_Community_Attributes!$BK$1:$BK$500,MATCH($A354,O1_Community_Attributes!$A$1:$A$500,0))="","",INDEX(O1_Community_Attributes!$BK$1:$BK$500,MATCH($A354,O1_Community_Attributes!$A$1:$A$500,0))),""))</f>
        <v/>
      </c>
      <c r="S354" s="8" t="str">
        <f aca="false">IF(OR($C354="",$M354=""),"",$M354/$C354)</f>
        <v/>
      </c>
      <c r="T354" s="8" t="str">
        <f aca="false">IF($C354="","",IF(AND($M354="",$P354=""),"",IF($M354="","B",IF(ABS($S354-1)&lt;=0.3,"A",IF(OR($S354&gt;2,$S354&lt;0.5),"C","B")))))</f>
        <v/>
      </c>
    </row>
    <row r="355" customFormat="false" ht="15" hidden="false" customHeight="true" outlineLevel="0" collapsed="false">
      <c r="H355" s="8" t="str">
        <f aca="false">IF(C355="","",IF(C355&lt;1,"yes","no"))</f>
        <v/>
      </c>
      <c r="I355" s="8" t="str">
        <f aca="false">IF(C355="","",IF(C355&lt;2.6,"r75",IF(C355&lt;5.2,"r110",IF(C355&lt;9.9,"r150",IF(C355&lt;19.8,"r210","r300")))))</f>
        <v/>
      </c>
      <c r="M355" s="8" t="str">
        <f aca="false">IF($A355="","",IFERROR(IF(INDEX(O1_Community_Attributes!$V$1:$V$500,MATCH($A355,O1_Community_Attributes!$A$1:$A$500,0))="","",INDEX(O1_Community_Attributes!$V$1:$V$500,MATCH($A355,O1_Community_Attributes!$A$1:$A$500,0))),""))</f>
        <v/>
      </c>
      <c r="N355" s="8" t="str">
        <f aca="false">IF($A355="","",IFERROR(IF(INDEX(O1_Community_Attributes!$W$1:$W$500,MATCH($A355,O1_Community_Attributes!$A$1:$A$500,0))="","",INDEX(O1_Community_Attributes!$W$1:$W$500,MATCH($A355,O1_Community_Attributes!$A$1:$A$500,0))),""))</f>
        <v/>
      </c>
      <c r="O355" s="8" t="str">
        <f aca="false">IF($A355="","",IFERROR(IF(INDEX(O1_Community_Attributes!$X$1:$X$500,MATCH($A355,O1_Community_Attributes!$A$1:$A$500,0))="","",INDEX(O1_Community_Attributes!$X$1:$X$500,MATCH($A355,O1_Community_Attributes!$A$1:$A$500,0))),""))</f>
        <v/>
      </c>
      <c r="P355" s="8" t="str">
        <f aca="false">IF($A355="","",IFERROR(IF(INDEX(O1_Community_Attributes!$Y$1:$Y$500,MATCH($A355,O1_Community_Attributes!$A$1:$A$500,0))="","",INDEX(O1_Community_Attributes!$Y$1:$Y$500,MATCH($A355,O1_Community_Attributes!$A$1:$A$500,0))),""))</f>
        <v/>
      </c>
      <c r="Q355" s="8" t="str">
        <f aca="false">IF($A355="","",IFERROR(IF(INDEX(O1_Community_Attributes!$Z$1:$Z$500,MATCH($A355,O1_Community_Attributes!$A$1:$A$500,0))="","",INDEX(O1_Community_Attributes!$Z$1:$Z$500,MATCH($A355,O1_Community_Attributes!$A$1:$A$500,0))),""))</f>
        <v/>
      </c>
      <c r="R355" s="8" t="str">
        <f aca="false">IF($A355="","",IFERROR(IF(INDEX(O1_Community_Attributes!$BK$1:$BK$500,MATCH($A355,O1_Community_Attributes!$A$1:$A$500,0))="","",INDEX(O1_Community_Attributes!$BK$1:$BK$500,MATCH($A355,O1_Community_Attributes!$A$1:$A$500,0))),""))</f>
        <v/>
      </c>
      <c r="S355" s="8" t="str">
        <f aca="false">IF(OR($C355="",$M355=""),"",$M355/$C355)</f>
        <v/>
      </c>
      <c r="T355" s="8" t="str">
        <f aca="false">IF($C355="","",IF(AND($M355="",$P355=""),"",IF($M355="","B",IF(ABS($S355-1)&lt;=0.3,"A",IF(OR($S355&gt;2,$S355&lt;0.5),"C","B")))))</f>
        <v/>
      </c>
    </row>
    <row r="356" customFormat="false" ht="15" hidden="false" customHeight="true" outlineLevel="0" collapsed="false">
      <c r="H356" s="8" t="str">
        <f aca="false">IF(C356="","",IF(C356&lt;1,"yes","no"))</f>
        <v/>
      </c>
      <c r="I356" s="8" t="str">
        <f aca="false">IF(C356="","",IF(C356&lt;2.6,"r75",IF(C356&lt;5.2,"r110",IF(C356&lt;9.9,"r150",IF(C356&lt;19.8,"r210","r300")))))</f>
        <v/>
      </c>
      <c r="M356" s="8" t="str">
        <f aca="false">IF($A356="","",IFERROR(IF(INDEX(O1_Community_Attributes!$V$1:$V$500,MATCH($A356,O1_Community_Attributes!$A$1:$A$500,0))="","",INDEX(O1_Community_Attributes!$V$1:$V$500,MATCH($A356,O1_Community_Attributes!$A$1:$A$500,0))),""))</f>
        <v/>
      </c>
      <c r="N356" s="8" t="str">
        <f aca="false">IF($A356="","",IFERROR(IF(INDEX(O1_Community_Attributes!$W$1:$W$500,MATCH($A356,O1_Community_Attributes!$A$1:$A$500,0))="","",INDEX(O1_Community_Attributes!$W$1:$W$500,MATCH($A356,O1_Community_Attributes!$A$1:$A$500,0))),""))</f>
        <v/>
      </c>
      <c r="O356" s="8" t="str">
        <f aca="false">IF($A356="","",IFERROR(IF(INDEX(O1_Community_Attributes!$X$1:$X$500,MATCH($A356,O1_Community_Attributes!$A$1:$A$500,0))="","",INDEX(O1_Community_Attributes!$X$1:$X$500,MATCH($A356,O1_Community_Attributes!$A$1:$A$500,0))),""))</f>
        <v/>
      </c>
      <c r="P356" s="8" t="str">
        <f aca="false">IF($A356="","",IFERROR(IF(INDEX(O1_Community_Attributes!$Y$1:$Y$500,MATCH($A356,O1_Community_Attributes!$A$1:$A$500,0))="","",INDEX(O1_Community_Attributes!$Y$1:$Y$500,MATCH($A356,O1_Community_Attributes!$A$1:$A$500,0))),""))</f>
        <v/>
      </c>
      <c r="Q356" s="8" t="str">
        <f aca="false">IF($A356="","",IFERROR(IF(INDEX(O1_Community_Attributes!$Z$1:$Z$500,MATCH($A356,O1_Community_Attributes!$A$1:$A$500,0))="","",INDEX(O1_Community_Attributes!$Z$1:$Z$500,MATCH($A356,O1_Community_Attributes!$A$1:$A$500,0))),""))</f>
        <v/>
      </c>
      <c r="R356" s="8" t="str">
        <f aca="false">IF($A356="","",IFERROR(IF(INDEX(O1_Community_Attributes!$BK$1:$BK$500,MATCH($A356,O1_Community_Attributes!$A$1:$A$500,0))="","",INDEX(O1_Community_Attributes!$BK$1:$BK$500,MATCH($A356,O1_Community_Attributes!$A$1:$A$500,0))),""))</f>
        <v/>
      </c>
      <c r="S356" s="8" t="str">
        <f aca="false">IF(OR($C356="",$M356=""),"",$M356/$C356)</f>
        <v/>
      </c>
      <c r="T356" s="8" t="str">
        <f aca="false">IF($C356="","",IF(AND($M356="",$P356=""),"",IF($M356="","B",IF(ABS($S356-1)&lt;=0.3,"A",IF(OR($S356&gt;2,$S356&lt;0.5),"C","B")))))</f>
        <v/>
      </c>
    </row>
    <row r="357" customFormat="false" ht="15" hidden="false" customHeight="true" outlineLevel="0" collapsed="false">
      <c r="H357" s="8" t="str">
        <f aca="false">IF(C357="","",IF(C357&lt;1,"yes","no"))</f>
        <v/>
      </c>
      <c r="I357" s="8" t="str">
        <f aca="false">IF(C357="","",IF(C357&lt;2.6,"r75",IF(C357&lt;5.2,"r110",IF(C357&lt;9.9,"r150",IF(C357&lt;19.8,"r210","r300")))))</f>
        <v/>
      </c>
      <c r="M357" s="8" t="str">
        <f aca="false">IF($A357="","",IFERROR(IF(INDEX(O1_Community_Attributes!$V$1:$V$500,MATCH($A357,O1_Community_Attributes!$A$1:$A$500,0))="","",INDEX(O1_Community_Attributes!$V$1:$V$500,MATCH($A357,O1_Community_Attributes!$A$1:$A$500,0))),""))</f>
        <v/>
      </c>
      <c r="N357" s="8" t="str">
        <f aca="false">IF($A357="","",IFERROR(IF(INDEX(O1_Community_Attributes!$W$1:$W$500,MATCH($A357,O1_Community_Attributes!$A$1:$A$500,0))="","",INDEX(O1_Community_Attributes!$W$1:$W$500,MATCH($A357,O1_Community_Attributes!$A$1:$A$500,0))),""))</f>
        <v/>
      </c>
      <c r="O357" s="8" t="str">
        <f aca="false">IF($A357="","",IFERROR(IF(INDEX(O1_Community_Attributes!$X$1:$X$500,MATCH($A357,O1_Community_Attributes!$A$1:$A$500,0))="","",INDEX(O1_Community_Attributes!$X$1:$X$500,MATCH($A357,O1_Community_Attributes!$A$1:$A$500,0))),""))</f>
        <v/>
      </c>
      <c r="P357" s="8" t="str">
        <f aca="false">IF($A357="","",IFERROR(IF(INDEX(O1_Community_Attributes!$Y$1:$Y$500,MATCH($A357,O1_Community_Attributes!$A$1:$A$500,0))="","",INDEX(O1_Community_Attributes!$Y$1:$Y$500,MATCH($A357,O1_Community_Attributes!$A$1:$A$500,0))),""))</f>
        <v/>
      </c>
      <c r="Q357" s="8" t="str">
        <f aca="false">IF($A357="","",IFERROR(IF(INDEX(O1_Community_Attributes!$Z$1:$Z$500,MATCH($A357,O1_Community_Attributes!$A$1:$A$500,0))="","",INDEX(O1_Community_Attributes!$Z$1:$Z$500,MATCH($A357,O1_Community_Attributes!$A$1:$A$500,0))),""))</f>
        <v/>
      </c>
      <c r="R357" s="8" t="str">
        <f aca="false">IF($A357="","",IFERROR(IF(INDEX(O1_Community_Attributes!$BK$1:$BK$500,MATCH($A357,O1_Community_Attributes!$A$1:$A$500,0))="","",INDEX(O1_Community_Attributes!$BK$1:$BK$500,MATCH($A357,O1_Community_Attributes!$A$1:$A$500,0))),""))</f>
        <v/>
      </c>
      <c r="S357" s="8" t="str">
        <f aca="false">IF(OR($C357="",$M357=""),"",$M357/$C357)</f>
        <v/>
      </c>
      <c r="T357" s="8" t="str">
        <f aca="false">IF($C357="","",IF(AND($M357="",$P357=""),"",IF($M357="","B",IF(ABS($S357-1)&lt;=0.3,"A",IF(OR($S357&gt;2,$S357&lt;0.5),"C","B")))))</f>
        <v/>
      </c>
    </row>
    <row r="358" customFormat="false" ht="15" hidden="false" customHeight="true" outlineLevel="0" collapsed="false">
      <c r="H358" s="8" t="str">
        <f aca="false">IF(C358="","",IF(C358&lt;1,"yes","no"))</f>
        <v/>
      </c>
      <c r="I358" s="8" t="str">
        <f aca="false">IF(C358="","",IF(C358&lt;2.6,"r75",IF(C358&lt;5.2,"r110",IF(C358&lt;9.9,"r150",IF(C358&lt;19.8,"r210","r300")))))</f>
        <v/>
      </c>
      <c r="M358" s="8" t="str">
        <f aca="false">IF($A358="","",IFERROR(IF(INDEX(O1_Community_Attributes!$V$1:$V$500,MATCH($A358,O1_Community_Attributes!$A$1:$A$500,0))="","",INDEX(O1_Community_Attributes!$V$1:$V$500,MATCH($A358,O1_Community_Attributes!$A$1:$A$500,0))),""))</f>
        <v/>
      </c>
      <c r="N358" s="8" t="str">
        <f aca="false">IF($A358="","",IFERROR(IF(INDEX(O1_Community_Attributes!$W$1:$W$500,MATCH($A358,O1_Community_Attributes!$A$1:$A$500,0))="","",INDEX(O1_Community_Attributes!$W$1:$W$500,MATCH($A358,O1_Community_Attributes!$A$1:$A$500,0))),""))</f>
        <v/>
      </c>
      <c r="O358" s="8" t="str">
        <f aca="false">IF($A358="","",IFERROR(IF(INDEX(O1_Community_Attributes!$X$1:$X$500,MATCH($A358,O1_Community_Attributes!$A$1:$A$500,0))="","",INDEX(O1_Community_Attributes!$X$1:$X$500,MATCH($A358,O1_Community_Attributes!$A$1:$A$500,0))),""))</f>
        <v/>
      </c>
      <c r="P358" s="8" t="str">
        <f aca="false">IF($A358="","",IFERROR(IF(INDEX(O1_Community_Attributes!$Y$1:$Y$500,MATCH($A358,O1_Community_Attributes!$A$1:$A$500,0))="","",INDEX(O1_Community_Attributes!$Y$1:$Y$500,MATCH($A358,O1_Community_Attributes!$A$1:$A$500,0))),""))</f>
        <v/>
      </c>
      <c r="Q358" s="8" t="str">
        <f aca="false">IF($A358="","",IFERROR(IF(INDEX(O1_Community_Attributes!$Z$1:$Z$500,MATCH($A358,O1_Community_Attributes!$A$1:$A$500,0))="","",INDEX(O1_Community_Attributes!$Z$1:$Z$500,MATCH($A358,O1_Community_Attributes!$A$1:$A$500,0))),""))</f>
        <v/>
      </c>
      <c r="R358" s="8" t="str">
        <f aca="false">IF($A358="","",IFERROR(IF(INDEX(O1_Community_Attributes!$BK$1:$BK$500,MATCH($A358,O1_Community_Attributes!$A$1:$A$500,0))="","",INDEX(O1_Community_Attributes!$BK$1:$BK$500,MATCH($A358,O1_Community_Attributes!$A$1:$A$500,0))),""))</f>
        <v/>
      </c>
      <c r="S358" s="8" t="str">
        <f aca="false">IF(OR($C358="",$M358=""),"",$M358/$C358)</f>
        <v/>
      </c>
      <c r="T358" s="8" t="str">
        <f aca="false">IF($C358="","",IF(AND($M358="",$P358=""),"",IF($M358="","B",IF(ABS($S358-1)&lt;=0.3,"A",IF(OR($S358&gt;2,$S358&lt;0.5),"C","B")))))</f>
        <v/>
      </c>
    </row>
    <row r="359" customFormat="false" ht="15" hidden="false" customHeight="true" outlineLevel="0" collapsed="false">
      <c r="H359" s="8" t="str">
        <f aca="false">IF(C359="","",IF(C359&lt;1,"yes","no"))</f>
        <v/>
      </c>
      <c r="I359" s="8" t="str">
        <f aca="false">IF(C359="","",IF(C359&lt;2.6,"r75",IF(C359&lt;5.2,"r110",IF(C359&lt;9.9,"r150",IF(C359&lt;19.8,"r210","r300")))))</f>
        <v/>
      </c>
      <c r="M359" s="8" t="str">
        <f aca="false">IF($A359="","",IFERROR(IF(INDEX(O1_Community_Attributes!$V$1:$V$500,MATCH($A359,O1_Community_Attributes!$A$1:$A$500,0))="","",INDEX(O1_Community_Attributes!$V$1:$V$500,MATCH($A359,O1_Community_Attributes!$A$1:$A$500,0))),""))</f>
        <v/>
      </c>
      <c r="N359" s="8" t="str">
        <f aca="false">IF($A359="","",IFERROR(IF(INDEX(O1_Community_Attributes!$W$1:$W$500,MATCH($A359,O1_Community_Attributes!$A$1:$A$500,0))="","",INDEX(O1_Community_Attributes!$W$1:$W$500,MATCH($A359,O1_Community_Attributes!$A$1:$A$500,0))),""))</f>
        <v/>
      </c>
      <c r="O359" s="8" t="str">
        <f aca="false">IF($A359="","",IFERROR(IF(INDEX(O1_Community_Attributes!$X$1:$X$500,MATCH($A359,O1_Community_Attributes!$A$1:$A$500,0))="","",INDEX(O1_Community_Attributes!$X$1:$X$500,MATCH($A359,O1_Community_Attributes!$A$1:$A$500,0))),""))</f>
        <v/>
      </c>
      <c r="P359" s="8" t="str">
        <f aca="false">IF($A359="","",IFERROR(IF(INDEX(O1_Community_Attributes!$Y$1:$Y$500,MATCH($A359,O1_Community_Attributes!$A$1:$A$500,0))="","",INDEX(O1_Community_Attributes!$Y$1:$Y$500,MATCH($A359,O1_Community_Attributes!$A$1:$A$500,0))),""))</f>
        <v/>
      </c>
      <c r="Q359" s="8" t="str">
        <f aca="false">IF($A359="","",IFERROR(IF(INDEX(O1_Community_Attributes!$Z$1:$Z$500,MATCH($A359,O1_Community_Attributes!$A$1:$A$500,0))="","",INDEX(O1_Community_Attributes!$Z$1:$Z$500,MATCH($A359,O1_Community_Attributes!$A$1:$A$500,0))),""))</f>
        <v/>
      </c>
      <c r="R359" s="8" t="str">
        <f aca="false">IF($A359="","",IFERROR(IF(INDEX(O1_Community_Attributes!$BK$1:$BK$500,MATCH($A359,O1_Community_Attributes!$A$1:$A$500,0))="","",INDEX(O1_Community_Attributes!$BK$1:$BK$500,MATCH($A359,O1_Community_Attributes!$A$1:$A$500,0))),""))</f>
        <v/>
      </c>
      <c r="S359" s="8" t="str">
        <f aca="false">IF(OR($C359="",$M359=""),"",$M359/$C359)</f>
        <v/>
      </c>
      <c r="T359" s="8" t="str">
        <f aca="false">IF($C359="","",IF(AND($M359="",$P359=""),"",IF($M359="","B",IF(ABS($S359-1)&lt;=0.3,"A",IF(OR($S359&gt;2,$S359&lt;0.5),"C","B")))))</f>
        <v/>
      </c>
    </row>
    <row r="360" customFormat="false" ht="15" hidden="false" customHeight="true" outlineLevel="0" collapsed="false">
      <c r="H360" s="8" t="str">
        <f aca="false">IF(C360="","",IF(C360&lt;1,"yes","no"))</f>
        <v/>
      </c>
      <c r="I360" s="8" t="str">
        <f aca="false">IF(C360="","",IF(C360&lt;2.6,"r75",IF(C360&lt;5.2,"r110",IF(C360&lt;9.9,"r150",IF(C360&lt;19.8,"r210","r300")))))</f>
        <v/>
      </c>
      <c r="M360" s="8" t="str">
        <f aca="false">IF($A360="","",IFERROR(IF(INDEX(O1_Community_Attributes!$V$1:$V$500,MATCH($A360,O1_Community_Attributes!$A$1:$A$500,0))="","",INDEX(O1_Community_Attributes!$V$1:$V$500,MATCH($A360,O1_Community_Attributes!$A$1:$A$500,0))),""))</f>
        <v/>
      </c>
      <c r="N360" s="8" t="str">
        <f aca="false">IF($A360="","",IFERROR(IF(INDEX(O1_Community_Attributes!$W$1:$W$500,MATCH($A360,O1_Community_Attributes!$A$1:$A$500,0))="","",INDEX(O1_Community_Attributes!$W$1:$W$500,MATCH($A360,O1_Community_Attributes!$A$1:$A$500,0))),""))</f>
        <v/>
      </c>
      <c r="O360" s="8" t="str">
        <f aca="false">IF($A360="","",IFERROR(IF(INDEX(O1_Community_Attributes!$X$1:$X$500,MATCH($A360,O1_Community_Attributes!$A$1:$A$500,0))="","",INDEX(O1_Community_Attributes!$X$1:$X$500,MATCH($A360,O1_Community_Attributes!$A$1:$A$500,0))),""))</f>
        <v/>
      </c>
      <c r="P360" s="8" t="str">
        <f aca="false">IF($A360="","",IFERROR(IF(INDEX(O1_Community_Attributes!$Y$1:$Y$500,MATCH($A360,O1_Community_Attributes!$A$1:$A$500,0))="","",INDEX(O1_Community_Attributes!$Y$1:$Y$500,MATCH($A360,O1_Community_Attributes!$A$1:$A$500,0))),""))</f>
        <v/>
      </c>
      <c r="Q360" s="8" t="str">
        <f aca="false">IF($A360="","",IFERROR(IF(INDEX(O1_Community_Attributes!$Z$1:$Z$500,MATCH($A360,O1_Community_Attributes!$A$1:$A$500,0))="","",INDEX(O1_Community_Attributes!$Z$1:$Z$500,MATCH($A360,O1_Community_Attributes!$A$1:$A$500,0))),""))</f>
        <v/>
      </c>
      <c r="R360" s="8" t="str">
        <f aca="false">IF($A360="","",IFERROR(IF(INDEX(O1_Community_Attributes!$BK$1:$BK$500,MATCH($A360,O1_Community_Attributes!$A$1:$A$500,0))="","",INDEX(O1_Community_Attributes!$BK$1:$BK$500,MATCH($A360,O1_Community_Attributes!$A$1:$A$500,0))),""))</f>
        <v/>
      </c>
      <c r="S360" s="8" t="str">
        <f aca="false">IF(OR($C360="",$M360=""),"",$M360/$C360)</f>
        <v/>
      </c>
      <c r="T360" s="8" t="str">
        <f aca="false">IF($C360="","",IF(AND($M360="",$P360=""),"",IF($M360="","B",IF(ABS($S360-1)&lt;=0.3,"A",IF(OR($S360&gt;2,$S360&lt;0.5),"C","B")))))</f>
        <v/>
      </c>
    </row>
    <row r="361" customFormat="false" ht="15" hidden="false" customHeight="true" outlineLevel="0" collapsed="false">
      <c r="H361" s="8" t="str">
        <f aca="false">IF(C361="","",IF(C361&lt;1,"yes","no"))</f>
        <v/>
      </c>
      <c r="I361" s="8" t="str">
        <f aca="false">IF(C361="","",IF(C361&lt;2.6,"r75",IF(C361&lt;5.2,"r110",IF(C361&lt;9.9,"r150",IF(C361&lt;19.8,"r210","r300")))))</f>
        <v/>
      </c>
      <c r="M361" s="8" t="str">
        <f aca="false">IF($A361="","",IFERROR(IF(INDEX(O1_Community_Attributes!$V$1:$V$500,MATCH($A361,O1_Community_Attributes!$A$1:$A$500,0))="","",INDEX(O1_Community_Attributes!$V$1:$V$500,MATCH($A361,O1_Community_Attributes!$A$1:$A$500,0))),""))</f>
        <v/>
      </c>
      <c r="N361" s="8" t="str">
        <f aca="false">IF($A361="","",IFERROR(IF(INDEX(O1_Community_Attributes!$W$1:$W$500,MATCH($A361,O1_Community_Attributes!$A$1:$A$500,0))="","",INDEX(O1_Community_Attributes!$W$1:$W$500,MATCH($A361,O1_Community_Attributes!$A$1:$A$500,0))),""))</f>
        <v/>
      </c>
      <c r="O361" s="8" t="str">
        <f aca="false">IF($A361="","",IFERROR(IF(INDEX(O1_Community_Attributes!$X$1:$X$500,MATCH($A361,O1_Community_Attributes!$A$1:$A$500,0))="","",INDEX(O1_Community_Attributes!$X$1:$X$500,MATCH($A361,O1_Community_Attributes!$A$1:$A$500,0))),""))</f>
        <v/>
      </c>
      <c r="P361" s="8" t="str">
        <f aca="false">IF($A361="","",IFERROR(IF(INDEX(O1_Community_Attributes!$Y$1:$Y$500,MATCH($A361,O1_Community_Attributes!$A$1:$A$500,0))="","",INDEX(O1_Community_Attributes!$Y$1:$Y$500,MATCH($A361,O1_Community_Attributes!$A$1:$A$500,0))),""))</f>
        <v/>
      </c>
      <c r="Q361" s="8" t="str">
        <f aca="false">IF($A361="","",IFERROR(IF(INDEX(O1_Community_Attributes!$Z$1:$Z$500,MATCH($A361,O1_Community_Attributes!$A$1:$A$500,0))="","",INDEX(O1_Community_Attributes!$Z$1:$Z$500,MATCH($A361,O1_Community_Attributes!$A$1:$A$500,0))),""))</f>
        <v/>
      </c>
      <c r="R361" s="8" t="str">
        <f aca="false">IF($A361="","",IFERROR(IF(INDEX(O1_Community_Attributes!$BK$1:$BK$500,MATCH($A361,O1_Community_Attributes!$A$1:$A$500,0))="","",INDEX(O1_Community_Attributes!$BK$1:$BK$500,MATCH($A361,O1_Community_Attributes!$A$1:$A$500,0))),""))</f>
        <v/>
      </c>
      <c r="S361" s="8" t="str">
        <f aca="false">IF(OR($C361="",$M361=""),"",$M361/$C361)</f>
        <v/>
      </c>
      <c r="T361" s="8" t="str">
        <f aca="false">IF($C361="","",IF(AND($M361="",$P361=""),"",IF($M361="","B",IF(ABS($S361-1)&lt;=0.3,"A",IF(OR($S361&gt;2,$S361&lt;0.5),"C","B")))))</f>
        <v/>
      </c>
    </row>
    <row r="362" customFormat="false" ht="15" hidden="false" customHeight="true" outlineLevel="0" collapsed="false">
      <c r="H362" s="8" t="str">
        <f aca="false">IF(C362="","",IF(C362&lt;1,"yes","no"))</f>
        <v/>
      </c>
      <c r="I362" s="8" t="str">
        <f aca="false">IF(C362="","",IF(C362&lt;2.6,"r75",IF(C362&lt;5.2,"r110",IF(C362&lt;9.9,"r150",IF(C362&lt;19.8,"r210","r300")))))</f>
        <v/>
      </c>
      <c r="M362" s="8" t="str">
        <f aca="false">IF($A362="","",IFERROR(IF(INDEX(O1_Community_Attributes!$V$1:$V$500,MATCH($A362,O1_Community_Attributes!$A$1:$A$500,0))="","",INDEX(O1_Community_Attributes!$V$1:$V$500,MATCH($A362,O1_Community_Attributes!$A$1:$A$500,0))),""))</f>
        <v/>
      </c>
      <c r="N362" s="8" t="str">
        <f aca="false">IF($A362="","",IFERROR(IF(INDEX(O1_Community_Attributes!$W$1:$W$500,MATCH($A362,O1_Community_Attributes!$A$1:$A$500,0))="","",INDEX(O1_Community_Attributes!$W$1:$W$500,MATCH($A362,O1_Community_Attributes!$A$1:$A$500,0))),""))</f>
        <v/>
      </c>
      <c r="O362" s="8" t="str">
        <f aca="false">IF($A362="","",IFERROR(IF(INDEX(O1_Community_Attributes!$X$1:$X$500,MATCH($A362,O1_Community_Attributes!$A$1:$A$500,0))="","",INDEX(O1_Community_Attributes!$X$1:$X$500,MATCH($A362,O1_Community_Attributes!$A$1:$A$500,0))),""))</f>
        <v/>
      </c>
      <c r="P362" s="8" t="str">
        <f aca="false">IF($A362="","",IFERROR(IF(INDEX(O1_Community_Attributes!$Y$1:$Y$500,MATCH($A362,O1_Community_Attributes!$A$1:$A$500,0))="","",INDEX(O1_Community_Attributes!$Y$1:$Y$500,MATCH($A362,O1_Community_Attributes!$A$1:$A$500,0))),""))</f>
        <v/>
      </c>
      <c r="Q362" s="8" t="str">
        <f aca="false">IF($A362="","",IFERROR(IF(INDEX(O1_Community_Attributes!$Z$1:$Z$500,MATCH($A362,O1_Community_Attributes!$A$1:$A$500,0))="","",INDEX(O1_Community_Attributes!$Z$1:$Z$500,MATCH($A362,O1_Community_Attributes!$A$1:$A$500,0))),""))</f>
        <v/>
      </c>
      <c r="R362" s="8" t="str">
        <f aca="false">IF($A362="","",IFERROR(IF(INDEX(O1_Community_Attributes!$BK$1:$BK$500,MATCH($A362,O1_Community_Attributes!$A$1:$A$500,0))="","",INDEX(O1_Community_Attributes!$BK$1:$BK$500,MATCH($A362,O1_Community_Attributes!$A$1:$A$500,0))),""))</f>
        <v/>
      </c>
      <c r="S362" s="8" t="str">
        <f aca="false">IF(OR($C362="",$M362=""),"",$M362/$C362)</f>
        <v/>
      </c>
      <c r="T362" s="8" t="str">
        <f aca="false">IF($C362="","",IF(AND($M362="",$P362=""),"",IF($M362="","B",IF(ABS($S362-1)&lt;=0.3,"A",IF(OR($S362&gt;2,$S362&lt;0.5),"C","B")))))</f>
        <v/>
      </c>
    </row>
    <row r="363" customFormat="false" ht="15" hidden="false" customHeight="true" outlineLevel="0" collapsed="false">
      <c r="H363" s="8" t="str">
        <f aca="false">IF(C363="","",IF(C363&lt;1,"yes","no"))</f>
        <v/>
      </c>
      <c r="I363" s="8" t="str">
        <f aca="false">IF(C363="","",IF(C363&lt;2.6,"r75",IF(C363&lt;5.2,"r110",IF(C363&lt;9.9,"r150",IF(C363&lt;19.8,"r210","r300")))))</f>
        <v/>
      </c>
      <c r="M363" s="8" t="str">
        <f aca="false">IF($A363="","",IFERROR(IF(INDEX(O1_Community_Attributes!$V$1:$V$500,MATCH($A363,O1_Community_Attributes!$A$1:$A$500,0))="","",INDEX(O1_Community_Attributes!$V$1:$V$500,MATCH($A363,O1_Community_Attributes!$A$1:$A$500,0))),""))</f>
        <v/>
      </c>
      <c r="N363" s="8" t="str">
        <f aca="false">IF($A363="","",IFERROR(IF(INDEX(O1_Community_Attributes!$W$1:$W$500,MATCH($A363,O1_Community_Attributes!$A$1:$A$500,0))="","",INDEX(O1_Community_Attributes!$W$1:$W$500,MATCH($A363,O1_Community_Attributes!$A$1:$A$500,0))),""))</f>
        <v/>
      </c>
      <c r="O363" s="8" t="str">
        <f aca="false">IF($A363="","",IFERROR(IF(INDEX(O1_Community_Attributes!$X$1:$X$500,MATCH($A363,O1_Community_Attributes!$A$1:$A$500,0))="","",INDEX(O1_Community_Attributes!$X$1:$X$500,MATCH($A363,O1_Community_Attributes!$A$1:$A$500,0))),""))</f>
        <v/>
      </c>
      <c r="P363" s="8" t="str">
        <f aca="false">IF($A363="","",IFERROR(IF(INDEX(O1_Community_Attributes!$Y$1:$Y$500,MATCH($A363,O1_Community_Attributes!$A$1:$A$500,0))="","",INDEX(O1_Community_Attributes!$Y$1:$Y$500,MATCH($A363,O1_Community_Attributes!$A$1:$A$500,0))),""))</f>
        <v/>
      </c>
      <c r="Q363" s="8" t="str">
        <f aca="false">IF($A363="","",IFERROR(IF(INDEX(O1_Community_Attributes!$Z$1:$Z$500,MATCH($A363,O1_Community_Attributes!$A$1:$A$500,0))="","",INDEX(O1_Community_Attributes!$Z$1:$Z$500,MATCH($A363,O1_Community_Attributes!$A$1:$A$500,0))),""))</f>
        <v/>
      </c>
      <c r="R363" s="8" t="str">
        <f aca="false">IF($A363="","",IFERROR(IF(INDEX(O1_Community_Attributes!$BK$1:$BK$500,MATCH($A363,O1_Community_Attributes!$A$1:$A$500,0))="","",INDEX(O1_Community_Attributes!$BK$1:$BK$500,MATCH($A363,O1_Community_Attributes!$A$1:$A$500,0))),""))</f>
        <v/>
      </c>
      <c r="S363" s="8" t="str">
        <f aca="false">IF(OR($C363="",$M363=""),"",$M363/$C363)</f>
        <v/>
      </c>
      <c r="T363" s="8" t="str">
        <f aca="false">IF($C363="","",IF(AND($M363="",$P363=""),"",IF($M363="","B",IF(ABS($S363-1)&lt;=0.3,"A",IF(OR($S363&gt;2,$S363&lt;0.5),"C","B")))))</f>
        <v/>
      </c>
    </row>
    <row r="364" customFormat="false" ht="15" hidden="false" customHeight="true" outlineLevel="0" collapsed="false">
      <c r="H364" s="8" t="str">
        <f aca="false">IF(C364="","",IF(C364&lt;1,"yes","no"))</f>
        <v/>
      </c>
      <c r="I364" s="8" t="str">
        <f aca="false">IF(C364="","",IF(C364&lt;2.6,"r75",IF(C364&lt;5.2,"r110",IF(C364&lt;9.9,"r150",IF(C364&lt;19.8,"r210","r300")))))</f>
        <v/>
      </c>
      <c r="M364" s="8" t="str">
        <f aca="false">IF($A364="","",IFERROR(IF(INDEX(O1_Community_Attributes!$V$1:$V$500,MATCH($A364,O1_Community_Attributes!$A$1:$A$500,0))="","",INDEX(O1_Community_Attributes!$V$1:$V$500,MATCH($A364,O1_Community_Attributes!$A$1:$A$500,0))),""))</f>
        <v/>
      </c>
      <c r="N364" s="8" t="str">
        <f aca="false">IF($A364="","",IFERROR(IF(INDEX(O1_Community_Attributes!$W$1:$W$500,MATCH($A364,O1_Community_Attributes!$A$1:$A$500,0))="","",INDEX(O1_Community_Attributes!$W$1:$W$500,MATCH($A364,O1_Community_Attributes!$A$1:$A$500,0))),""))</f>
        <v/>
      </c>
      <c r="O364" s="8" t="str">
        <f aca="false">IF($A364="","",IFERROR(IF(INDEX(O1_Community_Attributes!$X$1:$X$500,MATCH($A364,O1_Community_Attributes!$A$1:$A$500,0))="","",INDEX(O1_Community_Attributes!$X$1:$X$500,MATCH($A364,O1_Community_Attributes!$A$1:$A$500,0))),""))</f>
        <v/>
      </c>
      <c r="P364" s="8" t="str">
        <f aca="false">IF($A364="","",IFERROR(IF(INDEX(O1_Community_Attributes!$Y$1:$Y$500,MATCH($A364,O1_Community_Attributes!$A$1:$A$500,0))="","",INDEX(O1_Community_Attributes!$Y$1:$Y$500,MATCH($A364,O1_Community_Attributes!$A$1:$A$500,0))),""))</f>
        <v/>
      </c>
      <c r="Q364" s="8" t="str">
        <f aca="false">IF($A364="","",IFERROR(IF(INDEX(O1_Community_Attributes!$Z$1:$Z$500,MATCH($A364,O1_Community_Attributes!$A$1:$A$500,0))="","",INDEX(O1_Community_Attributes!$Z$1:$Z$500,MATCH($A364,O1_Community_Attributes!$A$1:$A$500,0))),""))</f>
        <v/>
      </c>
      <c r="R364" s="8" t="str">
        <f aca="false">IF($A364="","",IFERROR(IF(INDEX(O1_Community_Attributes!$BK$1:$BK$500,MATCH($A364,O1_Community_Attributes!$A$1:$A$500,0))="","",INDEX(O1_Community_Attributes!$BK$1:$BK$500,MATCH($A364,O1_Community_Attributes!$A$1:$A$500,0))),""))</f>
        <v/>
      </c>
      <c r="S364" s="8" t="str">
        <f aca="false">IF(OR($C364="",$M364=""),"",$M364/$C364)</f>
        <v/>
      </c>
      <c r="T364" s="8" t="str">
        <f aca="false">IF($C364="","",IF(AND($M364="",$P364=""),"",IF($M364="","B",IF(ABS($S364-1)&lt;=0.3,"A",IF(OR($S364&gt;2,$S364&lt;0.5),"C","B")))))</f>
        <v/>
      </c>
    </row>
    <row r="365" customFormat="false" ht="15" hidden="false" customHeight="true" outlineLevel="0" collapsed="false">
      <c r="H365" s="8" t="str">
        <f aca="false">IF(C365="","",IF(C365&lt;1,"yes","no"))</f>
        <v/>
      </c>
      <c r="I365" s="8" t="str">
        <f aca="false">IF(C365="","",IF(C365&lt;2.6,"r75",IF(C365&lt;5.2,"r110",IF(C365&lt;9.9,"r150",IF(C365&lt;19.8,"r210","r300")))))</f>
        <v/>
      </c>
      <c r="M365" s="8" t="str">
        <f aca="false">IF($A365="","",IFERROR(IF(INDEX(O1_Community_Attributes!$V$1:$V$500,MATCH($A365,O1_Community_Attributes!$A$1:$A$500,0))="","",INDEX(O1_Community_Attributes!$V$1:$V$500,MATCH($A365,O1_Community_Attributes!$A$1:$A$500,0))),""))</f>
        <v/>
      </c>
      <c r="N365" s="8" t="str">
        <f aca="false">IF($A365="","",IFERROR(IF(INDEX(O1_Community_Attributes!$W$1:$W$500,MATCH($A365,O1_Community_Attributes!$A$1:$A$500,0))="","",INDEX(O1_Community_Attributes!$W$1:$W$500,MATCH($A365,O1_Community_Attributes!$A$1:$A$500,0))),""))</f>
        <v/>
      </c>
      <c r="O365" s="8" t="str">
        <f aca="false">IF($A365="","",IFERROR(IF(INDEX(O1_Community_Attributes!$X$1:$X$500,MATCH($A365,O1_Community_Attributes!$A$1:$A$500,0))="","",INDEX(O1_Community_Attributes!$X$1:$X$500,MATCH($A365,O1_Community_Attributes!$A$1:$A$500,0))),""))</f>
        <v/>
      </c>
      <c r="P365" s="8" t="str">
        <f aca="false">IF($A365="","",IFERROR(IF(INDEX(O1_Community_Attributes!$Y$1:$Y$500,MATCH($A365,O1_Community_Attributes!$A$1:$A$500,0))="","",INDEX(O1_Community_Attributes!$Y$1:$Y$500,MATCH($A365,O1_Community_Attributes!$A$1:$A$500,0))),""))</f>
        <v/>
      </c>
      <c r="Q365" s="8" t="str">
        <f aca="false">IF($A365="","",IFERROR(IF(INDEX(O1_Community_Attributes!$Z$1:$Z$500,MATCH($A365,O1_Community_Attributes!$A$1:$A$500,0))="","",INDEX(O1_Community_Attributes!$Z$1:$Z$500,MATCH($A365,O1_Community_Attributes!$A$1:$A$500,0))),""))</f>
        <v/>
      </c>
      <c r="R365" s="8" t="str">
        <f aca="false">IF($A365="","",IFERROR(IF(INDEX(O1_Community_Attributes!$BK$1:$BK$500,MATCH($A365,O1_Community_Attributes!$A$1:$A$500,0))="","",INDEX(O1_Community_Attributes!$BK$1:$BK$500,MATCH($A365,O1_Community_Attributes!$A$1:$A$500,0))),""))</f>
        <v/>
      </c>
      <c r="S365" s="8" t="str">
        <f aca="false">IF(OR($C365="",$M365=""),"",$M365/$C365)</f>
        <v/>
      </c>
      <c r="T365" s="8" t="str">
        <f aca="false">IF($C365="","",IF(AND($M365="",$P365=""),"",IF($M365="","B",IF(ABS($S365-1)&lt;=0.3,"A",IF(OR($S365&gt;2,$S365&lt;0.5),"C","B")))))</f>
        <v/>
      </c>
    </row>
    <row r="366" customFormat="false" ht="15" hidden="false" customHeight="true" outlineLevel="0" collapsed="false">
      <c r="H366" s="8" t="str">
        <f aca="false">IF(C366="","",IF(C366&lt;1,"yes","no"))</f>
        <v/>
      </c>
      <c r="I366" s="8" t="str">
        <f aca="false">IF(C366="","",IF(C366&lt;2.6,"r75",IF(C366&lt;5.2,"r110",IF(C366&lt;9.9,"r150",IF(C366&lt;19.8,"r210","r300")))))</f>
        <v/>
      </c>
      <c r="M366" s="8" t="str">
        <f aca="false">IF($A366="","",IFERROR(IF(INDEX(O1_Community_Attributes!$V$1:$V$500,MATCH($A366,O1_Community_Attributes!$A$1:$A$500,0))="","",INDEX(O1_Community_Attributes!$V$1:$V$500,MATCH($A366,O1_Community_Attributes!$A$1:$A$500,0))),""))</f>
        <v/>
      </c>
      <c r="N366" s="8" t="str">
        <f aca="false">IF($A366="","",IFERROR(IF(INDEX(O1_Community_Attributes!$W$1:$W$500,MATCH($A366,O1_Community_Attributes!$A$1:$A$500,0))="","",INDEX(O1_Community_Attributes!$W$1:$W$500,MATCH($A366,O1_Community_Attributes!$A$1:$A$500,0))),""))</f>
        <v/>
      </c>
      <c r="O366" s="8" t="str">
        <f aca="false">IF($A366="","",IFERROR(IF(INDEX(O1_Community_Attributes!$X$1:$X$500,MATCH($A366,O1_Community_Attributes!$A$1:$A$500,0))="","",INDEX(O1_Community_Attributes!$X$1:$X$500,MATCH($A366,O1_Community_Attributes!$A$1:$A$500,0))),""))</f>
        <v/>
      </c>
      <c r="P366" s="8" t="str">
        <f aca="false">IF($A366="","",IFERROR(IF(INDEX(O1_Community_Attributes!$Y$1:$Y$500,MATCH($A366,O1_Community_Attributes!$A$1:$A$500,0))="","",INDEX(O1_Community_Attributes!$Y$1:$Y$500,MATCH($A366,O1_Community_Attributes!$A$1:$A$500,0))),""))</f>
        <v/>
      </c>
      <c r="Q366" s="8" t="str">
        <f aca="false">IF($A366="","",IFERROR(IF(INDEX(O1_Community_Attributes!$Z$1:$Z$500,MATCH($A366,O1_Community_Attributes!$A$1:$A$500,0))="","",INDEX(O1_Community_Attributes!$Z$1:$Z$500,MATCH($A366,O1_Community_Attributes!$A$1:$A$500,0))),""))</f>
        <v/>
      </c>
      <c r="R366" s="8" t="str">
        <f aca="false">IF($A366="","",IFERROR(IF(INDEX(O1_Community_Attributes!$BK$1:$BK$500,MATCH($A366,O1_Community_Attributes!$A$1:$A$500,0))="","",INDEX(O1_Community_Attributes!$BK$1:$BK$500,MATCH($A366,O1_Community_Attributes!$A$1:$A$500,0))),""))</f>
        <v/>
      </c>
      <c r="S366" s="8" t="str">
        <f aca="false">IF(OR($C366="",$M366=""),"",$M366/$C366)</f>
        <v/>
      </c>
      <c r="T366" s="8" t="str">
        <f aca="false">IF($C366="","",IF(AND($M366="",$P366=""),"",IF($M366="","B",IF(ABS($S366-1)&lt;=0.3,"A",IF(OR($S366&gt;2,$S366&lt;0.5),"C","B")))))</f>
        <v/>
      </c>
    </row>
    <row r="367" customFormat="false" ht="15" hidden="false" customHeight="true" outlineLevel="0" collapsed="false">
      <c r="H367" s="8" t="str">
        <f aca="false">IF(C367="","",IF(C367&lt;1,"yes","no"))</f>
        <v/>
      </c>
      <c r="I367" s="8" t="str">
        <f aca="false">IF(C367="","",IF(C367&lt;2.6,"r75",IF(C367&lt;5.2,"r110",IF(C367&lt;9.9,"r150",IF(C367&lt;19.8,"r210","r300")))))</f>
        <v/>
      </c>
      <c r="M367" s="8" t="str">
        <f aca="false">IF($A367="","",IFERROR(IF(INDEX(O1_Community_Attributes!$V$1:$V$500,MATCH($A367,O1_Community_Attributes!$A$1:$A$500,0))="","",INDEX(O1_Community_Attributes!$V$1:$V$500,MATCH($A367,O1_Community_Attributes!$A$1:$A$500,0))),""))</f>
        <v/>
      </c>
      <c r="N367" s="8" t="str">
        <f aca="false">IF($A367="","",IFERROR(IF(INDEX(O1_Community_Attributes!$W$1:$W$500,MATCH($A367,O1_Community_Attributes!$A$1:$A$500,0))="","",INDEX(O1_Community_Attributes!$W$1:$W$500,MATCH($A367,O1_Community_Attributes!$A$1:$A$500,0))),""))</f>
        <v/>
      </c>
      <c r="O367" s="8" t="str">
        <f aca="false">IF($A367="","",IFERROR(IF(INDEX(O1_Community_Attributes!$X$1:$X$500,MATCH($A367,O1_Community_Attributes!$A$1:$A$500,0))="","",INDEX(O1_Community_Attributes!$X$1:$X$500,MATCH($A367,O1_Community_Attributes!$A$1:$A$500,0))),""))</f>
        <v/>
      </c>
      <c r="P367" s="8" t="str">
        <f aca="false">IF($A367="","",IFERROR(IF(INDEX(O1_Community_Attributes!$Y$1:$Y$500,MATCH($A367,O1_Community_Attributes!$A$1:$A$500,0))="","",INDEX(O1_Community_Attributes!$Y$1:$Y$500,MATCH($A367,O1_Community_Attributes!$A$1:$A$500,0))),""))</f>
        <v/>
      </c>
      <c r="Q367" s="8" t="str">
        <f aca="false">IF($A367="","",IFERROR(IF(INDEX(O1_Community_Attributes!$Z$1:$Z$500,MATCH($A367,O1_Community_Attributes!$A$1:$A$500,0))="","",INDEX(O1_Community_Attributes!$Z$1:$Z$500,MATCH($A367,O1_Community_Attributes!$A$1:$A$500,0))),""))</f>
        <v/>
      </c>
      <c r="R367" s="8" t="str">
        <f aca="false">IF($A367="","",IFERROR(IF(INDEX(O1_Community_Attributes!$BK$1:$BK$500,MATCH($A367,O1_Community_Attributes!$A$1:$A$500,0))="","",INDEX(O1_Community_Attributes!$BK$1:$BK$500,MATCH($A367,O1_Community_Attributes!$A$1:$A$500,0))),""))</f>
        <v/>
      </c>
      <c r="S367" s="8" t="str">
        <f aca="false">IF(OR($C367="",$M367=""),"",$M367/$C367)</f>
        <v/>
      </c>
      <c r="T367" s="8" t="str">
        <f aca="false">IF($C367="","",IF(AND($M367="",$P367=""),"",IF($M367="","B",IF(ABS($S367-1)&lt;=0.3,"A",IF(OR($S367&gt;2,$S367&lt;0.5),"C","B")))))</f>
        <v/>
      </c>
    </row>
    <row r="368" customFormat="false" ht="15" hidden="false" customHeight="true" outlineLevel="0" collapsed="false">
      <c r="H368" s="8" t="str">
        <f aca="false">IF(C368="","",IF(C368&lt;1,"yes","no"))</f>
        <v/>
      </c>
      <c r="I368" s="8" t="str">
        <f aca="false">IF(C368="","",IF(C368&lt;2.6,"r75",IF(C368&lt;5.2,"r110",IF(C368&lt;9.9,"r150",IF(C368&lt;19.8,"r210","r300")))))</f>
        <v/>
      </c>
      <c r="M368" s="8" t="str">
        <f aca="false">IF($A368="","",IFERROR(IF(INDEX(O1_Community_Attributes!$V$1:$V$500,MATCH($A368,O1_Community_Attributes!$A$1:$A$500,0))="","",INDEX(O1_Community_Attributes!$V$1:$V$500,MATCH($A368,O1_Community_Attributes!$A$1:$A$500,0))),""))</f>
        <v/>
      </c>
      <c r="N368" s="8" t="str">
        <f aca="false">IF($A368="","",IFERROR(IF(INDEX(O1_Community_Attributes!$W$1:$W$500,MATCH($A368,O1_Community_Attributes!$A$1:$A$500,0))="","",INDEX(O1_Community_Attributes!$W$1:$W$500,MATCH($A368,O1_Community_Attributes!$A$1:$A$500,0))),""))</f>
        <v/>
      </c>
      <c r="O368" s="8" t="str">
        <f aca="false">IF($A368="","",IFERROR(IF(INDEX(O1_Community_Attributes!$X$1:$X$500,MATCH($A368,O1_Community_Attributes!$A$1:$A$500,0))="","",INDEX(O1_Community_Attributes!$X$1:$X$500,MATCH($A368,O1_Community_Attributes!$A$1:$A$500,0))),""))</f>
        <v/>
      </c>
      <c r="P368" s="8" t="str">
        <f aca="false">IF($A368="","",IFERROR(IF(INDEX(O1_Community_Attributes!$Y$1:$Y$500,MATCH($A368,O1_Community_Attributes!$A$1:$A$500,0))="","",INDEX(O1_Community_Attributes!$Y$1:$Y$500,MATCH($A368,O1_Community_Attributes!$A$1:$A$500,0))),""))</f>
        <v/>
      </c>
      <c r="Q368" s="8" t="str">
        <f aca="false">IF($A368="","",IFERROR(IF(INDEX(O1_Community_Attributes!$Z$1:$Z$500,MATCH($A368,O1_Community_Attributes!$A$1:$A$500,0))="","",INDEX(O1_Community_Attributes!$Z$1:$Z$500,MATCH($A368,O1_Community_Attributes!$A$1:$A$500,0))),""))</f>
        <v/>
      </c>
      <c r="R368" s="8" t="str">
        <f aca="false">IF($A368="","",IFERROR(IF(INDEX(O1_Community_Attributes!$BK$1:$BK$500,MATCH($A368,O1_Community_Attributes!$A$1:$A$500,0))="","",INDEX(O1_Community_Attributes!$BK$1:$BK$500,MATCH($A368,O1_Community_Attributes!$A$1:$A$500,0))),""))</f>
        <v/>
      </c>
      <c r="S368" s="8" t="str">
        <f aca="false">IF(OR($C368="",$M368=""),"",$M368/$C368)</f>
        <v/>
      </c>
      <c r="T368" s="8" t="str">
        <f aca="false">IF($C368="","",IF(AND($M368="",$P368=""),"",IF($M368="","B",IF(ABS($S368-1)&lt;=0.3,"A",IF(OR($S368&gt;2,$S368&lt;0.5),"C","B")))))</f>
        <v/>
      </c>
    </row>
    <row r="369" customFormat="false" ht="15" hidden="false" customHeight="true" outlineLevel="0" collapsed="false">
      <c r="H369" s="8" t="str">
        <f aca="false">IF(C369="","",IF(C369&lt;1,"yes","no"))</f>
        <v/>
      </c>
      <c r="I369" s="8" t="str">
        <f aca="false">IF(C369="","",IF(C369&lt;2.6,"r75",IF(C369&lt;5.2,"r110",IF(C369&lt;9.9,"r150",IF(C369&lt;19.8,"r210","r300")))))</f>
        <v/>
      </c>
      <c r="M369" s="8" t="str">
        <f aca="false">IF($A369="","",IFERROR(IF(INDEX(O1_Community_Attributes!$V$1:$V$500,MATCH($A369,O1_Community_Attributes!$A$1:$A$500,0))="","",INDEX(O1_Community_Attributes!$V$1:$V$500,MATCH($A369,O1_Community_Attributes!$A$1:$A$500,0))),""))</f>
        <v/>
      </c>
      <c r="N369" s="8" t="str">
        <f aca="false">IF($A369="","",IFERROR(IF(INDEX(O1_Community_Attributes!$W$1:$W$500,MATCH($A369,O1_Community_Attributes!$A$1:$A$500,0))="","",INDEX(O1_Community_Attributes!$W$1:$W$500,MATCH($A369,O1_Community_Attributes!$A$1:$A$500,0))),""))</f>
        <v/>
      </c>
      <c r="O369" s="8" t="str">
        <f aca="false">IF($A369="","",IFERROR(IF(INDEX(O1_Community_Attributes!$X$1:$X$500,MATCH($A369,O1_Community_Attributes!$A$1:$A$500,0))="","",INDEX(O1_Community_Attributes!$X$1:$X$500,MATCH($A369,O1_Community_Attributes!$A$1:$A$500,0))),""))</f>
        <v/>
      </c>
      <c r="P369" s="8" t="str">
        <f aca="false">IF($A369="","",IFERROR(IF(INDEX(O1_Community_Attributes!$Y$1:$Y$500,MATCH($A369,O1_Community_Attributes!$A$1:$A$500,0))="","",INDEX(O1_Community_Attributes!$Y$1:$Y$500,MATCH($A369,O1_Community_Attributes!$A$1:$A$500,0))),""))</f>
        <v/>
      </c>
      <c r="Q369" s="8" t="str">
        <f aca="false">IF($A369="","",IFERROR(IF(INDEX(O1_Community_Attributes!$Z$1:$Z$500,MATCH($A369,O1_Community_Attributes!$A$1:$A$500,0))="","",INDEX(O1_Community_Attributes!$Z$1:$Z$500,MATCH($A369,O1_Community_Attributes!$A$1:$A$500,0))),""))</f>
        <v/>
      </c>
      <c r="R369" s="8" t="str">
        <f aca="false">IF($A369="","",IFERROR(IF(INDEX(O1_Community_Attributes!$BK$1:$BK$500,MATCH($A369,O1_Community_Attributes!$A$1:$A$500,0))="","",INDEX(O1_Community_Attributes!$BK$1:$BK$500,MATCH($A369,O1_Community_Attributes!$A$1:$A$500,0))),""))</f>
        <v/>
      </c>
      <c r="S369" s="8" t="str">
        <f aca="false">IF(OR($C369="",$M369=""),"",$M369/$C369)</f>
        <v/>
      </c>
      <c r="T369" s="8" t="str">
        <f aca="false">IF($C369="","",IF(AND($M369="",$P369=""),"",IF($M369="","B",IF(ABS($S369-1)&lt;=0.3,"A",IF(OR($S369&gt;2,$S369&lt;0.5),"C","B")))))</f>
        <v/>
      </c>
    </row>
    <row r="370" customFormat="false" ht="15" hidden="false" customHeight="true" outlineLevel="0" collapsed="false">
      <c r="H370" s="8" t="str">
        <f aca="false">IF(C370="","",IF(C370&lt;1,"yes","no"))</f>
        <v/>
      </c>
      <c r="I370" s="8" t="str">
        <f aca="false">IF(C370="","",IF(C370&lt;2.6,"r75",IF(C370&lt;5.2,"r110",IF(C370&lt;9.9,"r150",IF(C370&lt;19.8,"r210","r300")))))</f>
        <v/>
      </c>
      <c r="M370" s="8" t="str">
        <f aca="false">IF($A370="","",IFERROR(IF(INDEX(O1_Community_Attributes!$V$1:$V$500,MATCH($A370,O1_Community_Attributes!$A$1:$A$500,0))="","",INDEX(O1_Community_Attributes!$V$1:$V$500,MATCH($A370,O1_Community_Attributes!$A$1:$A$500,0))),""))</f>
        <v/>
      </c>
      <c r="N370" s="8" t="str">
        <f aca="false">IF($A370="","",IFERROR(IF(INDEX(O1_Community_Attributes!$W$1:$W$500,MATCH($A370,O1_Community_Attributes!$A$1:$A$500,0))="","",INDEX(O1_Community_Attributes!$W$1:$W$500,MATCH($A370,O1_Community_Attributes!$A$1:$A$500,0))),""))</f>
        <v/>
      </c>
      <c r="O370" s="8" t="str">
        <f aca="false">IF($A370="","",IFERROR(IF(INDEX(O1_Community_Attributes!$X$1:$X$500,MATCH($A370,O1_Community_Attributes!$A$1:$A$500,0))="","",INDEX(O1_Community_Attributes!$X$1:$X$500,MATCH($A370,O1_Community_Attributes!$A$1:$A$500,0))),""))</f>
        <v/>
      </c>
      <c r="P370" s="8" t="str">
        <f aca="false">IF($A370="","",IFERROR(IF(INDEX(O1_Community_Attributes!$Y$1:$Y$500,MATCH($A370,O1_Community_Attributes!$A$1:$A$500,0))="","",INDEX(O1_Community_Attributes!$Y$1:$Y$500,MATCH($A370,O1_Community_Attributes!$A$1:$A$500,0))),""))</f>
        <v/>
      </c>
      <c r="Q370" s="8" t="str">
        <f aca="false">IF($A370="","",IFERROR(IF(INDEX(O1_Community_Attributes!$Z$1:$Z$500,MATCH($A370,O1_Community_Attributes!$A$1:$A$500,0))="","",INDEX(O1_Community_Attributes!$Z$1:$Z$500,MATCH($A370,O1_Community_Attributes!$A$1:$A$500,0))),""))</f>
        <v/>
      </c>
      <c r="R370" s="8" t="str">
        <f aca="false">IF($A370="","",IFERROR(IF(INDEX(O1_Community_Attributes!$BK$1:$BK$500,MATCH($A370,O1_Community_Attributes!$A$1:$A$500,0))="","",INDEX(O1_Community_Attributes!$BK$1:$BK$500,MATCH($A370,O1_Community_Attributes!$A$1:$A$500,0))),""))</f>
        <v/>
      </c>
      <c r="S370" s="8" t="str">
        <f aca="false">IF(OR($C370="",$M370=""),"",$M370/$C370)</f>
        <v/>
      </c>
      <c r="T370" s="8" t="str">
        <f aca="false">IF($C370="","",IF(AND($M370="",$P370=""),"",IF($M370="","B",IF(ABS($S370-1)&lt;=0.3,"A",IF(OR($S370&gt;2,$S370&lt;0.5),"C","B")))))</f>
        <v/>
      </c>
    </row>
    <row r="371" customFormat="false" ht="15" hidden="false" customHeight="true" outlineLevel="0" collapsed="false">
      <c r="H371" s="8" t="str">
        <f aca="false">IF(C371="","",IF(C371&lt;1,"yes","no"))</f>
        <v/>
      </c>
      <c r="I371" s="8" t="str">
        <f aca="false">IF(C371="","",IF(C371&lt;2.6,"r75",IF(C371&lt;5.2,"r110",IF(C371&lt;9.9,"r150",IF(C371&lt;19.8,"r210","r300")))))</f>
        <v/>
      </c>
      <c r="M371" s="8" t="str">
        <f aca="false">IF($A371="","",IFERROR(IF(INDEX(O1_Community_Attributes!$V$1:$V$500,MATCH($A371,O1_Community_Attributes!$A$1:$A$500,0))="","",INDEX(O1_Community_Attributes!$V$1:$V$500,MATCH($A371,O1_Community_Attributes!$A$1:$A$500,0))),""))</f>
        <v/>
      </c>
      <c r="N371" s="8" t="str">
        <f aca="false">IF($A371="","",IFERROR(IF(INDEX(O1_Community_Attributes!$W$1:$W$500,MATCH($A371,O1_Community_Attributes!$A$1:$A$500,0))="","",INDEX(O1_Community_Attributes!$W$1:$W$500,MATCH($A371,O1_Community_Attributes!$A$1:$A$500,0))),""))</f>
        <v/>
      </c>
      <c r="O371" s="8" t="str">
        <f aca="false">IF($A371="","",IFERROR(IF(INDEX(O1_Community_Attributes!$X$1:$X$500,MATCH($A371,O1_Community_Attributes!$A$1:$A$500,0))="","",INDEX(O1_Community_Attributes!$X$1:$X$500,MATCH($A371,O1_Community_Attributes!$A$1:$A$500,0))),""))</f>
        <v/>
      </c>
      <c r="P371" s="8" t="str">
        <f aca="false">IF($A371="","",IFERROR(IF(INDEX(O1_Community_Attributes!$Y$1:$Y$500,MATCH($A371,O1_Community_Attributes!$A$1:$A$500,0))="","",INDEX(O1_Community_Attributes!$Y$1:$Y$500,MATCH($A371,O1_Community_Attributes!$A$1:$A$500,0))),""))</f>
        <v/>
      </c>
      <c r="Q371" s="8" t="str">
        <f aca="false">IF($A371="","",IFERROR(IF(INDEX(O1_Community_Attributes!$Z$1:$Z$500,MATCH($A371,O1_Community_Attributes!$A$1:$A$500,0))="","",INDEX(O1_Community_Attributes!$Z$1:$Z$500,MATCH($A371,O1_Community_Attributes!$A$1:$A$500,0))),""))</f>
        <v/>
      </c>
      <c r="R371" s="8" t="str">
        <f aca="false">IF($A371="","",IFERROR(IF(INDEX(O1_Community_Attributes!$BK$1:$BK$500,MATCH($A371,O1_Community_Attributes!$A$1:$A$500,0))="","",INDEX(O1_Community_Attributes!$BK$1:$BK$500,MATCH($A371,O1_Community_Attributes!$A$1:$A$500,0))),""))</f>
        <v/>
      </c>
      <c r="S371" s="8" t="str">
        <f aca="false">IF(OR($C371="",$M371=""),"",$M371/$C371)</f>
        <v/>
      </c>
      <c r="T371" s="8" t="str">
        <f aca="false">IF($C371="","",IF(AND($M371="",$P371=""),"",IF($M371="","B",IF(ABS($S371-1)&lt;=0.3,"A",IF(OR($S371&gt;2,$S371&lt;0.5),"C","B")))))</f>
        <v/>
      </c>
    </row>
    <row r="372" customFormat="false" ht="15" hidden="false" customHeight="true" outlineLevel="0" collapsed="false">
      <c r="H372" s="8" t="str">
        <f aca="false">IF(C372="","",IF(C372&lt;1,"yes","no"))</f>
        <v/>
      </c>
      <c r="I372" s="8" t="str">
        <f aca="false">IF(C372="","",IF(C372&lt;2.6,"r75",IF(C372&lt;5.2,"r110",IF(C372&lt;9.9,"r150",IF(C372&lt;19.8,"r210","r300")))))</f>
        <v/>
      </c>
      <c r="M372" s="8" t="str">
        <f aca="false">IF($A372="","",IFERROR(IF(INDEX(O1_Community_Attributes!$V$1:$V$500,MATCH($A372,O1_Community_Attributes!$A$1:$A$500,0))="","",INDEX(O1_Community_Attributes!$V$1:$V$500,MATCH($A372,O1_Community_Attributes!$A$1:$A$500,0))),""))</f>
        <v/>
      </c>
      <c r="N372" s="8" t="str">
        <f aca="false">IF($A372="","",IFERROR(IF(INDEX(O1_Community_Attributes!$W$1:$W$500,MATCH($A372,O1_Community_Attributes!$A$1:$A$500,0))="","",INDEX(O1_Community_Attributes!$W$1:$W$500,MATCH($A372,O1_Community_Attributes!$A$1:$A$500,0))),""))</f>
        <v/>
      </c>
      <c r="O372" s="8" t="str">
        <f aca="false">IF($A372="","",IFERROR(IF(INDEX(O1_Community_Attributes!$X$1:$X$500,MATCH($A372,O1_Community_Attributes!$A$1:$A$500,0))="","",INDEX(O1_Community_Attributes!$X$1:$X$500,MATCH($A372,O1_Community_Attributes!$A$1:$A$500,0))),""))</f>
        <v/>
      </c>
      <c r="P372" s="8" t="str">
        <f aca="false">IF($A372="","",IFERROR(IF(INDEX(O1_Community_Attributes!$Y$1:$Y$500,MATCH($A372,O1_Community_Attributes!$A$1:$A$500,0))="","",INDEX(O1_Community_Attributes!$Y$1:$Y$500,MATCH($A372,O1_Community_Attributes!$A$1:$A$500,0))),""))</f>
        <v/>
      </c>
      <c r="Q372" s="8" t="str">
        <f aca="false">IF($A372="","",IFERROR(IF(INDEX(O1_Community_Attributes!$Z$1:$Z$500,MATCH($A372,O1_Community_Attributes!$A$1:$A$500,0))="","",INDEX(O1_Community_Attributes!$Z$1:$Z$500,MATCH($A372,O1_Community_Attributes!$A$1:$A$500,0))),""))</f>
        <v/>
      </c>
      <c r="R372" s="8" t="str">
        <f aca="false">IF($A372="","",IFERROR(IF(INDEX(O1_Community_Attributes!$BK$1:$BK$500,MATCH($A372,O1_Community_Attributes!$A$1:$A$500,0))="","",INDEX(O1_Community_Attributes!$BK$1:$BK$500,MATCH($A372,O1_Community_Attributes!$A$1:$A$500,0))),""))</f>
        <v/>
      </c>
      <c r="S372" s="8" t="str">
        <f aca="false">IF(OR($C372="",$M372=""),"",$M372/$C372)</f>
        <v/>
      </c>
      <c r="T372" s="8" t="str">
        <f aca="false">IF($C372="","",IF(AND($M372="",$P372=""),"",IF($M372="","B",IF(ABS($S372-1)&lt;=0.3,"A",IF(OR($S372&gt;2,$S372&lt;0.5),"C","B")))))</f>
        <v/>
      </c>
    </row>
    <row r="373" customFormat="false" ht="15" hidden="false" customHeight="true" outlineLevel="0" collapsed="false">
      <c r="H373" s="8" t="str">
        <f aca="false">IF(C373="","",IF(C373&lt;1,"yes","no"))</f>
        <v/>
      </c>
      <c r="I373" s="8" t="str">
        <f aca="false">IF(C373="","",IF(C373&lt;2.6,"r75",IF(C373&lt;5.2,"r110",IF(C373&lt;9.9,"r150",IF(C373&lt;19.8,"r210","r300")))))</f>
        <v/>
      </c>
      <c r="M373" s="8" t="str">
        <f aca="false">IF($A373="","",IFERROR(IF(INDEX(O1_Community_Attributes!$V$1:$V$500,MATCH($A373,O1_Community_Attributes!$A$1:$A$500,0))="","",INDEX(O1_Community_Attributes!$V$1:$V$500,MATCH($A373,O1_Community_Attributes!$A$1:$A$500,0))),""))</f>
        <v/>
      </c>
      <c r="N373" s="8" t="str">
        <f aca="false">IF($A373="","",IFERROR(IF(INDEX(O1_Community_Attributes!$W$1:$W$500,MATCH($A373,O1_Community_Attributes!$A$1:$A$500,0))="","",INDEX(O1_Community_Attributes!$W$1:$W$500,MATCH($A373,O1_Community_Attributes!$A$1:$A$500,0))),""))</f>
        <v/>
      </c>
      <c r="O373" s="8" t="str">
        <f aca="false">IF($A373="","",IFERROR(IF(INDEX(O1_Community_Attributes!$X$1:$X$500,MATCH($A373,O1_Community_Attributes!$A$1:$A$500,0))="","",INDEX(O1_Community_Attributes!$X$1:$X$500,MATCH($A373,O1_Community_Attributes!$A$1:$A$500,0))),""))</f>
        <v/>
      </c>
      <c r="P373" s="8" t="str">
        <f aca="false">IF($A373="","",IFERROR(IF(INDEX(O1_Community_Attributes!$Y$1:$Y$500,MATCH($A373,O1_Community_Attributes!$A$1:$A$500,0))="","",INDEX(O1_Community_Attributes!$Y$1:$Y$500,MATCH($A373,O1_Community_Attributes!$A$1:$A$500,0))),""))</f>
        <v/>
      </c>
      <c r="Q373" s="8" t="str">
        <f aca="false">IF($A373="","",IFERROR(IF(INDEX(O1_Community_Attributes!$Z$1:$Z$500,MATCH($A373,O1_Community_Attributes!$A$1:$A$500,0))="","",INDEX(O1_Community_Attributes!$Z$1:$Z$500,MATCH($A373,O1_Community_Attributes!$A$1:$A$500,0))),""))</f>
        <v/>
      </c>
      <c r="R373" s="8" t="str">
        <f aca="false">IF($A373="","",IFERROR(IF(INDEX(O1_Community_Attributes!$BK$1:$BK$500,MATCH($A373,O1_Community_Attributes!$A$1:$A$500,0))="","",INDEX(O1_Community_Attributes!$BK$1:$BK$500,MATCH($A373,O1_Community_Attributes!$A$1:$A$500,0))),""))</f>
        <v/>
      </c>
      <c r="S373" s="8" t="str">
        <f aca="false">IF(OR($C373="",$M373=""),"",$M373/$C373)</f>
        <v/>
      </c>
      <c r="T373" s="8" t="str">
        <f aca="false">IF($C373="","",IF(AND($M373="",$P373=""),"",IF($M373="","B",IF(ABS($S373-1)&lt;=0.3,"A",IF(OR($S373&gt;2,$S373&lt;0.5),"C","B")))))</f>
        <v/>
      </c>
    </row>
    <row r="374" customFormat="false" ht="15" hidden="false" customHeight="true" outlineLevel="0" collapsed="false">
      <c r="H374" s="8" t="str">
        <f aca="false">IF(C374="","",IF(C374&lt;1,"yes","no"))</f>
        <v/>
      </c>
      <c r="I374" s="8" t="str">
        <f aca="false">IF(C374="","",IF(C374&lt;2.6,"r75",IF(C374&lt;5.2,"r110",IF(C374&lt;9.9,"r150",IF(C374&lt;19.8,"r210","r300")))))</f>
        <v/>
      </c>
      <c r="M374" s="8" t="str">
        <f aca="false">IF($A374="","",IFERROR(IF(INDEX(O1_Community_Attributes!$V$1:$V$500,MATCH($A374,O1_Community_Attributes!$A$1:$A$500,0))="","",INDEX(O1_Community_Attributes!$V$1:$V$500,MATCH($A374,O1_Community_Attributes!$A$1:$A$500,0))),""))</f>
        <v/>
      </c>
      <c r="N374" s="8" t="str">
        <f aca="false">IF($A374="","",IFERROR(IF(INDEX(O1_Community_Attributes!$W$1:$W$500,MATCH($A374,O1_Community_Attributes!$A$1:$A$500,0))="","",INDEX(O1_Community_Attributes!$W$1:$W$500,MATCH($A374,O1_Community_Attributes!$A$1:$A$500,0))),""))</f>
        <v/>
      </c>
      <c r="O374" s="8" t="str">
        <f aca="false">IF($A374="","",IFERROR(IF(INDEX(O1_Community_Attributes!$X$1:$X$500,MATCH($A374,O1_Community_Attributes!$A$1:$A$500,0))="","",INDEX(O1_Community_Attributes!$X$1:$X$500,MATCH($A374,O1_Community_Attributes!$A$1:$A$500,0))),""))</f>
        <v/>
      </c>
      <c r="P374" s="8" t="str">
        <f aca="false">IF($A374="","",IFERROR(IF(INDEX(O1_Community_Attributes!$Y$1:$Y$500,MATCH($A374,O1_Community_Attributes!$A$1:$A$500,0))="","",INDEX(O1_Community_Attributes!$Y$1:$Y$500,MATCH($A374,O1_Community_Attributes!$A$1:$A$500,0))),""))</f>
        <v/>
      </c>
      <c r="Q374" s="8" t="str">
        <f aca="false">IF($A374="","",IFERROR(IF(INDEX(O1_Community_Attributes!$Z$1:$Z$500,MATCH($A374,O1_Community_Attributes!$A$1:$A$500,0))="","",INDEX(O1_Community_Attributes!$Z$1:$Z$500,MATCH($A374,O1_Community_Attributes!$A$1:$A$500,0))),""))</f>
        <v/>
      </c>
      <c r="R374" s="8" t="str">
        <f aca="false">IF($A374="","",IFERROR(IF(INDEX(O1_Community_Attributes!$BK$1:$BK$500,MATCH($A374,O1_Community_Attributes!$A$1:$A$500,0))="","",INDEX(O1_Community_Attributes!$BK$1:$BK$500,MATCH($A374,O1_Community_Attributes!$A$1:$A$500,0))),""))</f>
        <v/>
      </c>
      <c r="S374" s="8" t="str">
        <f aca="false">IF(OR($C374="",$M374=""),"",$M374/$C374)</f>
        <v/>
      </c>
      <c r="T374" s="8" t="str">
        <f aca="false">IF($C374="","",IF(AND($M374="",$P374=""),"",IF($M374="","B",IF(ABS($S374-1)&lt;=0.3,"A",IF(OR($S374&gt;2,$S374&lt;0.5),"C","B")))))</f>
        <v/>
      </c>
    </row>
    <row r="375" customFormat="false" ht="15" hidden="false" customHeight="true" outlineLevel="0" collapsed="false">
      <c r="H375" s="8" t="str">
        <f aca="false">IF(C375="","",IF(C375&lt;1,"yes","no"))</f>
        <v/>
      </c>
      <c r="I375" s="8" t="str">
        <f aca="false">IF(C375="","",IF(C375&lt;2.6,"r75",IF(C375&lt;5.2,"r110",IF(C375&lt;9.9,"r150",IF(C375&lt;19.8,"r210","r300")))))</f>
        <v/>
      </c>
      <c r="M375" s="8" t="str">
        <f aca="false">IF($A375="","",IFERROR(IF(INDEX(O1_Community_Attributes!$V$1:$V$500,MATCH($A375,O1_Community_Attributes!$A$1:$A$500,0))="","",INDEX(O1_Community_Attributes!$V$1:$V$500,MATCH($A375,O1_Community_Attributes!$A$1:$A$500,0))),""))</f>
        <v/>
      </c>
      <c r="N375" s="8" t="str">
        <f aca="false">IF($A375="","",IFERROR(IF(INDEX(O1_Community_Attributes!$W$1:$W$500,MATCH($A375,O1_Community_Attributes!$A$1:$A$500,0))="","",INDEX(O1_Community_Attributes!$W$1:$W$500,MATCH($A375,O1_Community_Attributes!$A$1:$A$500,0))),""))</f>
        <v/>
      </c>
      <c r="O375" s="8" t="str">
        <f aca="false">IF($A375="","",IFERROR(IF(INDEX(O1_Community_Attributes!$X$1:$X$500,MATCH($A375,O1_Community_Attributes!$A$1:$A$500,0))="","",INDEX(O1_Community_Attributes!$X$1:$X$500,MATCH($A375,O1_Community_Attributes!$A$1:$A$500,0))),""))</f>
        <v/>
      </c>
      <c r="P375" s="8" t="str">
        <f aca="false">IF($A375="","",IFERROR(IF(INDEX(O1_Community_Attributes!$Y$1:$Y$500,MATCH($A375,O1_Community_Attributes!$A$1:$A$500,0))="","",INDEX(O1_Community_Attributes!$Y$1:$Y$500,MATCH($A375,O1_Community_Attributes!$A$1:$A$500,0))),""))</f>
        <v/>
      </c>
      <c r="Q375" s="8" t="str">
        <f aca="false">IF($A375="","",IFERROR(IF(INDEX(O1_Community_Attributes!$Z$1:$Z$500,MATCH($A375,O1_Community_Attributes!$A$1:$A$500,0))="","",INDEX(O1_Community_Attributes!$Z$1:$Z$500,MATCH($A375,O1_Community_Attributes!$A$1:$A$500,0))),""))</f>
        <v/>
      </c>
      <c r="R375" s="8" t="str">
        <f aca="false">IF($A375="","",IFERROR(IF(INDEX(O1_Community_Attributes!$BK$1:$BK$500,MATCH($A375,O1_Community_Attributes!$A$1:$A$500,0))="","",INDEX(O1_Community_Attributes!$BK$1:$BK$500,MATCH($A375,O1_Community_Attributes!$A$1:$A$500,0))),""))</f>
        <v/>
      </c>
      <c r="S375" s="8" t="str">
        <f aca="false">IF(OR($C375="",$M375=""),"",$M375/$C375)</f>
        <v/>
      </c>
      <c r="T375" s="8" t="str">
        <f aca="false">IF($C375="","",IF(AND($M375="",$P375=""),"",IF($M375="","B",IF(ABS($S375-1)&lt;=0.3,"A",IF(OR($S375&gt;2,$S375&lt;0.5),"C","B")))))</f>
        <v/>
      </c>
    </row>
    <row r="376" customFormat="false" ht="15" hidden="false" customHeight="true" outlineLevel="0" collapsed="false">
      <c r="H376" s="8" t="str">
        <f aca="false">IF(C376="","",IF(C376&lt;1,"yes","no"))</f>
        <v/>
      </c>
      <c r="I376" s="8" t="str">
        <f aca="false">IF(C376="","",IF(C376&lt;2.6,"r75",IF(C376&lt;5.2,"r110",IF(C376&lt;9.9,"r150",IF(C376&lt;19.8,"r210","r300")))))</f>
        <v/>
      </c>
      <c r="M376" s="8" t="str">
        <f aca="false">IF($A376="","",IFERROR(IF(INDEX(O1_Community_Attributes!$V$1:$V$500,MATCH($A376,O1_Community_Attributes!$A$1:$A$500,0))="","",INDEX(O1_Community_Attributes!$V$1:$V$500,MATCH($A376,O1_Community_Attributes!$A$1:$A$500,0))),""))</f>
        <v/>
      </c>
      <c r="N376" s="8" t="str">
        <f aca="false">IF($A376="","",IFERROR(IF(INDEX(O1_Community_Attributes!$W$1:$W$500,MATCH($A376,O1_Community_Attributes!$A$1:$A$500,0))="","",INDEX(O1_Community_Attributes!$W$1:$W$500,MATCH($A376,O1_Community_Attributes!$A$1:$A$500,0))),""))</f>
        <v/>
      </c>
      <c r="O376" s="8" t="str">
        <f aca="false">IF($A376="","",IFERROR(IF(INDEX(O1_Community_Attributes!$X$1:$X$500,MATCH($A376,O1_Community_Attributes!$A$1:$A$500,0))="","",INDEX(O1_Community_Attributes!$X$1:$X$500,MATCH($A376,O1_Community_Attributes!$A$1:$A$500,0))),""))</f>
        <v/>
      </c>
      <c r="P376" s="8" t="str">
        <f aca="false">IF($A376="","",IFERROR(IF(INDEX(O1_Community_Attributes!$Y$1:$Y$500,MATCH($A376,O1_Community_Attributes!$A$1:$A$500,0))="","",INDEX(O1_Community_Attributes!$Y$1:$Y$500,MATCH($A376,O1_Community_Attributes!$A$1:$A$500,0))),""))</f>
        <v/>
      </c>
      <c r="Q376" s="8" t="str">
        <f aca="false">IF($A376="","",IFERROR(IF(INDEX(O1_Community_Attributes!$Z$1:$Z$500,MATCH($A376,O1_Community_Attributes!$A$1:$A$500,0))="","",INDEX(O1_Community_Attributes!$Z$1:$Z$500,MATCH($A376,O1_Community_Attributes!$A$1:$A$500,0))),""))</f>
        <v/>
      </c>
      <c r="R376" s="8" t="str">
        <f aca="false">IF($A376="","",IFERROR(IF(INDEX(O1_Community_Attributes!$BK$1:$BK$500,MATCH($A376,O1_Community_Attributes!$A$1:$A$500,0))="","",INDEX(O1_Community_Attributes!$BK$1:$BK$500,MATCH($A376,O1_Community_Attributes!$A$1:$A$500,0))),""))</f>
        <v/>
      </c>
      <c r="S376" s="8" t="str">
        <f aca="false">IF(OR($C376="",$M376=""),"",$M376/$C376)</f>
        <v/>
      </c>
      <c r="T376" s="8" t="str">
        <f aca="false">IF($C376="","",IF(AND($M376="",$P376=""),"",IF($M376="","B",IF(ABS($S376-1)&lt;=0.3,"A",IF(OR($S376&gt;2,$S376&lt;0.5),"C","B")))))</f>
        <v/>
      </c>
    </row>
    <row r="377" customFormat="false" ht="15" hidden="false" customHeight="true" outlineLevel="0" collapsed="false">
      <c r="H377" s="8" t="str">
        <f aca="false">IF(C377="","",IF(C377&lt;1,"yes","no"))</f>
        <v/>
      </c>
      <c r="I377" s="8" t="str">
        <f aca="false">IF(C377="","",IF(C377&lt;2.6,"r75",IF(C377&lt;5.2,"r110",IF(C377&lt;9.9,"r150",IF(C377&lt;19.8,"r210","r300")))))</f>
        <v/>
      </c>
      <c r="M377" s="8" t="str">
        <f aca="false">IF($A377="","",IFERROR(IF(INDEX(O1_Community_Attributes!$V$1:$V$500,MATCH($A377,O1_Community_Attributes!$A$1:$A$500,0))="","",INDEX(O1_Community_Attributes!$V$1:$V$500,MATCH($A377,O1_Community_Attributes!$A$1:$A$500,0))),""))</f>
        <v/>
      </c>
      <c r="N377" s="8" t="str">
        <f aca="false">IF($A377="","",IFERROR(IF(INDEX(O1_Community_Attributes!$W$1:$W$500,MATCH($A377,O1_Community_Attributes!$A$1:$A$500,0))="","",INDEX(O1_Community_Attributes!$W$1:$W$500,MATCH($A377,O1_Community_Attributes!$A$1:$A$500,0))),""))</f>
        <v/>
      </c>
      <c r="O377" s="8" t="str">
        <f aca="false">IF($A377="","",IFERROR(IF(INDEX(O1_Community_Attributes!$X$1:$X$500,MATCH($A377,O1_Community_Attributes!$A$1:$A$500,0))="","",INDEX(O1_Community_Attributes!$X$1:$X$500,MATCH($A377,O1_Community_Attributes!$A$1:$A$500,0))),""))</f>
        <v/>
      </c>
      <c r="P377" s="8" t="str">
        <f aca="false">IF($A377="","",IFERROR(IF(INDEX(O1_Community_Attributes!$Y$1:$Y$500,MATCH($A377,O1_Community_Attributes!$A$1:$A$500,0))="","",INDEX(O1_Community_Attributes!$Y$1:$Y$500,MATCH($A377,O1_Community_Attributes!$A$1:$A$500,0))),""))</f>
        <v/>
      </c>
      <c r="Q377" s="8" t="str">
        <f aca="false">IF($A377="","",IFERROR(IF(INDEX(O1_Community_Attributes!$Z$1:$Z$500,MATCH($A377,O1_Community_Attributes!$A$1:$A$500,0))="","",INDEX(O1_Community_Attributes!$Z$1:$Z$500,MATCH($A377,O1_Community_Attributes!$A$1:$A$500,0))),""))</f>
        <v/>
      </c>
      <c r="R377" s="8" t="str">
        <f aca="false">IF($A377="","",IFERROR(IF(INDEX(O1_Community_Attributes!$BK$1:$BK$500,MATCH($A377,O1_Community_Attributes!$A$1:$A$500,0))="","",INDEX(O1_Community_Attributes!$BK$1:$BK$500,MATCH($A377,O1_Community_Attributes!$A$1:$A$500,0))),""))</f>
        <v/>
      </c>
      <c r="S377" s="8" t="str">
        <f aca="false">IF(OR($C377="",$M377=""),"",$M377/$C377)</f>
        <v/>
      </c>
      <c r="T377" s="8" t="str">
        <f aca="false">IF($C377="","",IF(AND($M377="",$P377=""),"",IF($M377="","B",IF(ABS($S377-1)&lt;=0.3,"A",IF(OR($S377&gt;2,$S377&lt;0.5),"C","B")))))</f>
        <v/>
      </c>
    </row>
    <row r="378" customFormat="false" ht="15" hidden="false" customHeight="true" outlineLevel="0" collapsed="false">
      <c r="H378" s="8" t="str">
        <f aca="false">IF(C378="","",IF(C378&lt;1,"yes","no"))</f>
        <v/>
      </c>
      <c r="I378" s="8" t="str">
        <f aca="false">IF(C378="","",IF(C378&lt;2.6,"r75",IF(C378&lt;5.2,"r110",IF(C378&lt;9.9,"r150",IF(C378&lt;19.8,"r210","r300")))))</f>
        <v/>
      </c>
      <c r="M378" s="8" t="str">
        <f aca="false">IF($A378="","",IFERROR(IF(INDEX(O1_Community_Attributes!$V$1:$V$500,MATCH($A378,O1_Community_Attributes!$A$1:$A$500,0))="","",INDEX(O1_Community_Attributes!$V$1:$V$500,MATCH($A378,O1_Community_Attributes!$A$1:$A$500,0))),""))</f>
        <v/>
      </c>
      <c r="N378" s="8" t="str">
        <f aca="false">IF($A378="","",IFERROR(IF(INDEX(O1_Community_Attributes!$W$1:$W$500,MATCH($A378,O1_Community_Attributes!$A$1:$A$500,0))="","",INDEX(O1_Community_Attributes!$W$1:$W$500,MATCH($A378,O1_Community_Attributes!$A$1:$A$500,0))),""))</f>
        <v/>
      </c>
      <c r="O378" s="8" t="str">
        <f aca="false">IF($A378="","",IFERROR(IF(INDEX(O1_Community_Attributes!$X$1:$X$500,MATCH($A378,O1_Community_Attributes!$A$1:$A$500,0))="","",INDEX(O1_Community_Attributes!$X$1:$X$500,MATCH($A378,O1_Community_Attributes!$A$1:$A$500,0))),""))</f>
        <v/>
      </c>
      <c r="P378" s="8" t="str">
        <f aca="false">IF($A378="","",IFERROR(IF(INDEX(O1_Community_Attributes!$Y$1:$Y$500,MATCH($A378,O1_Community_Attributes!$A$1:$A$500,0))="","",INDEX(O1_Community_Attributes!$Y$1:$Y$500,MATCH($A378,O1_Community_Attributes!$A$1:$A$500,0))),""))</f>
        <v/>
      </c>
      <c r="Q378" s="8" t="str">
        <f aca="false">IF($A378="","",IFERROR(IF(INDEX(O1_Community_Attributes!$Z$1:$Z$500,MATCH($A378,O1_Community_Attributes!$A$1:$A$500,0))="","",INDEX(O1_Community_Attributes!$Z$1:$Z$500,MATCH($A378,O1_Community_Attributes!$A$1:$A$500,0))),""))</f>
        <v/>
      </c>
      <c r="R378" s="8" t="str">
        <f aca="false">IF($A378="","",IFERROR(IF(INDEX(O1_Community_Attributes!$BK$1:$BK$500,MATCH($A378,O1_Community_Attributes!$A$1:$A$500,0))="","",INDEX(O1_Community_Attributes!$BK$1:$BK$500,MATCH($A378,O1_Community_Attributes!$A$1:$A$500,0))),""))</f>
        <v/>
      </c>
      <c r="S378" s="8" t="str">
        <f aca="false">IF(OR($C378="",$M378=""),"",$M378/$C378)</f>
        <v/>
      </c>
      <c r="T378" s="8" t="str">
        <f aca="false">IF($C378="","",IF(AND($M378="",$P378=""),"",IF($M378="","B",IF(ABS($S378-1)&lt;=0.3,"A",IF(OR($S378&gt;2,$S378&lt;0.5),"C","B")))))</f>
        <v/>
      </c>
    </row>
    <row r="379" customFormat="false" ht="15" hidden="false" customHeight="true" outlineLevel="0" collapsed="false">
      <c r="H379" s="8" t="str">
        <f aca="false">IF(C379="","",IF(C379&lt;1,"yes","no"))</f>
        <v/>
      </c>
      <c r="I379" s="8" t="str">
        <f aca="false">IF(C379="","",IF(C379&lt;2.6,"r75",IF(C379&lt;5.2,"r110",IF(C379&lt;9.9,"r150",IF(C379&lt;19.8,"r210","r300")))))</f>
        <v/>
      </c>
      <c r="M379" s="8" t="str">
        <f aca="false">IF($A379="","",IFERROR(IF(INDEX(O1_Community_Attributes!$V$1:$V$500,MATCH($A379,O1_Community_Attributes!$A$1:$A$500,0))="","",INDEX(O1_Community_Attributes!$V$1:$V$500,MATCH($A379,O1_Community_Attributes!$A$1:$A$500,0))),""))</f>
        <v/>
      </c>
      <c r="N379" s="8" t="str">
        <f aca="false">IF($A379="","",IFERROR(IF(INDEX(O1_Community_Attributes!$W$1:$W$500,MATCH($A379,O1_Community_Attributes!$A$1:$A$500,0))="","",INDEX(O1_Community_Attributes!$W$1:$W$500,MATCH($A379,O1_Community_Attributes!$A$1:$A$500,0))),""))</f>
        <v/>
      </c>
      <c r="O379" s="8" t="str">
        <f aca="false">IF($A379="","",IFERROR(IF(INDEX(O1_Community_Attributes!$X$1:$X$500,MATCH($A379,O1_Community_Attributes!$A$1:$A$500,0))="","",INDEX(O1_Community_Attributes!$X$1:$X$500,MATCH($A379,O1_Community_Attributes!$A$1:$A$500,0))),""))</f>
        <v/>
      </c>
      <c r="P379" s="8" t="str">
        <f aca="false">IF($A379="","",IFERROR(IF(INDEX(O1_Community_Attributes!$Y$1:$Y$500,MATCH($A379,O1_Community_Attributes!$A$1:$A$500,0))="","",INDEX(O1_Community_Attributes!$Y$1:$Y$500,MATCH($A379,O1_Community_Attributes!$A$1:$A$500,0))),""))</f>
        <v/>
      </c>
      <c r="Q379" s="8" t="str">
        <f aca="false">IF($A379="","",IFERROR(IF(INDEX(O1_Community_Attributes!$Z$1:$Z$500,MATCH($A379,O1_Community_Attributes!$A$1:$A$500,0))="","",INDEX(O1_Community_Attributes!$Z$1:$Z$500,MATCH($A379,O1_Community_Attributes!$A$1:$A$500,0))),""))</f>
        <v/>
      </c>
      <c r="R379" s="8" t="str">
        <f aca="false">IF($A379="","",IFERROR(IF(INDEX(O1_Community_Attributes!$BK$1:$BK$500,MATCH($A379,O1_Community_Attributes!$A$1:$A$500,0))="","",INDEX(O1_Community_Attributes!$BK$1:$BK$500,MATCH($A379,O1_Community_Attributes!$A$1:$A$500,0))),""))</f>
        <v/>
      </c>
      <c r="S379" s="8" t="str">
        <f aca="false">IF(OR($C379="",$M379=""),"",$M379/$C379)</f>
        <v/>
      </c>
      <c r="T379" s="8" t="str">
        <f aca="false">IF($C379="","",IF(AND($M379="",$P379=""),"",IF($M379="","B",IF(ABS($S379-1)&lt;=0.3,"A",IF(OR($S379&gt;2,$S379&lt;0.5),"C","B")))))</f>
        <v/>
      </c>
    </row>
    <row r="380" customFormat="false" ht="15" hidden="false" customHeight="true" outlineLevel="0" collapsed="false">
      <c r="H380" s="8" t="str">
        <f aca="false">IF(C380="","",IF(C380&lt;1,"yes","no"))</f>
        <v/>
      </c>
      <c r="I380" s="8" t="str">
        <f aca="false">IF(C380="","",IF(C380&lt;2.6,"r75",IF(C380&lt;5.2,"r110",IF(C380&lt;9.9,"r150",IF(C380&lt;19.8,"r210","r300")))))</f>
        <v/>
      </c>
      <c r="M380" s="8" t="str">
        <f aca="false">IF($A380="","",IFERROR(IF(INDEX(O1_Community_Attributes!$V$1:$V$500,MATCH($A380,O1_Community_Attributes!$A$1:$A$500,0))="","",INDEX(O1_Community_Attributes!$V$1:$V$500,MATCH($A380,O1_Community_Attributes!$A$1:$A$500,0))),""))</f>
        <v/>
      </c>
      <c r="N380" s="8" t="str">
        <f aca="false">IF($A380="","",IFERROR(IF(INDEX(O1_Community_Attributes!$W$1:$W$500,MATCH($A380,O1_Community_Attributes!$A$1:$A$500,0))="","",INDEX(O1_Community_Attributes!$W$1:$W$500,MATCH($A380,O1_Community_Attributes!$A$1:$A$500,0))),""))</f>
        <v/>
      </c>
      <c r="O380" s="8" t="str">
        <f aca="false">IF($A380="","",IFERROR(IF(INDEX(O1_Community_Attributes!$X$1:$X$500,MATCH($A380,O1_Community_Attributes!$A$1:$A$500,0))="","",INDEX(O1_Community_Attributes!$X$1:$X$500,MATCH($A380,O1_Community_Attributes!$A$1:$A$500,0))),""))</f>
        <v/>
      </c>
      <c r="P380" s="8" t="str">
        <f aca="false">IF($A380="","",IFERROR(IF(INDEX(O1_Community_Attributes!$Y$1:$Y$500,MATCH($A380,O1_Community_Attributes!$A$1:$A$500,0))="","",INDEX(O1_Community_Attributes!$Y$1:$Y$500,MATCH($A380,O1_Community_Attributes!$A$1:$A$500,0))),""))</f>
        <v/>
      </c>
      <c r="Q380" s="8" t="str">
        <f aca="false">IF($A380="","",IFERROR(IF(INDEX(O1_Community_Attributes!$Z$1:$Z$500,MATCH($A380,O1_Community_Attributes!$A$1:$A$500,0))="","",INDEX(O1_Community_Attributes!$Z$1:$Z$500,MATCH($A380,O1_Community_Attributes!$A$1:$A$500,0))),""))</f>
        <v/>
      </c>
      <c r="R380" s="8" t="str">
        <f aca="false">IF($A380="","",IFERROR(IF(INDEX(O1_Community_Attributes!$BK$1:$BK$500,MATCH($A380,O1_Community_Attributes!$A$1:$A$500,0))="","",INDEX(O1_Community_Attributes!$BK$1:$BK$500,MATCH($A380,O1_Community_Attributes!$A$1:$A$500,0))),""))</f>
        <v/>
      </c>
      <c r="S380" s="8" t="str">
        <f aca="false">IF(OR($C380="",$M380=""),"",$M380/$C380)</f>
        <v/>
      </c>
      <c r="T380" s="8" t="str">
        <f aca="false">IF($C380="","",IF(AND($M380="",$P380=""),"",IF($M380="","B",IF(ABS($S380-1)&lt;=0.3,"A",IF(OR($S380&gt;2,$S380&lt;0.5),"C","B")))))</f>
        <v/>
      </c>
    </row>
    <row r="381" customFormat="false" ht="15" hidden="false" customHeight="true" outlineLevel="0" collapsed="false">
      <c r="H381" s="8" t="str">
        <f aca="false">IF(C381="","",IF(C381&lt;1,"yes","no"))</f>
        <v/>
      </c>
      <c r="I381" s="8" t="str">
        <f aca="false">IF(C381="","",IF(C381&lt;2.6,"r75",IF(C381&lt;5.2,"r110",IF(C381&lt;9.9,"r150",IF(C381&lt;19.8,"r210","r300")))))</f>
        <v/>
      </c>
      <c r="M381" s="8" t="str">
        <f aca="false">IF($A381="","",IFERROR(IF(INDEX(O1_Community_Attributes!$V$1:$V$500,MATCH($A381,O1_Community_Attributes!$A$1:$A$500,0))="","",INDEX(O1_Community_Attributes!$V$1:$V$500,MATCH($A381,O1_Community_Attributes!$A$1:$A$500,0))),""))</f>
        <v/>
      </c>
      <c r="N381" s="8" t="str">
        <f aca="false">IF($A381="","",IFERROR(IF(INDEX(O1_Community_Attributes!$W$1:$W$500,MATCH($A381,O1_Community_Attributes!$A$1:$A$500,0))="","",INDEX(O1_Community_Attributes!$W$1:$W$500,MATCH($A381,O1_Community_Attributes!$A$1:$A$500,0))),""))</f>
        <v/>
      </c>
      <c r="O381" s="8" t="str">
        <f aca="false">IF($A381="","",IFERROR(IF(INDEX(O1_Community_Attributes!$X$1:$X$500,MATCH($A381,O1_Community_Attributes!$A$1:$A$500,0))="","",INDEX(O1_Community_Attributes!$X$1:$X$500,MATCH($A381,O1_Community_Attributes!$A$1:$A$500,0))),""))</f>
        <v/>
      </c>
      <c r="P381" s="8" t="str">
        <f aca="false">IF($A381="","",IFERROR(IF(INDEX(O1_Community_Attributes!$Y$1:$Y$500,MATCH($A381,O1_Community_Attributes!$A$1:$A$500,0))="","",INDEX(O1_Community_Attributes!$Y$1:$Y$500,MATCH($A381,O1_Community_Attributes!$A$1:$A$500,0))),""))</f>
        <v/>
      </c>
      <c r="Q381" s="8" t="str">
        <f aca="false">IF($A381="","",IFERROR(IF(INDEX(O1_Community_Attributes!$Z$1:$Z$500,MATCH($A381,O1_Community_Attributes!$A$1:$A$500,0))="","",INDEX(O1_Community_Attributes!$Z$1:$Z$500,MATCH($A381,O1_Community_Attributes!$A$1:$A$500,0))),""))</f>
        <v/>
      </c>
      <c r="R381" s="8" t="str">
        <f aca="false">IF($A381="","",IFERROR(IF(INDEX(O1_Community_Attributes!$BK$1:$BK$500,MATCH($A381,O1_Community_Attributes!$A$1:$A$500,0))="","",INDEX(O1_Community_Attributes!$BK$1:$BK$500,MATCH($A381,O1_Community_Attributes!$A$1:$A$500,0))),""))</f>
        <v/>
      </c>
      <c r="S381" s="8" t="str">
        <f aca="false">IF(OR($C381="",$M381=""),"",$M381/$C381)</f>
        <v/>
      </c>
      <c r="T381" s="8" t="str">
        <f aca="false">IF($C381="","",IF(AND($M381="",$P381=""),"",IF($M381="","B",IF(ABS($S381-1)&lt;=0.3,"A",IF(OR($S381&gt;2,$S381&lt;0.5),"C","B")))))</f>
        <v/>
      </c>
    </row>
    <row r="382" customFormat="false" ht="15" hidden="false" customHeight="true" outlineLevel="0" collapsed="false">
      <c r="H382" s="8" t="str">
        <f aca="false">IF(C382="","",IF(C382&lt;1,"yes","no"))</f>
        <v/>
      </c>
      <c r="I382" s="8" t="str">
        <f aca="false">IF(C382="","",IF(C382&lt;2.6,"r75",IF(C382&lt;5.2,"r110",IF(C382&lt;9.9,"r150",IF(C382&lt;19.8,"r210","r300")))))</f>
        <v/>
      </c>
      <c r="M382" s="8" t="str">
        <f aca="false">IF($A382="","",IFERROR(IF(INDEX(O1_Community_Attributes!$V$1:$V$500,MATCH($A382,O1_Community_Attributes!$A$1:$A$500,0))="","",INDEX(O1_Community_Attributes!$V$1:$V$500,MATCH($A382,O1_Community_Attributes!$A$1:$A$500,0))),""))</f>
        <v/>
      </c>
      <c r="N382" s="8" t="str">
        <f aca="false">IF($A382="","",IFERROR(IF(INDEX(O1_Community_Attributes!$W$1:$W$500,MATCH($A382,O1_Community_Attributes!$A$1:$A$500,0))="","",INDEX(O1_Community_Attributes!$W$1:$W$500,MATCH($A382,O1_Community_Attributes!$A$1:$A$500,0))),""))</f>
        <v/>
      </c>
      <c r="O382" s="8" t="str">
        <f aca="false">IF($A382="","",IFERROR(IF(INDEX(O1_Community_Attributes!$X$1:$X$500,MATCH($A382,O1_Community_Attributes!$A$1:$A$500,0))="","",INDEX(O1_Community_Attributes!$X$1:$X$500,MATCH($A382,O1_Community_Attributes!$A$1:$A$500,0))),""))</f>
        <v/>
      </c>
      <c r="P382" s="8" t="str">
        <f aca="false">IF($A382="","",IFERROR(IF(INDEX(O1_Community_Attributes!$Y$1:$Y$500,MATCH($A382,O1_Community_Attributes!$A$1:$A$500,0))="","",INDEX(O1_Community_Attributes!$Y$1:$Y$500,MATCH($A382,O1_Community_Attributes!$A$1:$A$500,0))),""))</f>
        <v/>
      </c>
      <c r="Q382" s="8" t="str">
        <f aca="false">IF($A382="","",IFERROR(IF(INDEX(O1_Community_Attributes!$Z$1:$Z$500,MATCH($A382,O1_Community_Attributes!$A$1:$A$500,0))="","",INDEX(O1_Community_Attributes!$Z$1:$Z$500,MATCH($A382,O1_Community_Attributes!$A$1:$A$500,0))),""))</f>
        <v/>
      </c>
      <c r="R382" s="8" t="str">
        <f aca="false">IF($A382="","",IFERROR(IF(INDEX(O1_Community_Attributes!$BK$1:$BK$500,MATCH($A382,O1_Community_Attributes!$A$1:$A$500,0))="","",INDEX(O1_Community_Attributes!$BK$1:$BK$500,MATCH($A382,O1_Community_Attributes!$A$1:$A$500,0))),""))</f>
        <v/>
      </c>
      <c r="S382" s="8" t="str">
        <f aca="false">IF(OR($C382="",$M382=""),"",$M382/$C382)</f>
        <v/>
      </c>
      <c r="T382" s="8" t="str">
        <f aca="false">IF($C382="","",IF(AND($M382="",$P382=""),"",IF($M382="","B",IF(ABS($S382-1)&lt;=0.3,"A",IF(OR($S382&gt;2,$S382&lt;0.5),"C","B")))))</f>
        <v/>
      </c>
    </row>
    <row r="383" customFormat="false" ht="15" hidden="false" customHeight="true" outlineLevel="0" collapsed="false">
      <c r="H383" s="8" t="str">
        <f aca="false">IF(C383="","",IF(C383&lt;1,"yes","no"))</f>
        <v/>
      </c>
      <c r="I383" s="8" t="str">
        <f aca="false">IF(C383="","",IF(C383&lt;2.6,"r75",IF(C383&lt;5.2,"r110",IF(C383&lt;9.9,"r150",IF(C383&lt;19.8,"r210","r300")))))</f>
        <v/>
      </c>
      <c r="M383" s="8" t="str">
        <f aca="false">IF($A383="","",IFERROR(IF(INDEX(O1_Community_Attributes!$V$1:$V$500,MATCH($A383,O1_Community_Attributes!$A$1:$A$500,0))="","",INDEX(O1_Community_Attributes!$V$1:$V$500,MATCH($A383,O1_Community_Attributes!$A$1:$A$500,0))),""))</f>
        <v/>
      </c>
      <c r="N383" s="8" t="str">
        <f aca="false">IF($A383="","",IFERROR(IF(INDEX(O1_Community_Attributes!$W$1:$W$500,MATCH($A383,O1_Community_Attributes!$A$1:$A$500,0))="","",INDEX(O1_Community_Attributes!$W$1:$W$500,MATCH($A383,O1_Community_Attributes!$A$1:$A$500,0))),""))</f>
        <v/>
      </c>
      <c r="O383" s="8" t="str">
        <f aca="false">IF($A383="","",IFERROR(IF(INDEX(O1_Community_Attributes!$X$1:$X$500,MATCH($A383,O1_Community_Attributes!$A$1:$A$500,0))="","",INDEX(O1_Community_Attributes!$X$1:$X$500,MATCH($A383,O1_Community_Attributes!$A$1:$A$500,0))),""))</f>
        <v/>
      </c>
      <c r="P383" s="8" t="str">
        <f aca="false">IF($A383="","",IFERROR(IF(INDEX(O1_Community_Attributes!$Y$1:$Y$500,MATCH($A383,O1_Community_Attributes!$A$1:$A$500,0))="","",INDEX(O1_Community_Attributes!$Y$1:$Y$500,MATCH($A383,O1_Community_Attributes!$A$1:$A$500,0))),""))</f>
        <v/>
      </c>
      <c r="Q383" s="8" t="str">
        <f aca="false">IF($A383="","",IFERROR(IF(INDEX(O1_Community_Attributes!$Z$1:$Z$500,MATCH($A383,O1_Community_Attributes!$A$1:$A$500,0))="","",INDEX(O1_Community_Attributes!$Z$1:$Z$500,MATCH($A383,O1_Community_Attributes!$A$1:$A$500,0))),""))</f>
        <v/>
      </c>
      <c r="R383" s="8" t="str">
        <f aca="false">IF($A383="","",IFERROR(IF(INDEX(O1_Community_Attributes!$BK$1:$BK$500,MATCH($A383,O1_Community_Attributes!$A$1:$A$500,0))="","",INDEX(O1_Community_Attributes!$BK$1:$BK$500,MATCH($A383,O1_Community_Attributes!$A$1:$A$500,0))),""))</f>
        <v/>
      </c>
      <c r="S383" s="8" t="str">
        <f aca="false">IF(OR($C383="",$M383=""),"",$M383/$C383)</f>
        <v/>
      </c>
      <c r="T383" s="8" t="str">
        <f aca="false">IF($C383="","",IF(AND($M383="",$P383=""),"",IF($M383="","B",IF(ABS($S383-1)&lt;=0.3,"A",IF(OR($S383&gt;2,$S383&lt;0.5),"C","B")))))</f>
        <v/>
      </c>
    </row>
    <row r="384" customFormat="false" ht="15" hidden="false" customHeight="true" outlineLevel="0" collapsed="false">
      <c r="H384" s="8" t="str">
        <f aca="false">IF(C384="","",IF(C384&lt;1,"yes","no"))</f>
        <v/>
      </c>
      <c r="I384" s="8" t="str">
        <f aca="false">IF(C384="","",IF(C384&lt;2.6,"r75",IF(C384&lt;5.2,"r110",IF(C384&lt;9.9,"r150",IF(C384&lt;19.8,"r210","r300")))))</f>
        <v/>
      </c>
      <c r="M384" s="8" t="str">
        <f aca="false">IF($A384="","",IFERROR(IF(INDEX(O1_Community_Attributes!$V$1:$V$500,MATCH($A384,O1_Community_Attributes!$A$1:$A$500,0))="","",INDEX(O1_Community_Attributes!$V$1:$V$500,MATCH($A384,O1_Community_Attributes!$A$1:$A$500,0))),""))</f>
        <v/>
      </c>
      <c r="N384" s="8" t="str">
        <f aca="false">IF($A384="","",IFERROR(IF(INDEX(O1_Community_Attributes!$W$1:$W$500,MATCH($A384,O1_Community_Attributes!$A$1:$A$500,0))="","",INDEX(O1_Community_Attributes!$W$1:$W$500,MATCH($A384,O1_Community_Attributes!$A$1:$A$500,0))),""))</f>
        <v/>
      </c>
      <c r="O384" s="8" t="str">
        <f aca="false">IF($A384="","",IFERROR(IF(INDEX(O1_Community_Attributes!$X$1:$X$500,MATCH($A384,O1_Community_Attributes!$A$1:$A$500,0))="","",INDEX(O1_Community_Attributes!$X$1:$X$500,MATCH($A384,O1_Community_Attributes!$A$1:$A$500,0))),""))</f>
        <v/>
      </c>
      <c r="P384" s="8" t="str">
        <f aca="false">IF($A384="","",IFERROR(IF(INDEX(O1_Community_Attributes!$Y$1:$Y$500,MATCH($A384,O1_Community_Attributes!$A$1:$A$500,0))="","",INDEX(O1_Community_Attributes!$Y$1:$Y$500,MATCH($A384,O1_Community_Attributes!$A$1:$A$500,0))),""))</f>
        <v/>
      </c>
      <c r="Q384" s="8" t="str">
        <f aca="false">IF($A384="","",IFERROR(IF(INDEX(O1_Community_Attributes!$Z$1:$Z$500,MATCH($A384,O1_Community_Attributes!$A$1:$A$500,0))="","",INDEX(O1_Community_Attributes!$Z$1:$Z$500,MATCH($A384,O1_Community_Attributes!$A$1:$A$500,0))),""))</f>
        <v/>
      </c>
      <c r="R384" s="8" t="str">
        <f aca="false">IF($A384="","",IFERROR(IF(INDEX(O1_Community_Attributes!$BK$1:$BK$500,MATCH($A384,O1_Community_Attributes!$A$1:$A$500,0))="","",INDEX(O1_Community_Attributes!$BK$1:$BK$500,MATCH($A384,O1_Community_Attributes!$A$1:$A$500,0))),""))</f>
        <v/>
      </c>
      <c r="S384" s="8" t="str">
        <f aca="false">IF(OR($C384="",$M384=""),"",$M384/$C384)</f>
        <v/>
      </c>
      <c r="T384" s="8" t="str">
        <f aca="false">IF($C384="","",IF(AND($M384="",$P384=""),"",IF($M384="","B",IF(ABS($S384-1)&lt;=0.3,"A",IF(OR($S384&gt;2,$S384&lt;0.5),"C","B")))))</f>
        <v/>
      </c>
    </row>
    <row r="385" customFormat="false" ht="15" hidden="false" customHeight="true" outlineLevel="0" collapsed="false">
      <c r="H385" s="8" t="str">
        <f aca="false">IF(C385="","",IF(C385&lt;1,"yes","no"))</f>
        <v/>
      </c>
      <c r="I385" s="8" t="str">
        <f aca="false">IF(C385="","",IF(C385&lt;2.6,"r75",IF(C385&lt;5.2,"r110",IF(C385&lt;9.9,"r150",IF(C385&lt;19.8,"r210","r300")))))</f>
        <v/>
      </c>
      <c r="M385" s="8" t="str">
        <f aca="false">IF($A385="","",IFERROR(IF(INDEX(O1_Community_Attributes!$V$1:$V$500,MATCH($A385,O1_Community_Attributes!$A$1:$A$500,0))="","",INDEX(O1_Community_Attributes!$V$1:$V$500,MATCH($A385,O1_Community_Attributes!$A$1:$A$500,0))),""))</f>
        <v/>
      </c>
      <c r="N385" s="8" t="str">
        <f aca="false">IF($A385="","",IFERROR(IF(INDEX(O1_Community_Attributes!$W$1:$W$500,MATCH($A385,O1_Community_Attributes!$A$1:$A$500,0))="","",INDEX(O1_Community_Attributes!$W$1:$W$500,MATCH($A385,O1_Community_Attributes!$A$1:$A$500,0))),""))</f>
        <v/>
      </c>
      <c r="O385" s="8" t="str">
        <f aca="false">IF($A385="","",IFERROR(IF(INDEX(O1_Community_Attributes!$X$1:$X$500,MATCH($A385,O1_Community_Attributes!$A$1:$A$500,0))="","",INDEX(O1_Community_Attributes!$X$1:$X$500,MATCH($A385,O1_Community_Attributes!$A$1:$A$500,0))),""))</f>
        <v/>
      </c>
      <c r="P385" s="8" t="str">
        <f aca="false">IF($A385="","",IFERROR(IF(INDEX(O1_Community_Attributes!$Y$1:$Y$500,MATCH($A385,O1_Community_Attributes!$A$1:$A$500,0))="","",INDEX(O1_Community_Attributes!$Y$1:$Y$500,MATCH($A385,O1_Community_Attributes!$A$1:$A$500,0))),""))</f>
        <v/>
      </c>
      <c r="Q385" s="8" t="str">
        <f aca="false">IF($A385="","",IFERROR(IF(INDEX(O1_Community_Attributes!$Z$1:$Z$500,MATCH($A385,O1_Community_Attributes!$A$1:$A$500,0))="","",INDEX(O1_Community_Attributes!$Z$1:$Z$500,MATCH($A385,O1_Community_Attributes!$A$1:$A$500,0))),""))</f>
        <v/>
      </c>
      <c r="R385" s="8" t="str">
        <f aca="false">IF($A385="","",IFERROR(IF(INDEX(O1_Community_Attributes!$BK$1:$BK$500,MATCH($A385,O1_Community_Attributes!$A$1:$A$500,0))="","",INDEX(O1_Community_Attributes!$BK$1:$BK$500,MATCH($A385,O1_Community_Attributes!$A$1:$A$500,0))),""))</f>
        <v/>
      </c>
      <c r="S385" s="8" t="str">
        <f aca="false">IF(OR($C385="",$M385=""),"",$M385/$C385)</f>
        <v/>
      </c>
      <c r="T385" s="8" t="str">
        <f aca="false">IF($C385="","",IF(AND($M385="",$P385=""),"",IF($M385="","B",IF(ABS($S385-1)&lt;=0.3,"A",IF(OR($S385&gt;2,$S385&lt;0.5),"C","B")))))</f>
        <v/>
      </c>
    </row>
    <row r="386" customFormat="false" ht="15" hidden="false" customHeight="true" outlineLevel="0" collapsed="false">
      <c r="H386" s="8" t="str">
        <f aca="false">IF(C386="","",IF(C386&lt;1,"yes","no"))</f>
        <v/>
      </c>
      <c r="I386" s="8" t="str">
        <f aca="false">IF(C386="","",IF(C386&lt;2.6,"r75",IF(C386&lt;5.2,"r110",IF(C386&lt;9.9,"r150",IF(C386&lt;19.8,"r210","r300")))))</f>
        <v/>
      </c>
      <c r="M386" s="8" t="str">
        <f aca="false">IF($A386="","",IFERROR(IF(INDEX(O1_Community_Attributes!$V$1:$V$500,MATCH($A386,O1_Community_Attributes!$A$1:$A$500,0))="","",INDEX(O1_Community_Attributes!$V$1:$V$500,MATCH($A386,O1_Community_Attributes!$A$1:$A$500,0))),""))</f>
        <v/>
      </c>
      <c r="N386" s="8" t="str">
        <f aca="false">IF($A386="","",IFERROR(IF(INDEX(O1_Community_Attributes!$W$1:$W$500,MATCH($A386,O1_Community_Attributes!$A$1:$A$500,0))="","",INDEX(O1_Community_Attributes!$W$1:$W$500,MATCH($A386,O1_Community_Attributes!$A$1:$A$500,0))),""))</f>
        <v/>
      </c>
      <c r="O386" s="8" t="str">
        <f aca="false">IF($A386="","",IFERROR(IF(INDEX(O1_Community_Attributes!$X$1:$X$500,MATCH($A386,O1_Community_Attributes!$A$1:$A$500,0))="","",INDEX(O1_Community_Attributes!$X$1:$X$500,MATCH($A386,O1_Community_Attributes!$A$1:$A$500,0))),""))</f>
        <v/>
      </c>
      <c r="P386" s="8" t="str">
        <f aca="false">IF($A386="","",IFERROR(IF(INDEX(O1_Community_Attributes!$Y$1:$Y$500,MATCH($A386,O1_Community_Attributes!$A$1:$A$500,0))="","",INDEX(O1_Community_Attributes!$Y$1:$Y$500,MATCH($A386,O1_Community_Attributes!$A$1:$A$500,0))),""))</f>
        <v/>
      </c>
      <c r="Q386" s="8" t="str">
        <f aca="false">IF($A386="","",IFERROR(IF(INDEX(O1_Community_Attributes!$Z$1:$Z$500,MATCH($A386,O1_Community_Attributes!$A$1:$A$500,0))="","",INDEX(O1_Community_Attributes!$Z$1:$Z$500,MATCH($A386,O1_Community_Attributes!$A$1:$A$500,0))),""))</f>
        <v/>
      </c>
      <c r="R386" s="8" t="str">
        <f aca="false">IF($A386="","",IFERROR(IF(INDEX(O1_Community_Attributes!$BK$1:$BK$500,MATCH($A386,O1_Community_Attributes!$A$1:$A$500,0))="","",INDEX(O1_Community_Attributes!$BK$1:$BK$500,MATCH($A386,O1_Community_Attributes!$A$1:$A$500,0))),""))</f>
        <v/>
      </c>
      <c r="S386" s="8" t="str">
        <f aca="false">IF(OR($C386="",$M386=""),"",$M386/$C386)</f>
        <v/>
      </c>
      <c r="T386" s="8" t="str">
        <f aca="false">IF($C386="","",IF(AND($M386="",$P386=""),"",IF($M386="","B",IF(ABS($S386-1)&lt;=0.3,"A",IF(OR($S386&gt;2,$S386&lt;0.5),"C","B")))))</f>
        <v/>
      </c>
    </row>
    <row r="387" customFormat="false" ht="15" hidden="false" customHeight="true" outlineLevel="0" collapsed="false">
      <c r="H387" s="8" t="str">
        <f aca="false">IF(C387="","",IF(C387&lt;1,"yes","no"))</f>
        <v/>
      </c>
      <c r="I387" s="8" t="str">
        <f aca="false">IF(C387="","",IF(C387&lt;2.6,"r75",IF(C387&lt;5.2,"r110",IF(C387&lt;9.9,"r150",IF(C387&lt;19.8,"r210","r300")))))</f>
        <v/>
      </c>
      <c r="M387" s="8" t="str">
        <f aca="false">IF($A387="","",IFERROR(IF(INDEX(O1_Community_Attributes!$V$1:$V$500,MATCH($A387,O1_Community_Attributes!$A$1:$A$500,0))="","",INDEX(O1_Community_Attributes!$V$1:$V$500,MATCH($A387,O1_Community_Attributes!$A$1:$A$500,0))),""))</f>
        <v/>
      </c>
      <c r="N387" s="8" t="str">
        <f aca="false">IF($A387="","",IFERROR(IF(INDEX(O1_Community_Attributes!$W$1:$W$500,MATCH($A387,O1_Community_Attributes!$A$1:$A$500,0))="","",INDEX(O1_Community_Attributes!$W$1:$W$500,MATCH($A387,O1_Community_Attributes!$A$1:$A$500,0))),""))</f>
        <v/>
      </c>
      <c r="O387" s="8" t="str">
        <f aca="false">IF($A387="","",IFERROR(IF(INDEX(O1_Community_Attributes!$X$1:$X$500,MATCH($A387,O1_Community_Attributes!$A$1:$A$500,0))="","",INDEX(O1_Community_Attributes!$X$1:$X$500,MATCH($A387,O1_Community_Attributes!$A$1:$A$500,0))),""))</f>
        <v/>
      </c>
      <c r="P387" s="8" t="str">
        <f aca="false">IF($A387="","",IFERROR(IF(INDEX(O1_Community_Attributes!$Y$1:$Y$500,MATCH($A387,O1_Community_Attributes!$A$1:$A$500,0))="","",INDEX(O1_Community_Attributes!$Y$1:$Y$500,MATCH($A387,O1_Community_Attributes!$A$1:$A$500,0))),""))</f>
        <v/>
      </c>
      <c r="Q387" s="8" t="str">
        <f aca="false">IF($A387="","",IFERROR(IF(INDEX(O1_Community_Attributes!$Z$1:$Z$500,MATCH($A387,O1_Community_Attributes!$A$1:$A$500,0))="","",INDEX(O1_Community_Attributes!$Z$1:$Z$500,MATCH($A387,O1_Community_Attributes!$A$1:$A$500,0))),""))</f>
        <v/>
      </c>
      <c r="R387" s="8" t="str">
        <f aca="false">IF($A387="","",IFERROR(IF(INDEX(O1_Community_Attributes!$BK$1:$BK$500,MATCH($A387,O1_Community_Attributes!$A$1:$A$500,0))="","",INDEX(O1_Community_Attributes!$BK$1:$BK$500,MATCH($A387,O1_Community_Attributes!$A$1:$A$500,0))),""))</f>
        <v/>
      </c>
      <c r="S387" s="8" t="str">
        <f aca="false">IF(OR($C387="",$M387=""),"",$M387/$C387)</f>
        <v/>
      </c>
      <c r="T387" s="8" t="str">
        <f aca="false">IF($C387="","",IF(AND($M387="",$P387=""),"",IF($M387="","B",IF(ABS($S387-1)&lt;=0.3,"A",IF(OR($S387&gt;2,$S387&lt;0.5),"C","B")))))</f>
        <v/>
      </c>
    </row>
    <row r="388" customFormat="false" ht="15" hidden="false" customHeight="true" outlineLevel="0" collapsed="false">
      <c r="H388" s="8" t="str">
        <f aca="false">IF(C388="","",IF(C388&lt;1,"yes","no"))</f>
        <v/>
      </c>
      <c r="I388" s="8" t="str">
        <f aca="false">IF(C388="","",IF(C388&lt;2.6,"r75",IF(C388&lt;5.2,"r110",IF(C388&lt;9.9,"r150",IF(C388&lt;19.8,"r210","r300")))))</f>
        <v/>
      </c>
      <c r="M388" s="8" t="str">
        <f aca="false">IF($A388="","",IFERROR(IF(INDEX(O1_Community_Attributes!$V$1:$V$500,MATCH($A388,O1_Community_Attributes!$A$1:$A$500,0))="","",INDEX(O1_Community_Attributes!$V$1:$V$500,MATCH($A388,O1_Community_Attributes!$A$1:$A$500,0))),""))</f>
        <v/>
      </c>
      <c r="N388" s="8" t="str">
        <f aca="false">IF($A388="","",IFERROR(IF(INDEX(O1_Community_Attributes!$W$1:$W$500,MATCH($A388,O1_Community_Attributes!$A$1:$A$500,0))="","",INDEX(O1_Community_Attributes!$W$1:$W$500,MATCH($A388,O1_Community_Attributes!$A$1:$A$500,0))),""))</f>
        <v/>
      </c>
      <c r="O388" s="8" t="str">
        <f aca="false">IF($A388="","",IFERROR(IF(INDEX(O1_Community_Attributes!$X$1:$X$500,MATCH($A388,O1_Community_Attributes!$A$1:$A$500,0))="","",INDEX(O1_Community_Attributes!$X$1:$X$500,MATCH($A388,O1_Community_Attributes!$A$1:$A$500,0))),""))</f>
        <v/>
      </c>
      <c r="P388" s="8" t="str">
        <f aca="false">IF($A388="","",IFERROR(IF(INDEX(O1_Community_Attributes!$Y$1:$Y$500,MATCH($A388,O1_Community_Attributes!$A$1:$A$500,0))="","",INDEX(O1_Community_Attributes!$Y$1:$Y$500,MATCH($A388,O1_Community_Attributes!$A$1:$A$500,0))),""))</f>
        <v/>
      </c>
      <c r="Q388" s="8" t="str">
        <f aca="false">IF($A388="","",IFERROR(IF(INDEX(O1_Community_Attributes!$Z$1:$Z$500,MATCH($A388,O1_Community_Attributes!$A$1:$A$500,0))="","",INDEX(O1_Community_Attributes!$Z$1:$Z$500,MATCH($A388,O1_Community_Attributes!$A$1:$A$500,0))),""))</f>
        <v/>
      </c>
      <c r="R388" s="8" t="str">
        <f aca="false">IF($A388="","",IFERROR(IF(INDEX(O1_Community_Attributes!$BK$1:$BK$500,MATCH($A388,O1_Community_Attributes!$A$1:$A$500,0))="","",INDEX(O1_Community_Attributes!$BK$1:$BK$500,MATCH($A388,O1_Community_Attributes!$A$1:$A$500,0))),""))</f>
        <v/>
      </c>
      <c r="S388" s="8" t="str">
        <f aca="false">IF(OR($C388="",$M388=""),"",$M388/$C388)</f>
        <v/>
      </c>
      <c r="T388" s="8" t="str">
        <f aca="false">IF($C388="","",IF(AND($M388="",$P388=""),"",IF($M388="","B",IF(ABS($S388-1)&lt;=0.3,"A",IF(OR($S388&gt;2,$S388&lt;0.5),"C","B")))))</f>
        <v/>
      </c>
    </row>
    <row r="389" customFormat="false" ht="15" hidden="false" customHeight="true" outlineLevel="0" collapsed="false">
      <c r="H389" s="8" t="str">
        <f aca="false">IF(C389="","",IF(C389&lt;1,"yes","no"))</f>
        <v/>
      </c>
      <c r="I389" s="8" t="str">
        <f aca="false">IF(C389="","",IF(C389&lt;2.6,"r75",IF(C389&lt;5.2,"r110",IF(C389&lt;9.9,"r150",IF(C389&lt;19.8,"r210","r300")))))</f>
        <v/>
      </c>
      <c r="M389" s="8" t="str">
        <f aca="false">IF($A389="","",IFERROR(IF(INDEX(O1_Community_Attributes!$V$1:$V$500,MATCH($A389,O1_Community_Attributes!$A$1:$A$500,0))="","",INDEX(O1_Community_Attributes!$V$1:$V$500,MATCH($A389,O1_Community_Attributes!$A$1:$A$500,0))),""))</f>
        <v/>
      </c>
      <c r="N389" s="8" t="str">
        <f aca="false">IF($A389="","",IFERROR(IF(INDEX(O1_Community_Attributes!$W$1:$W$500,MATCH($A389,O1_Community_Attributes!$A$1:$A$500,0))="","",INDEX(O1_Community_Attributes!$W$1:$W$500,MATCH($A389,O1_Community_Attributes!$A$1:$A$500,0))),""))</f>
        <v/>
      </c>
      <c r="O389" s="8" t="str">
        <f aca="false">IF($A389="","",IFERROR(IF(INDEX(O1_Community_Attributes!$X$1:$X$500,MATCH($A389,O1_Community_Attributes!$A$1:$A$500,0))="","",INDEX(O1_Community_Attributes!$X$1:$X$500,MATCH($A389,O1_Community_Attributes!$A$1:$A$500,0))),""))</f>
        <v/>
      </c>
      <c r="P389" s="8" t="str">
        <f aca="false">IF($A389="","",IFERROR(IF(INDEX(O1_Community_Attributes!$Y$1:$Y$500,MATCH($A389,O1_Community_Attributes!$A$1:$A$500,0))="","",INDEX(O1_Community_Attributes!$Y$1:$Y$500,MATCH($A389,O1_Community_Attributes!$A$1:$A$500,0))),""))</f>
        <v/>
      </c>
      <c r="Q389" s="8" t="str">
        <f aca="false">IF($A389="","",IFERROR(IF(INDEX(O1_Community_Attributes!$Z$1:$Z$500,MATCH($A389,O1_Community_Attributes!$A$1:$A$500,0))="","",INDEX(O1_Community_Attributes!$Z$1:$Z$500,MATCH($A389,O1_Community_Attributes!$A$1:$A$500,0))),""))</f>
        <v/>
      </c>
      <c r="R389" s="8" t="str">
        <f aca="false">IF($A389="","",IFERROR(IF(INDEX(O1_Community_Attributes!$BK$1:$BK$500,MATCH($A389,O1_Community_Attributes!$A$1:$A$500,0))="","",INDEX(O1_Community_Attributes!$BK$1:$BK$500,MATCH($A389,O1_Community_Attributes!$A$1:$A$500,0))),""))</f>
        <v/>
      </c>
      <c r="S389" s="8" t="str">
        <f aca="false">IF(OR($C389="",$M389=""),"",$M389/$C389)</f>
        <v/>
      </c>
      <c r="T389" s="8" t="str">
        <f aca="false">IF($C389="","",IF(AND($M389="",$P389=""),"",IF($M389="","B",IF(ABS($S389-1)&lt;=0.3,"A",IF(OR($S389&gt;2,$S389&lt;0.5),"C","B")))))</f>
        <v/>
      </c>
    </row>
    <row r="390" customFormat="false" ht="15" hidden="false" customHeight="true" outlineLevel="0" collapsed="false">
      <c r="H390" s="8" t="str">
        <f aca="false">IF(C390="","",IF(C390&lt;1,"yes","no"))</f>
        <v/>
      </c>
      <c r="I390" s="8" t="str">
        <f aca="false">IF(C390="","",IF(C390&lt;2.6,"r75",IF(C390&lt;5.2,"r110",IF(C390&lt;9.9,"r150",IF(C390&lt;19.8,"r210","r300")))))</f>
        <v/>
      </c>
      <c r="M390" s="8" t="str">
        <f aca="false">IF($A390="","",IFERROR(IF(INDEX(O1_Community_Attributes!$V$1:$V$500,MATCH($A390,O1_Community_Attributes!$A$1:$A$500,0))="","",INDEX(O1_Community_Attributes!$V$1:$V$500,MATCH($A390,O1_Community_Attributes!$A$1:$A$500,0))),""))</f>
        <v/>
      </c>
      <c r="N390" s="8" t="str">
        <f aca="false">IF($A390="","",IFERROR(IF(INDEX(O1_Community_Attributes!$W$1:$W$500,MATCH($A390,O1_Community_Attributes!$A$1:$A$500,0))="","",INDEX(O1_Community_Attributes!$W$1:$W$500,MATCH($A390,O1_Community_Attributes!$A$1:$A$500,0))),""))</f>
        <v/>
      </c>
      <c r="O390" s="8" t="str">
        <f aca="false">IF($A390="","",IFERROR(IF(INDEX(O1_Community_Attributes!$X$1:$X$500,MATCH($A390,O1_Community_Attributes!$A$1:$A$500,0))="","",INDEX(O1_Community_Attributes!$X$1:$X$500,MATCH($A390,O1_Community_Attributes!$A$1:$A$500,0))),""))</f>
        <v/>
      </c>
      <c r="P390" s="8" t="str">
        <f aca="false">IF($A390="","",IFERROR(IF(INDEX(O1_Community_Attributes!$Y$1:$Y$500,MATCH($A390,O1_Community_Attributes!$A$1:$A$500,0))="","",INDEX(O1_Community_Attributes!$Y$1:$Y$500,MATCH($A390,O1_Community_Attributes!$A$1:$A$500,0))),""))</f>
        <v/>
      </c>
      <c r="Q390" s="8" t="str">
        <f aca="false">IF($A390="","",IFERROR(IF(INDEX(O1_Community_Attributes!$Z$1:$Z$500,MATCH($A390,O1_Community_Attributes!$A$1:$A$500,0))="","",INDEX(O1_Community_Attributes!$Z$1:$Z$500,MATCH($A390,O1_Community_Attributes!$A$1:$A$500,0))),""))</f>
        <v/>
      </c>
      <c r="R390" s="8" t="str">
        <f aca="false">IF($A390="","",IFERROR(IF(INDEX(O1_Community_Attributes!$BK$1:$BK$500,MATCH($A390,O1_Community_Attributes!$A$1:$A$500,0))="","",INDEX(O1_Community_Attributes!$BK$1:$BK$500,MATCH($A390,O1_Community_Attributes!$A$1:$A$500,0))),""))</f>
        <v/>
      </c>
      <c r="S390" s="8" t="str">
        <f aca="false">IF(OR($C390="",$M390=""),"",$M390/$C390)</f>
        <v/>
      </c>
      <c r="T390" s="8" t="str">
        <f aca="false">IF($C390="","",IF(AND($M390="",$P390=""),"",IF($M390="","B",IF(ABS($S390-1)&lt;=0.3,"A",IF(OR($S390&gt;2,$S390&lt;0.5),"C","B")))))</f>
        <v/>
      </c>
    </row>
    <row r="391" customFormat="false" ht="15" hidden="false" customHeight="true" outlineLevel="0" collapsed="false">
      <c r="H391" s="8" t="str">
        <f aca="false">IF(C391="","",IF(C391&lt;1,"yes","no"))</f>
        <v/>
      </c>
      <c r="I391" s="8" t="str">
        <f aca="false">IF(C391="","",IF(C391&lt;2.6,"r75",IF(C391&lt;5.2,"r110",IF(C391&lt;9.9,"r150",IF(C391&lt;19.8,"r210","r300")))))</f>
        <v/>
      </c>
      <c r="M391" s="8" t="str">
        <f aca="false">IF($A391="","",IFERROR(IF(INDEX(O1_Community_Attributes!$V$1:$V$500,MATCH($A391,O1_Community_Attributes!$A$1:$A$500,0))="","",INDEX(O1_Community_Attributes!$V$1:$V$500,MATCH($A391,O1_Community_Attributes!$A$1:$A$500,0))),""))</f>
        <v/>
      </c>
      <c r="N391" s="8" t="str">
        <f aca="false">IF($A391="","",IFERROR(IF(INDEX(O1_Community_Attributes!$W$1:$W$500,MATCH($A391,O1_Community_Attributes!$A$1:$A$500,0))="","",INDEX(O1_Community_Attributes!$W$1:$W$500,MATCH($A391,O1_Community_Attributes!$A$1:$A$500,0))),""))</f>
        <v/>
      </c>
      <c r="O391" s="8" t="str">
        <f aca="false">IF($A391="","",IFERROR(IF(INDEX(O1_Community_Attributes!$X$1:$X$500,MATCH($A391,O1_Community_Attributes!$A$1:$A$500,0))="","",INDEX(O1_Community_Attributes!$X$1:$X$500,MATCH($A391,O1_Community_Attributes!$A$1:$A$500,0))),""))</f>
        <v/>
      </c>
      <c r="P391" s="8" t="str">
        <f aca="false">IF($A391="","",IFERROR(IF(INDEX(O1_Community_Attributes!$Y$1:$Y$500,MATCH($A391,O1_Community_Attributes!$A$1:$A$500,0))="","",INDEX(O1_Community_Attributes!$Y$1:$Y$500,MATCH($A391,O1_Community_Attributes!$A$1:$A$500,0))),""))</f>
        <v/>
      </c>
      <c r="Q391" s="8" t="str">
        <f aca="false">IF($A391="","",IFERROR(IF(INDEX(O1_Community_Attributes!$Z$1:$Z$500,MATCH($A391,O1_Community_Attributes!$A$1:$A$500,0))="","",INDEX(O1_Community_Attributes!$Z$1:$Z$500,MATCH($A391,O1_Community_Attributes!$A$1:$A$500,0))),""))</f>
        <v/>
      </c>
      <c r="R391" s="8" t="str">
        <f aca="false">IF($A391="","",IFERROR(IF(INDEX(O1_Community_Attributes!$BK$1:$BK$500,MATCH($A391,O1_Community_Attributes!$A$1:$A$500,0))="","",INDEX(O1_Community_Attributes!$BK$1:$BK$500,MATCH($A391,O1_Community_Attributes!$A$1:$A$500,0))),""))</f>
        <v/>
      </c>
      <c r="S391" s="8" t="str">
        <f aca="false">IF(OR($C391="",$M391=""),"",$M391/$C391)</f>
        <v/>
      </c>
      <c r="T391" s="8" t="str">
        <f aca="false">IF($C391="","",IF(AND($M391="",$P391=""),"",IF($M391="","B",IF(ABS($S391-1)&lt;=0.3,"A",IF(OR($S391&gt;2,$S391&lt;0.5),"C","B")))))</f>
        <v/>
      </c>
    </row>
    <row r="392" customFormat="false" ht="15" hidden="false" customHeight="true" outlineLevel="0" collapsed="false">
      <c r="H392" s="8" t="str">
        <f aca="false">IF(C392="","",IF(C392&lt;1,"yes","no"))</f>
        <v/>
      </c>
      <c r="I392" s="8" t="str">
        <f aca="false">IF(C392="","",IF(C392&lt;2.6,"r75",IF(C392&lt;5.2,"r110",IF(C392&lt;9.9,"r150",IF(C392&lt;19.8,"r210","r300")))))</f>
        <v/>
      </c>
      <c r="M392" s="8" t="str">
        <f aca="false">IF($A392="","",IFERROR(IF(INDEX(O1_Community_Attributes!$V$1:$V$500,MATCH($A392,O1_Community_Attributes!$A$1:$A$500,0))="","",INDEX(O1_Community_Attributes!$V$1:$V$500,MATCH($A392,O1_Community_Attributes!$A$1:$A$500,0))),""))</f>
        <v/>
      </c>
      <c r="N392" s="8" t="str">
        <f aca="false">IF($A392="","",IFERROR(IF(INDEX(O1_Community_Attributes!$W$1:$W$500,MATCH($A392,O1_Community_Attributes!$A$1:$A$500,0))="","",INDEX(O1_Community_Attributes!$W$1:$W$500,MATCH($A392,O1_Community_Attributes!$A$1:$A$500,0))),""))</f>
        <v/>
      </c>
      <c r="O392" s="8" t="str">
        <f aca="false">IF($A392="","",IFERROR(IF(INDEX(O1_Community_Attributes!$X$1:$X$500,MATCH($A392,O1_Community_Attributes!$A$1:$A$500,0))="","",INDEX(O1_Community_Attributes!$X$1:$X$500,MATCH($A392,O1_Community_Attributes!$A$1:$A$500,0))),""))</f>
        <v/>
      </c>
      <c r="P392" s="8" t="str">
        <f aca="false">IF($A392="","",IFERROR(IF(INDEX(O1_Community_Attributes!$Y$1:$Y$500,MATCH($A392,O1_Community_Attributes!$A$1:$A$500,0))="","",INDEX(O1_Community_Attributes!$Y$1:$Y$500,MATCH($A392,O1_Community_Attributes!$A$1:$A$500,0))),""))</f>
        <v/>
      </c>
      <c r="Q392" s="8" t="str">
        <f aca="false">IF($A392="","",IFERROR(IF(INDEX(O1_Community_Attributes!$Z$1:$Z$500,MATCH($A392,O1_Community_Attributes!$A$1:$A$500,0))="","",INDEX(O1_Community_Attributes!$Z$1:$Z$500,MATCH($A392,O1_Community_Attributes!$A$1:$A$500,0))),""))</f>
        <v/>
      </c>
      <c r="R392" s="8" t="str">
        <f aca="false">IF($A392="","",IFERROR(IF(INDEX(O1_Community_Attributes!$BK$1:$BK$500,MATCH($A392,O1_Community_Attributes!$A$1:$A$500,0))="","",INDEX(O1_Community_Attributes!$BK$1:$BK$500,MATCH($A392,O1_Community_Attributes!$A$1:$A$500,0))),""))</f>
        <v/>
      </c>
      <c r="S392" s="8" t="str">
        <f aca="false">IF(OR($C392="",$M392=""),"",$M392/$C392)</f>
        <v/>
      </c>
      <c r="T392" s="8" t="str">
        <f aca="false">IF($C392="","",IF(AND($M392="",$P392=""),"",IF($M392="","B",IF(ABS($S392-1)&lt;=0.3,"A",IF(OR($S392&gt;2,$S392&lt;0.5),"C","B")))))</f>
        <v/>
      </c>
    </row>
    <row r="393" customFormat="false" ht="15" hidden="false" customHeight="true" outlineLevel="0" collapsed="false">
      <c r="H393" s="8" t="str">
        <f aca="false">IF(C393="","",IF(C393&lt;1,"yes","no"))</f>
        <v/>
      </c>
      <c r="I393" s="8" t="str">
        <f aca="false">IF(C393="","",IF(C393&lt;2.6,"r75",IF(C393&lt;5.2,"r110",IF(C393&lt;9.9,"r150",IF(C393&lt;19.8,"r210","r300")))))</f>
        <v/>
      </c>
      <c r="M393" s="8" t="str">
        <f aca="false">IF($A393="","",IFERROR(IF(INDEX(O1_Community_Attributes!$V$1:$V$500,MATCH($A393,O1_Community_Attributes!$A$1:$A$500,0))="","",INDEX(O1_Community_Attributes!$V$1:$V$500,MATCH($A393,O1_Community_Attributes!$A$1:$A$500,0))),""))</f>
        <v/>
      </c>
      <c r="N393" s="8" t="str">
        <f aca="false">IF($A393="","",IFERROR(IF(INDEX(O1_Community_Attributes!$W$1:$W$500,MATCH($A393,O1_Community_Attributes!$A$1:$A$500,0))="","",INDEX(O1_Community_Attributes!$W$1:$W$500,MATCH($A393,O1_Community_Attributes!$A$1:$A$500,0))),""))</f>
        <v/>
      </c>
      <c r="O393" s="8" t="str">
        <f aca="false">IF($A393="","",IFERROR(IF(INDEX(O1_Community_Attributes!$X$1:$X$500,MATCH($A393,O1_Community_Attributes!$A$1:$A$500,0))="","",INDEX(O1_Community_Attributes!$X$1:$X$500,MATCH($A393,O1_Community_Attributes!$A$1:$A$500,0))),""))</f>
        <v/>
      </c>
      <c r="P393" s="8" t="str">
        <f aca="false">IF($A393="","",IFERROR(IF(INDEX(O1_Community_Attributes!$Y$1:$Y$500,MATCH($A393,O1_Community_Attributes!$A$1:$A$500,0))="","",INDEX(O1_Community_Attributes!$Y$1:$Y$500,MATCH($A393,O1_Community_Attributes!$A$1:$A$500,0))),""))</f>
        <v/>
      </c>
      <c r="Q393" s="8" t="str">
        <f aca="false">IF($A393="","",IFERROR(IF(INDEX(O1_Community_Attributes!$Z$1:$Z$500,MATCH($A393,O1_Community_Attributes!$A$1:$A$500,0))="","",INDEX(O1_Community_Attributes!$Z$1:$Z$500,MATCH($A393,O1_Community_Attributes!$A$1:$A$500,0))),""))</f>
        <v/>
      </c>
      <c r="R393" s="8" t="str">
        <f aca="false">IF($A393="","",IFERROR(IF(INDEX(O1_Community_Attributes!$BK$1:$BK$500,MATCH($A393,O1_Community_Attributes!$A$1:$A$500,0))="","",INDEX(O1_Community_Attributes!$BK$1:$BK$500,MATCH($A393,O1_Community_Attributes!$A$1:$A$500,0))),""))</f>
        <v/>
      </c>
      <c r="S393" s="8" t="str">
        <f aca="false">IF(OR($C393="",$M393=""),"",$M393/$C393)</f>
        <v/>
      </c>
      <c r="T393" s="8" t="str">
        <f aca="false">IF($C393="","",IF(AND($M393="",$P393=""),"",IF($M393="","B",IF(ABS($S393-1)&lt;=0.3,"A",IF(OR($S393&gt;2,$S393&lt;0.5),"C","B")))))</f>
        <v/>
      </c>
    </row>
    <row r="394" customFormat="false" ht="15" hidden="false" customHeight="true" outlineLevel="0" collapsed="false">
      <c r="H394" s="8" t="str">
        <f aca="false">IF(C394="","",IF(C394&lt;1,"yes","no"))</f>
        <v/>
      </c>
      <c r="I394" s="8" t="str">
        <f aca="false">IF(C394="","",IF(C394&lt;2.6,"r75",IF(C394&lt;5.2,"r110",IF(C394&lt;9.9,"r150",IF(C394&lt;19.8,"r210","r300")))))</f>
        <v/>
      </c>
      <c r="M394" s="8" t="str">
        <f aca="false">IF($A394="","",IFERROR(IF(INDEX(O1_Community_Attributes!$V$1:$V$500,MATCH($A394,O1_Community_Attributes!$A$1:$A$500,0))="","",INDEX(O1_Community_Attributes!$V$1:$V$500,MATCH($A394,O1_Community_Attributes!$A$1:$A$500,0))),""))</f>
        <v/>
      </c>
      <c r="N394" s="8" t="str">
        <f aca="false">IF($A394="","",IFERROR(IF(INDEX(O1_Community_Attributes!$W$1:$W$500,MATCH($A394,O1_Community_Attributes!$A$1:$A$500,0))="","",INDEX(O1_Community_Attributes!$W$1:$W$500,MATCH($A394,O1_Community_Attributes!$A$1:$A$500,0))),""))</f>
        <v/>
      </c>
      <c r="O394" s="8" t="str">
        <f aca="false">IF($A394="","",IFERROR(IF(INDEX(O1_Community_Attributes!$X$1:$X$500,MATCH($A394,O1_Community_Attributes!$A$1:$A$500,0))="","",INDEX(O1_Community_Attributes!$X$1:$X$500,MATCH($A394,O1_Community_Attributes!$A$1:$A$500,0))),""))</f>
        <v/>
      </c>
      <c r="P394" s="8" t="str">
        <f aca="false">IF($A394="","",IFERROR(IF(INDEX(O1_Community_Attributes!$Y$1:$Y$500,MATCH($A394,O1_Community_Attributes!$A$1:$A$500,0))="","",INDEX(O1_Community_Attributes!$Y$1:$Y$500,MATCH($A394,O1_Community_Attributes!$A$1:$A$500,0))),""))</f>
        <v/>
      </c>
      <c r="Q394" s="8" t="str">
        <f aca="false">IF($A394="","",IFERROR(IF(INDEX(O1_Community_Attributes!$Z$1:$Z$500,MATCH($A394,O1_Community_Attributes!$A$1:$A$500,0))="","",INDEX(O1_Community_Attributes!$Z$1:$Z$500,MATCH($A394,O1_Community_Attributes!$A$1:$A$500,0))),""))</f>
        <v/>
      </c>
      <c r="R394" s="8" t="str">
        <f aca="false">IF($A394="","",IFERROR(IF(INDEX(O1_Community_Attributes!$BK$1:$BK$500,MATCH($A394,O1_Community_Attributes!$A$1:$A$500,0))="","",INDEX(O1_Community_Attributes!$BK$1:$BK$500,MATCH($A394,O1_Community_Attributes!$A$1:$A$500,0))),""))</f>
        <v/>
      </c>
      <c r="S394" s="8" t="str">
        <f aca="false">IF(OR($C394="",$M394=""),"",$M394/$C394)</f>
        <v/>
      </c>
      <c r="T394" s="8" t="str">
        <f aca="false">IF($C394="","",IF(AND($M394="",$P394=""),"",IF($M394="","B",IF(ABS($S394-1)&lt;=0.3,"A",IF(OR($S394&gt;2,$S394&lt;0.5),"C","B")))))</f>
        <v/>
      </c>
    </row>
    <row r="395" customFormat="false" ht="15" hidden="false" customHeight="true" outlineLevel="0" collapsed="false">
      <c r="H395" s="8" t="str">
        <f aca="false">IF(C395="","",IF(C395&lt;1,"yes","no"))</f>
        <v/>
      </c>
      <c r="I395" s="8" t="str">
        <f aca="false">IF(C395="","",IF(C395&lt;2.6,"r75",IF(C395&lt;5.2,"r110",IF(C395&lt;9.9,"r150",IF(C395&lt;19.8,"r210","r300")))))</f>
        <v/>
      </c>
      <c r="M395" s="8" t="str">
        <f aca="false">IF($A395="","",IFERROR(IF(INDEX(O1_Community_Attributes!$V$1:$V$500,MATCH($A395,O1_Community_Attributes!$A$1:$A$500,0))="","",INDEX(O1_Community_Attributes!$V$1:$V$500,MATCH($A395,O1_Community_Attributes!$A$1:$A$500,0))),""))</f>
        <v/>
      </c>
      <c r="N395" s="8" t="str">
        <f aca="false">IF($A395="","",IFERROR(IF(INDEX(O1_Community_Attributes!$W$1:$W$500,MATCH($A395,O1_Community_Attributes!$A$1:$A$500,0))="","",INDEX(O1_Community_Attributes!$W$1:$W$500,MATCH($A395,O1_Community_Attributes!$A$1:$A$500,0))),""))</f>
        <v/>
      </c>
      <c r="O395" s="8" t="str">
        <f aca="false">IF($A395="","",IFERROR(IF(INDEX(O1_Community_Attributes!$X$1:$X$500,MATCH($A395,O1_Community_Attributes!$A$1:$A$500,0))="","",INDEX(O1_Community_Attributes!$X$1:$X$500,MATCH($A395,O1_Community_Attributes!$A$1:$A$500,0))),""))</f>
        <v/>
      </c>
      <c r="P395" s="8" t="str">
        <f aca="false">IF($A395="","",IFERROR(IF(INDEX(O1_Community_Attributes!$Y$1:$Y$500,MATCH($A395,O1_Community_Attributes!$A$1:$A$500,0))="","",INDEX(O1_Community_Attributes!$Y$1:$Y$500,MATCH($A395,O1_Community_Attributes!$A$1:$A$500,0))),""))</f>
        <v/>
      </c>
      <c r="Q395" s="8" t="str">
        <f aca="false">IF($A395="","",IFERROR(IF(INDEX(O1_Community_Attributes!$Z$1:$Z$500,MATCH($A395,O1_Community_Attributes!$A$1:$A$500,0))="","",INDEX(O1_Community_Attributes!$Z$1:$Z$500,MATCH($A395,O1_Community_Attributes!$A$1:$A$500,0))),""))</f>
        <v/>
      </c>
      <c r="R395" s="8" t="str">
        <f aca="false">IF($A395="","",IFERROR(IF(INDEX(O1_Community_Attributes!$BK$1:$BK$500,MATCH($A395,O1_Community_Attributes!$A$1:$A$500,0))="","",INDEX(O1_Community_Attributes!$BK$1:$BK$500,MATCH($A395,O1_Community_Attributes!$A$1:$A$500,0))),""))</f>
        <v/>
      </c>
      <c r="S395" s="8" t="str">
        <f aca="false">IF(OR($C395="",$M395=""),"",$M395/$C395)</f>
        <v/>
      </c>
      <c r="T395" s="8" t="str">
        <f aca="false">IF($C395="","",IF(AND($M395="",$P395=""),"",IF($M395="","B",IF(ABS($S395-1)&lt;=0.3,"A",IF(OR($S395&gt;2,$S395&lt;0.5),"C","B")))))</f>
        <v/>
      </c>
    </row>
    <row r="396" customFormat="false" ht="15" hidden="false" customHeight="true" outlineLevel="0" collapsed="false">
      <c r="H396" s="8" t="str">
        <f aca="false">IF(C396="","",IF(C396&lt;1,"yes","no"))</f>
        <v/>
      </c>
      <c r="I396" s="8" t="str">
        <f aca="false">IF(C396="","",IF(C396&lt;2.6,"r75",IF(C396&lt;5.2,"r110",IF(C396&lt;9.9,"r150",IF(C396&lt;19.8,"r210","r300")))))</f>
        <v/>
      </c>
      <c r="M396" s="8" t="str">
        <f aca="false">IF($A396="","",IFERROR(IF(INDEX(O1_Community_Attributes!$V$1:$V$500,MATCH($A396,O1_Community_Attributes!$A$1:$A$500,0))="","",INDEX(O1_Community_Attributes!$V$1:$V$500,MATCH($A396,O1_Community_Attributes!$A$1:$A$500,0))),""))</f>
        <v/>
      </c>
      <c r="N396" s="8" t="str">
        <f aca="false">IF($A396="","",IFERROR(IF(INDEX(O1_Community_Attributes!$W$1:$W$500,MATCH($A396,O1_Community_Attributes!$A$1:$A$500,0))="","",INDEX(O1_Community_Attributes!$W$1:$W$500,MATCH($A396,O1_Community_Attributes!$A$1:$A$500,0))),""))</f>
        <v/>
      </c>
      <c r="O396" s="8" t="str">
        <f aca="false">IF($A396="","",IFERROR(IF(INDEX(O1_Community_Attributes!$X$1:$X$500,MATCH($A396,O1_Community_Attributes!$A$1:$A$500,0))="","",INDEX(O1_Community_Attributes!$X$1:$X$500,MATCH($A396,O1_Community_Attributes!$A$1:$A$500,0))),""))</f>
        <v/>
      </c>
      <c r="P396" s="8" t="str">
        <f aca="false">IF($A396="","",IFERROR(IF(INDEX(O1_Community_Attributes!$Y$1:$Y$500,MATCH($A396,O1_Community_Attributes!$A$1:$A$500,0))="","",INDEX(O1_Community_Attributes!$Y$1:$Y$500,MATCH($A396,O1_Community_Attributes!$A$1:$A$500,0))),""))</f>
        <v/>
      </c>
      <c r="Q396" s="8" t="str">
        <f aca="false">IF($A396="","",IFERROR(IF(INDEX(O1_Community_Attributes!$Z$1:$Z$500,MATCH($A396,O1_Community_Attributes!$A$1:$A$500,0))="","",INDEX(O1_Community_Attributes!$Z$1:$Z$500,MATCH($A396,O1_Community_Attributes!$A$1:$A$500,0))),""))</f>
        <v/>
      </c>
      <c r="R396" s="8" t="str">
        <f aca="false">IF($A396="","",IFERROR(IF(INDEX(O1_Community_Attributes!$BK$1:$BK$500,MATCH($A396,O1_Community_Attributes!$A$1:$A$500,0))="","",INDEX(O1_Community_Attributes!$BK$1:$BK$500,MATCH($A396,O1_Community_Attributes!$A$1:$A$500,0))),""))</f>
        <v/>
      </c>
      <c r="S396" s="8" t="str">
        <f aca="false">IF(OR($C396="",$M396=""),"",$M396/$C396)</f>
        <v/>
      </c>
      <c r="T396" s="8" t="str">
        <f aca="false">IF($C396="","",IF(AND($M396="",$P396=""),"",IF($M396="","B",IF(ABS($S396-1)&lt;=0.3,"A",IF(OR($S396&gt;2,$S396&lt;0.5),"C","B")))))</f>
        <v/>
      </c>
    </row>
    <row r="397" customFormat="false" ht="15" hidden="false" customHeight="true" outlineLevel="0" collapsed="false">
      <c r="H397" s="8" t="str">
        <f aca="false">IF(C397="","",IF(C397&lt;1,"yes","no"))</f>
        <v/>
      </c>
      <c r="I397" s="8" t="str">
        <f aca="false">IF(C397="","",IF(C397&lt;2.6,"r75",IF(C397&lt;5.2,"r110",IF(C397&lt;9.9,"r150",IF(C397&lt;19.8,"r210","r300")))))</f>
        <v/>
      </c>
      <c r="M397" s="8" t="str">
        <f aca="false">IF($A397="","",IFERROR(IF(INDEX(O1_Community_Attributes!$V$1:$V$500,MATCH($A397,O1_Community_Attributes!$A$1:$A$500,0))="","",INDEX(O1_Community_Attributes!$V$1:$V$500,MATCH($A397,O1_Community_Attributes!$A$1:$A$500,0))),""))</f>
        <v/>
      </c>
      <c r="N397" s="8" t="str">
        <f aca="false">IF($A397="","",IFERROR(IF(INDEX(O1_Community_Attributes!$W$1:$W$500,MATCH($A397,O1_Community_Attributes!$A$1:$A$500,0))="","",INDEX(O1_Community_Attributes!$W$1:$W$500,MATCH($A397,O1_Community_Attributes!$A$1:$A$500,0))),""))</f>
        <v/>
      </c>
      <c r="O397" s="8" t="str">
        <f aca="false">IF($A397="","",IFERROR(IF(INDEX(O1_Community_Attributes!$X$1:$X$500,MATCH($A397,O1_Community_Attributes!$A$1:$A$500,0))="","",INDEX(O1_Community_Attributes!$X$1:$X$500,MATCH($A397,O1_Community_Attributes!$A$1:$A$500,0))),""))</f>
        <v/>
      </c>
      <c r="P397" s="8" t="str">
        <f aca="false">IF($A397="","",IFERROR(IF(INDEX(O1_Community_Attributes!$Y$1:$Y$500,MATCH($A397,O1_Community_Attributes!$A$1:$A$500,0))="","",INDEX(O1_Community_Attributes!$Y$1:$Y$500,MATCH($A397,O1_Community_Attributes!$A$1:$A$500,0))),""))</f>
        <v/>
      </c>
      <c r="Q397" s="8" t="str">
        <f aca="false">IF($A397="","",IFERROR(IF(INDEX(O1_Community_Attributes!$Z$1:$Z$500,MATCH($A397,O1_Community_Attributes!$A$1:$A$500,0))="","",INDEX(O1_Community_Attributes!$Z$1:$Z$500,MATCH($A397,O1_Community_Attributes!$A$1:$A$500,0))),""))</f>
        <v/>
      </c>
      <c r="R397" s="8" t="str">
        <f aca="false">IF($A397="","",IFERROR(IF(INDEX(O1_Community_Attributes!$BK$1:$BK$500,MATCH($A397,O1_Community_Attributes!$A$1:$A$500,0))="","",INDEX(O1_Community_Attributes!$BK$1:$BK$500,MATCH($A397,O1_Community_Attributes!$A$1:$A$500,0))),""))</f>
        <v/>
      </c>
      <c r="S397" s="8" t="str">
        <f aca="false">IF(OR($C397="",$M397=""),"",$M397/$C397)</f>
        <v/>
      </c>
      <c r="T397" s="8" t="str">
        <f aca="false">IF($C397="","",IF(AND($M397="",$P397=""),"",IF($M397="","B",IF(ABS($S397-1)&lt;=0.3,"A",IF(OR($S397&gt;2,$S397&lt;0.5),"C","B")))))</f>
        <v/>
      </c>
    </row>
    <row r="398" customFormat="false" ht="15" hidden="false" customHeight="true" outlineLevel="0" collapsed="false">
      <c r="H398" s="8" t="str">
        <f aca="false">IF(C398="","",IF(C398&lt;1,"yes","no"))</f>
        <v/>
      </c>
      <c r="I398" s="8" t="str">
        <f aca="false">IF(C398="","",IF(C398&lt;2.6,"r75",IF(C398&lt;5.2,"r110",IF(C398&lt;9.9,"r150",IF(C398&lt;19.8,"r210","r300")))))</f>
        <v/>
      </c>
      <c r="M398" s="8" t="str">
        <f aca="false">IF($A398="","",IFERROR(IF(INDEX(O1_Community_Attributes!$V$1:$V$500,MATCH($A398,O1_Community_Attributes!$A$1:$A$500,0))="","",INDEX(O1_Community_Attributes!$V$1:$V$500,MATCH($A398,O1_Community_Attributes!$A$1:$A$500,0))),""))</f>
        <v/>
      </c>
      <c r="N398" s="8" t="str">
        <f aca="false">IF($A398="","",IFERROR(IF(INDEX(O1_Community_Attributes!$W$1:$W$500,MATCH($A398,O1_Community_Attributes!$A$1:$A$500,0))="","",INDEX(O1_Community_Attributes!$W$1:$W$500,MATCH($A398,O1_Community_Attributes!$A$1:$A$500,0))),""))</f>
        <v/>
      </c>
      <c r="O398" s="8" t="str">
        <f aca="false">IF($A398="","",IFERROR(IF(INDEX(O1_Community_Attributes!$X$1:$X$500,MATCH($A398,O1_Community_Attributes!$A$1:$A$500,0))="","",INDEX(O1_Community_Attributes!$X$1:$X$500,MATCH($A398,O1_Community_Attributes!$A$1:$A$500,0))),""))</f>
        <v/>
      </c>
      <c r="P398" s="8" t="str">
        <f aca="false">IF($A398="","",IFERROR(IF(INDEX(O1_Community_Attributes!$Y$1:$Y$500,MATCH($A398,O1_Community_Attributes!$A$1:$A$500,0))="","",INDEX(O1_Community_Attributes!$Y$1:$Y$500,MATCH($A398,O1_Community_Attributes!$A$1:$A$500,0))),""))</f>
        <v/>
      </c>
      <c r="Q398" s="8" t="str">
        <f aca="false">IF($A398="","",IFERROR(IF(INDEX(O1_Community_Attributes!$Z$1:$Z$500,MATCH($A398,O1_Community_Attributes!$A$1:$A$500,0))="","",INDEX(O1_Community_Attributes!$Z$1:$Z$500,MATCH($A398,O1_Community_Attributes!$A$1:$A$500,0))),""))</f>
        <v/>
      </c>
      <c r="R398" s="8" t="str">
        <f aca="false">IF($A398="","",IFERROR(IF(INDEX(O1_Community_Attributes!$BK$1:$BK$500,MATCH($A398,O1_Community_Attributes!$A$1:$A$500,0))="","",INDEX(O1_Community_Attributes!$BK$1:$BK$500,MATCH($A398,O1_Community_Attributes!$A$1:$A$500,0))),""))</f>
        <v/>
      </c>
      <c r="S398" s="8" t="str">
        <f aca="false">IF(OR($C398="",$M398=""),"",$M398/$C398)</f>
        <v/>
      </c>
      <c r="T398" s="8" t="str">
        <f aca="false">IF($C398="","",IF(AND($M398="",$P398=""),"",IF($M398="","B",IF(ABS($S398-1)&lt;=0.3,"A",IF(OR($S398&gt;2,$S398&lt;0.5),"C","B")))))</f>
        <v/>
      </c>
    </row>
    <row r="399" customFormat="false" ht="15" hidden="false" customHeight="true" outlineLevel="0" collapsed="false">
      <c r="H399" s="8" t="str">
        <f aca="false">IF(C399="","",IF(C399&lt;1,"yes","no"))</f>
        <v/>
      </c>
      <c r="I399" s="8" t="str">
        <f aca="false">IF(C399="","",IF(C399&lt;2.6,"r75",IF(C399&lt;5.2,"r110",IF(C399&lt;9.9,"r150",IF(C399&lt;19.8,"r210","r300")))))</f>
        <v/>
      </c>
      <c r="M399" s="8" t="str">
        <f aca="false">IF($A399="","",IFERROR(IF(INDEX(O1_Community_Attributes!$V$1:$V$500,MATCH($A399,O1_Community_Attributes!$A$1:$A$500,0))="","",INDEX(O1_Community_Attributes!$V$1:$V$500,MATCH($A399,O1_Community_Attributes!$A$1:$A$500,0))),""))</f>
        <v/>
      </c>
      <c r="N399" s="8" t="str">
        <f aca="false">IF($A399="","",IFERROR(IF(INDEX(O1_Community_Attributes!$W$1:$W$500,MATCH($A399,O1_Community_Attributes!$A$1:$A$500,0))="","",INDEX(O1_Community_Attributes!$W$1:$W$500,MATCH($A399,O1_Community_Attributes!$A$1:$A$500,0))),""))</f>
        <v/>
      </c>
      <c r="O399" s="8" t="str">
        <f aca="false">IF($A399="","",IFERROR(IF(INDEX(O1_Community_Attributes!$X$1:$X$500,MATCH($A399,O1_Community_Attributes!$A$1:$A$500,0))="","",INDEX(O1_Community_Attributes!$X$1:$X$500,MATCH($A399,O1_Community_Attributes!$A$1:$A$500,0))),""))</f>
        <v/>
      </c>
      <c r="P399" s="8" t="str">
        <f aca="false">IF($A399="","",IFERROR(IF(INDEX(O1_Community_Attributes!$Y$1:$Y$500,MATCH($A399,O1_Community_Attributes!$A$1:$A$500,0))="","",INDEX(O1_Community_Attributes!$Y$1:$Y$500,MATCH($A399,O1_Community_Attributes!$A$1:$A$500,0))),""))</f>
        <v/>
      </c>
      <c r="Q399" s="8" t="str">
        <f aca="false">IF($A399="","",IFERROR(IF(INDEX(O1_Community_Attributes!$Z$1:$Z$500,MATCH($A399,O1_Community_Attributes!$A$1:$A$500,0))="","",INDEX(O1_Community_Attributes!$Z$1:$Z$500,MATCH($A399,O1_Community_Attributes!$A$1:$A$500,0))),""))</f>
        <v/>
      </c>
      <c r="R399" s="8" t="str">
        <f aca="false">IF($A399="","",IFERROR(IF(INDEX(O1_Community_Attributes!$BK$1:$BK$500,MATCH($A399,O1_Community_Attributes!$A$1:$A$500,0))="","",INDEX(O1_Community_Attributes!$BK$1:$BK$500,MATCH($A399,O1_Community_Attributes!$A$1:$A$500,0))),""))</f>
        <v/>
      </c>
      <c r="S399" s="8" t="str">
        <f aca="false">IF(OR($C399="",$M399=""),"",$M399/$C399)</f>
        <v/>
      </c>
      <c r="T399" s="8" t="str">
        <f aca="false">IF($C399="","",IF(AND($M399="",$P399=""),"",IF($M399="","B",IF(ABS($S399-1)&lt;=0.3,"A",IF(OR($S399&gt;2,$S399&lt;0.5),"C","B")))))</f>
        <v/>
      </c>
    </row>
    <row r="400" customFormat="false" ht="15" hidden="false" customHeight="true" outlineLevel="0" collapsed="false">
      <c r="H400" s="8" t="str">
        <f aca="false">IF(C400="","",IF(C400&lt;1,"yes","no"))</f>
        <v/>
      </c>
      <c r="I400" s="8" t="str">
        <f aca="false">IF(C400="","",IF(C400&lt;2.6,"r75",IF(C400&lt;5.2,"r110",IF(C400&lt;9.9,"r150",IF(C400&lt;19.8,"r210","r300")))))</f>
        <v/>
      </c>
      <c r="M400" s="8" t="str">
        <f aca="false">IF($A400="","",IFERROR(IF(INDEX(O1_Community_Attributes!$V$1:$V$500,MATCH($A400,O1_Community_Attributes!$A$1:$A$500,0))="","",INDEX(O1_Community_Attributes!$V$1:$V$500,MATCH($A400,O1_Community_Attributes!$A$1:$A$500,0))),""))</f>
        <v/>
      </c>
      <c r="N400" s="8" t="str">
        <f aca="false">IF($A400="","",IFERROR(IF(INDEX(O1_Community_Attributes!$W$1:$W$500,MATCH($A400,O1_Community_Attributes!$A$1:$A$500,0))="","",INDEX(O1_Community_Attributes!$W$1:$W$500,MATCH($A400,O1_Community_Attributes!$A$1:$A$500,0))),""))</f>
        <v/>
      </c>
      <c r="O400" s="8" t="str">
        <f aca="false">IF($A400="","",IFERROR(IF(INDEX(O1_Community_Attributes!$X$1:$X$500,MATCH($A400,O1_Community_Attributes!$A$1:$A$500,0))="","",INDEX(O1_Community_Attributes!$X$1:$X$500,MATCH($A400,O1_Community_Attributes!$A$1:$A$500,0))),""))</f>
        <v/>
      </c>
      <c r="P400" s="8" t="str">
        <f aca="false">IF($A400="","",IFERROR(IF(INDEX(O1_Community_Attributes!$Y$1:$Y$500,MATCH($A400,O1_Community_Attributes!$A$1:$A$500,0))="","",INDEX(O1_Community_Attributes!$Y$1:$Y$500,MATCH($A400,O1_Community_Attributes!$A$1:$A$500,0))),""))</f>
        <v/>
      </c>
      <c r="Q400" s="8" t="str">
        <f aca="false">IF($A400="","",IFERROR(IF(INDEX(O1_Community_Attributes!$Z$1:$Z$500,MATCH($A400,O1_Community_Attributes!$A$1:$A$500,0))="","",INDEX(O1_Community_Attributes!$Z$1:$Z$500,MATCH($A400,O1_Community_Attributes!$A$1:$A$500,0))),""))</f>
        <v/>
      </c>
      <c r="R400" s="8" t="str">
        <f aca="false">IF($A400="","",IFERROR(IF(INDEX(O1_Community_Attributes!$BK$1:$BK$500,MATCH($A400,O1_Community_Attributes!$A$1:$A$500,0))="","",INDEX(O1_Community_Attributes!$BK$1:$BK$500,MATCH($A400,O1_Community_Attributes!$A$1:$A$500,0))),""))</f>
        <v/>
      </c>
      <c r="S400" s="8" t="str">
        <f aca="false">IF(OR($C400="",$M400=""),"",$M400/$C400)</f>
        <v/>
      </c>
      <c r="T400" s="8" t="str">
        <f aca="false">IF($C400="","",IF(AND($M400="",$P400=""),"",IF($M400="","B",IF(ABS($S400-1)&lt;=0.3,"A",IF(OR($S400&gt;2,$S400&lt;0.5),"C","B")))))</f>
        <v/>
      </c>
    </row>
    <row r="401" customFormat="false" ht="15" hidden="false" customHeight="true" outlineLevel="0" collapsed="false">
      <c r="H401" s="8" t="str">
        <f aca="false">IF(C401="","",IF(C401&lt;1,"yes","no"))</f>
        <v/>
      </c>
      <c r="I401" s="8" t="str">
        <f aca="false">IF(C401="","",IF(C401&lt;2.6,"r75",IF(C401&lt;5.2,"r110",IF(C401&lt;9.9,"r150",IF(C401&lt;19.8,"r210","r300")))))</f>
        <v/>
      </c>
      <c r="M401" s="8" t="str">
        <f aca="false">IF($A401="","",IFERROR(IF(INDEX(O1_Community_Attributes!$V$1:$V$500,MATCH($A401,O1_Community_Attributes!$A$1:$A$500,0))="","",INDEX(O1_Community_Attributes!$V$1:$V$500,MATCH($A401,O1_Community_Attributes!$A$1:$A$500,0))),""))</f>
        <v/>
      </c>
      <c r="N401" s="8" t="str">
        <f aca="false">IF($A401="","",IFERROR(IF(INDEX(O1_Community_Attributes!$W$1:$W$500,MATCH($A401,O1_Community_Attributes!$A$1:$A$500,0))="","",INDEX(O1_Community_Attributes!$W$1:$W$500,MATCH($A401,O1_Community_Attributes!$A$1:$A$500,0))),""))</f>
        <v/>
      </c>
      <c r="O401" s="8" t="str">
        <f aca="false">IF($A401="","",IFERROR(IF(INDEX(O1_Community_Attributes!$X$1:$X$500,MATCH($A401,O1_Community_Attributes!$A$1:$A$500,0))="","",INDEX(O1_Community_Attributes!$X$1:$X$500,MATCH($A401,O1_Community_Attributes!$A$1:$A$500,0))),""))</f>
        <v/>
      </c>
      <c r="P401" s="8" t="str">
        <f aca="false">IF($A401="","",IFERROR(IF(INDEX(O1_Community_Attributes!$Y$1:$Y$500,MATCH($A401,O1_Community_Attributes!$A$1:$A$500,0))="","",INDEX(O1_Community_Attributes!$Y$1:$Y$500,MATCH($A401,O1_Community_Attributes!$A$1:$A$500,0))),""))</f>
        <v/>
      </c>
      <c r="Q401" s="8" t="str">
        <f aca="false">IF($A401="","",IFERROR(IF(INDEX(O1_Community_Attributes!$Z$1:$Z$500,MATCH($A401,O1_Community_Attributes!$A$1:$A$500,0))="","",INDEX(O1_Community_Attributes!$Z$1:$Z$500,MATCH($A401,O1_Community_Attributes!$A$1:$A$500,0))),""))</f>
        <v/>
      </c>
      <c r="R401" s="8" t="str">
        <f aca="false">IF($A401="","",IFERROR(IF(INDEX(O1_Community_Attributes!$BK$1:$BK$500,MATCH($A401,O1_Community_Attributes!$A$1:$A$500,0))="","",INDEX(O1_Community_Attributes!$BK$1:$BK$500,MATCH($A401,O1_Community_Attributes!$A$1:$A$500,0))),""))</f>
        <v/>
      </c>
      <c r="S401" s="8" t="str">
        <f aca="false">IF(OR($C401="",$M401=""),"",$M401/$C401)</f>
        <v/>
      </c>
      <c r="T401" s="8" t="str">
        <f aca="false">IF($C401="","",IF(AND($M401="",$P401=""),"",IF($M401="","B",IF(ABS($S401-1)&lt;=0.3,"A",IF(OR($S401&gt;2,$S401&lt;0.5),"C","B")))))</f>
        <v/>
      </c>
    </row>
    <row r="402" customFormat="false" ht="15" hidden="false" customHeight="true" outlineLevel="0" collapsed="false">
      <c r="H402" s="8" t="str">
        <f aca="false">IF(C402="","",IF(C402&lt;1,"yes","no"))</f>
        <v/>
      </c>
      <c r="I402" s="8" t="str">
        <f aca="false">IF(C402="","",IF(C402&lt;2.6,"r75",IF(C402&lt;5.2,"r110",IF(C402&lt;9.9,"r150",IF(C402&lt;19.8,"r210","r300")))))</f>
        <v/>
      </c>
      <c r="M402" s="8" t="str">
        <f aca="false">IF($A402="","",IFERROR(IF(INDEX(O1_Community_Attributes!$V$1:$V$500,MATCH($A402,O1_Community_Attributes!$A$1:$A$500,0))="","",INDEX(O1_Community_Attributes!$V$1:$V$500,MATCH($A402,O1_Community_Attributes!$A$1:$A$500,0))),""))</f>
        <v/>
      </c>
      <c r="N402" s="8" t="str">
        <f aca="false">IF($A402="","",IFERROR(IF(INDEX(O1_Community_Attributes!$W$1:$W$500,MATCH($A402,O1_Community_Attributes!$A$1:$A$500,0))="","",INDEX(O1_Community_Attributes!$W$1:$W$500,MATCH($A402,O1_Community_Attributes!$A$1:$A$500,0))),""))</f>
        <v/>
      </c>
      <c r="O402" s="8" t="str">
        <f aca="false">IF($A402="","",IFERROR(IF(INDEX(O1_Community_Attributes!$X$1:$X$500,MATCH($A402,O1_Community_Attributes!$A$1:$A$500,0))="","",INDEX(O1_Community_Attributes!$X$1:$X$500,MATCH($A402,O1_Community_Attributes!$A$1:$A$500,0))),""))</f>
        <v/>
      </c>
      <c r="P402" s="8" t="str">
        <f aca="false">IF($A402="","",IFERROR(IF(INDEX(O1_Community_Attributes!$Y$1:$Y$500,MATCH($A402,O1_Community_Attributes!$A$1:$A$500,0))="","",INDEX(O1_Community_Attributes!$Y$1:$Y$500,MATCH($A402,O1_Community_Attributes!$A$1:$A$500,0))),""))</f>
        <v/>
      </c>
      <c r="Q402" s="8" t="str">
        <f aca="false">IF($A402="","",IFERROR(IF(INDEX(O1_Community_Attributes!$Z$1:$Z$500,MATCH($A402,O1_Community_Attributes!$A$1:$A$500,0))="","",INDEX(O1_Community_Attributes!$Z$1:$Z$500,MATCH($A402,O1_Community_Attributes!$A$1:$A$500,0))),""))</f>
        <v/>
      </c>
      <c r="R402" s="8" t="str">
        <f aca="false">IF($A402="","",IFERROR(IF(INDEX(O1_Community_Attributes!$BK$1:$BK$500,MATCH($A402,O1_Community_Attributes!$A$1:$A$500,0))="","",INDEX(O1_Community_Attributes!$BK$1:$BK$500,MATCH($A402,O1_Community_Attributes!$A$1:$A$500,0))),""))</f>
        <v/>
      </c>
      <c r="S402" s="8" t="str">
        <f aca="false">IF(OR($C402="",$M402=""),"",$M402/$C402)</f>
        <v/>
      </c>
      <c r="T402" s="8" t="str">
        <f aca="false">IF($C402="","",IF(AND($M402="",$P402=""),"",IF($M402="","B",IF(ABS($S402-1)&lt;=0.3,"A",IF(OR($S402&gt;2,$S402&lt;0.5),"C","B")))))</f>
        <v/>
      </c>
    </row>
  </sheetData>
  <autoFilter ref="A1:Z1"/>
  <dataValidations count="4">
    <dataValidation allowBlank="true" error="Value must come from the list." errorStyle="stop" errorTitle="Controlled vocabulary" operator="between" showDropDown="false" showErrorMessage="false" showInputMessage="false" sqref="F2:F402" type="list">
      <formula1>"Google Earth,Bing Maps,Esri World Imagery,other"</formula1>
      <formula2>0</formula2>
    </dataValidation>
    <dataValidation allowBlank="true" error="Value must come from the list." errorStyle="stop" errorTitle="Controlled vocabulary" operator="between" showDropDown="false" showErrorMessage="false" showInputMessage="false" sqref="G2:G402" type="list">
      <formula1>"clear,moderate,poor"</formula1>
      <formula2>0</formula2>
    </dataValidation>
    <dataValidation allowBlank="true" error="Value must come from the list." errorStyle="stop" errorTitle="Controlled vocabulary" operator="between" showDropDown="false" showErrorMessage="false" showInputMessage="false" sqref="J2:J402" type="list">
      <formula1>"yes,no"</formula1>
      <formula2>0</formula2>
    </dataValidation>
    <dataValidation allowBlank="true" error="Value must come from the list." errorStyle="stop" errorTitle="Controlled vocabulary" operator="between" showDropDown="false" showErrorMessage="false" showInputMessage="false" sqref="V2:V40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46"/>
    <col collapsed="false" customWidth="true" hidden="false" outlineLevel="0" max="4" min="4" style="1" width="22"/>
    <col collapsed="false" customWidth="true" hidden="false" outlineLevel="0" max="6" min="5" style="1" width="18"/>
    <col collapsed="false" customWidth="true" hidden="false" outlineLevel="0" max="7" min="7" style="1" width="14"/>
    <col collapsed="false" customWidth="true" hidden="false" outlineLevel="0" max="8" min="8" style="1" width="12"/>
    <col collapsed="false" customWidth="true" hidden="false" outlineLevel="0" max="9" min="9" style="1" width="14"/>
    <col collapsed="false" customWidth="true" hidden="false" outlineLevel="0" max="10" min="10" style="1" width="18"/>
    <col collapsed="false" customWidth="true" hidden="false" outlineLevel="0" max="12" min="11" style="1" width="16"/>
    <col collapsed="false" customWidth="true" hidden="false" outlineLevel="0" max="13" min="13" style="1" width="40"/>
    <col collapsed="false" customWidth="true" hidden="false" outlineLevel="0" max="14" min="14" style="1" width="12"/>
    <col collapsed="false" customWidth="true" hidden="false" outlineLevel="0" max="15" min="15" style="1" width="13"/>
    <col collapsed="false" customWidth="true" hidden="false" outlineLevel="0" max="16" min="16" style="1" width="10"/>
    <col collapsed="false" customWidth="true" hidden="false" outlineLevel="0" max="17" min="17" style="1" width="40"/>
    <col collapsed="false" customWidth="true" hidden="false" outlineLevel="0" max="19" min="19" style="1" width="70"/>
  </cols>
  <sheetData>
    <row r="1" customFormat="false" ht="64.15" hidden="false" customHeight="false" outlineLevel="0" collapsed="false">
      <c r="A1" s="16" t="s">
        <v>103</v>
      </c>
      <c r="B1" s="16" t="s">
        <v>489</v>
      </c>
      <c r="C1" s="16" t="s">
        <v>490</v>
      </c>
      <c r="D1" s="16" t="s">
        <v>491</v>
      </c>
      <c r="E1" s="16" t="s">
        <v>492</v>
      </c>
      <c r="F1" s="16" t="s">
        <v>341</v>
      </c>
      <c r="G1" s="16" t="s">
        <v>493</v>
      </c>
      <c r="H1" s="16" t="s">
        <v>494</v>
      </c>
      <c r="I1" s="16" t="s">
        <v>495</v>
      </c>
      <c r="J1" s="16" t="s">
        <v>496</v>
      </c>
      <c r="K1" s="16" t="s">
        <v>497</v>
      </c>
      <c r="L1" s="16" t="s">
        <v>498</v>
      </c>
      <c r="M1" s="16" t="s">
        <v>499</v>
      </c>
      <c r="N1" s="16" t="s">
        <v>337</v>
      </c>
      <c r="O1" s="16" t="s">
        <v>500</v>
      </c>
      <c r="P1" s="16" t="s">
        <v>160</v>
      </c>
      <c r="Q1" s="16" t="s">
        <v>164</v>
      </c>
      <c r="S1" s="9" t="s">
        <v>501</v>
      </c>
    </row>
    <row r="2" customFormat="false" ht="32.8" hidden="false" customHeight="false" outlineLevel="0" collapsed="false">
      <c r="A2" s="19" t="s">
        <v>170</v>
      </c>
      <c r="B2" s="19" t="s">
        <v>502</v>
      </c>
      <c r="C2" s="19" t="s">
        <v>503</v>
      </c>
      <c r="D2" s="19" t="s">
        <v>504</v>
      </c>
      <c r="E2" s="19" t="s">
        <v>505</v>
      </c>
      <c r="F2" s="19" t="s">
        <v>352</v>
      </c>
      <c r="G2" s="19" t="s">
        <v>506</v>
      </c>
      <c r="H2" s="19" t="n">
        <v>14</v>
      </c>
      <c r="I2" s="19" t="s">
        <v>181</v>
      </c>
      <c r="J2" s="19" t="s">
        <v>507</v>
      </c>
      <c r="K2" s="19" t="s">
        <v>508</v>
      </c>
      <c r="L2" s="19" t="s">
        <v>509</v>
      </c>
      <c r="M2" s="19" t="s">
        <v>510</v>
      </c>
      <c r="N2" s="19" t="s">
        <v>511</v>
      </c>
      <c r="O2" s="19" t="s">
        <v>205</v>
      </c>
      <c r="P2" s="19" t="s">
        <v>204</v>
      </c>
      <c r="Q2" s="19" t="s">
        <v>512</v>
      </c>
    </row>
  </sheetData>
  <autoFilter ref="A1:Q1"/>
  <dataValidations count="4">
    <dataValidation allowBlank="true" errorStyle="stop" operator="between" showDropDown="false" showErrorMessage="false" showInputMessage="false" sqref="D2:D402" type="list">
      <formula1>"own website,secondary or former website,Facebook,Instagram,YouTube,Vimeo,blog platform,directory listing,crowdfunding,LinkedIn,booking or hosting,news outlet,other"</formula1>
      <formula2>0</formula2>
    </dataValidation>
    <dataValidation allowBlank="true" errorStyle="stop" operator="between" showDropDown="false" showErrorMessage="false" showInputMessage="false" sqref="E2:E402" type="list">
      <formula1>"supplied,discovered"</formula1>
      <formula2>0</formula2>
    </dataValidation>
    <dataValidation allowBlank="true" errorStyle="stop" operator="between" showDropDown="false" showErrorMessage="false" showInputMessage="false" sqref="G2:G402" type="list">
      <formula1>"crawled,partial,blocked,dead link,not attempted"</formula1>
      <formula2>0</formula2>
    </dataValidation>
    <dataValidation allowBlank="true" errorStyle="stop" operator="between" showDropDown="false" showErrorMessage="false" showInputMessage="false" sqref="I2:I40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52"/>
    <col collapsed="false" customWidth="true" hidden="false" outlineLevel="0" max="6" min="4" style="1" width="36"/>
    <col collapsed="false" customWidth="true" hidden="false" outlineLevel="0" max="7" min="7" style="1" width="46"/>
    <col collapsed="false" customWidth="true" hidden="false" outlineLevel="0" max="8" min="8" style="1" width="42"/>
    <col collapsed="false" customWidth="true" hidden="false" outlineLevel="0" max="9" min="9" style="1" width="15"/>
    <col collapsed="false" customWidth="true" hidden="false" outlineLevel="0" max="10" min="10" style="1" width="44"/>
    <col collapsed="false" customWidth="true" hidden="false" outlineLevel="0" max="11" min="11" style="1" width="10"/>
    <col collapsed="false" customWidth="true" hidden="false" outlineLevel="0" max="12" min="12" style="1" width="17"/>
    <col collapsed="false" customWidth="true" hidden="false" outlineLevel="0" max="13" min="13" style="1" width="24"/>
    <col collapsed="false" customWidth="true" hidden="false" outlineLevel="0" max="15" min="15" style="1" width="30"/>
    <col collapsed="false" customWidth="true" hidden="false" outlineLevel="0" max="16" min="16" style="1" width="22"/>
  </cols>
  <sheetData>
    <row r="1" customFormat="false" ht="33.75" hidden="false" customHeight="true" outlineLevel="0" collapsed="false">
      <c r="A1" s="15" t="s">
        <v>513</v>
      </c>
      <c r="B1" s="15" t="s">
        <v>514</v>
      </c>
      <c r="C1" s="15" t="s">
        <v>515</v>
      </c>
      <c r="D1" s="15" t="s">
        <v>516</v>
      </c>
      <c r="E1" s="15" t="s">
        <v>517</v>
      </c>
      <c r="F1" s="15" t="s">
        <v>518</v>
      </c>
      <c r="G1" s="15" t="s">
        <v>397</v>
      </c>
      <c r="H1" s="15" t="s">
        <v>519</v>
      </c>
      <c r="I1" s="15" t="s">
        <v>520</v>
      </c>
      <c r="J1" s="15" t="s">
        <v>521</v>
      </c>
      <c r="K1" s="15" t="s">
        <v>522</v>
      </c>
      <c r="L1" s="15" t="s">
        <v>523</v>
      </c>
      <c r="M1" s="15" t="s">
        <v>164</v>
      </c>
      <c r="O1" s="6" t="s">
        <v>524</v>
      </c>
    </row>
    <row r="2" customFormat="false" ht="32.25" hidden="false" customHeight="true" outlineLevel="0" collapsed="false">
      <c r="A2" s="20" t="s">
        <v>210</v>
      </c>
      <c r="B2" s="20" t="s">
        <v>404</v>
      </c>
      <c r="C2" s="21" t="s">
        <v>525</v>
      </c>
      <c r="D2" s="21" t="s">
        <v>526</v>
      </c>
      <c r="E2" s="21" t="s">
        <v>527</v>
      </c>
      <c r="F2" s="21" t="s">
        <v>528</v>
      </c>
      <c r="G2" s="21" t="s">
        <v>405</v>
      </c>
      <c r="H2" s="21" t="s">
        <v>529</v>
      </c>
      <c r="I2" s="21" t="n">
        <v>0.8</v>
      </c>
      <c r="J2" s="21" t="s">
        <v>530</v>
      </c>
      <c r="K2" s="21" t="s">
        <v>407</v>
      </c>
      <c r="L2" s="21" t="str">
        <f aca="false">IF($P$3="","NOT YET FROZEN",TEXT($P$3,"YYYY-MM-DD"))</f>
        <v>NOT YET FROZEN</v>
      </c>
      <c r="M2" s="21"/>
      <c r="O2" s="13" t="s">
        <v>531</v>
      </c>
    </row>
    <row r="3" customFormat="false" ht="32.25" hidden="false" customHeight="true" outlineLevel="0" collapsed="false">
      <c r="A3" s="20" t="s">
        <v>211</v>
      </c>
      <c r="B3" s="20" t="s">
        <v>409</v>
      </c>
      <c r="C3" s="21" t="s">
        <v>532</v>
      </c>
      <c r="D3" s="21" t="s">
        <v>533</v>
      </c>
      <c r="E3" s="21" t="s">
        <v>534</v>
      </c>
      <c r="F3" s="21" t="s">
        <v>535</v>
      </c>
      <c r="G3" s="21" t="s">
        <v>410</v>
      </c>
      <c r="H3" s="21" t="s">
        <v>529</v>
      </c>
      <c r="I3" s="21" t="n">
        <v>0.75</v>
      </c>
      <c r="J3" s="21" t="s">
        <v>536</v>
      </c>
      <c r="K3" s="21" t="s">
        <v>407</v>
      </c>
      <c r="L3" s="21" t="str">
        <f aca="false">IF($P$3="","NOT YET FROZEN",TEXT($P$3,"YYYY-MM-DD"))</f>
        <v>NOT YET FROZEN</v>
      </c>
      <c r="M3" s="21"/>
      <c r="O3" s="11" t="s">
        <v>537</v>
      </c>
      <c r="P3" s="23"/>
    </row>
    <row r="4" customFormat="false" ht="32.25" hidden="false" customHeight="true" outlineLevel="0" collapsed="false">
      <c r="A4" s="20" t="s">
        <v>212</v>
      </c>
      <c r="B4" s="20" t="s">
        <v>413</v>
      </c>
      <c r="C4" s="21" t="s">
        <v>538</v>
      </c>
      <c r="D4" s="21" t="s">
        <v>539</v>
      </c>
      <c r="E4" s="21" t="s">
        <v>540</v>
      </c>
      <c r="F4" s="21" t="s">
        <v>541</v>
      </c>
      <c r="G4" s="21" t="s">
        <v>414</v>
      </c>
      <c r="H4" s="21" t="s">
        <v>529</v>
      </c>
      <c r="I4" s="21" t="n">
        <v>0.8</v>
      </c>
      <c r="J4" s="21" t="s">
        <v>530</v>
      </c>
      <c r="K4" s="21" t="s">
        <v>407</v>
      </c>
      <c r="L4" s="21" t="str">
        <f aca="false">IF($P$3="","NOT YET FROZEN",TEXT($P$3,"YYYY-MM-DD"))</f>
        <v>NOT YET FROZEN</v>
      </c>
      <c r="M4" s="21"/>
      <c r="O4" s="11" t="s">
        <v>542</v>
      </c>
    </row>
    <row r="5" customFormat="false" ht="32.25" hidden="false" customHeight="true" outlineLevel="0" collapsed="false">
      <c r="A5" s="20" t="s">
        <v>213</v>
      </c>
      <c r="B5" s="20" t="s">
        <v>416</v>
      </c>
      <c r="C5" s="21" t="s">
        <v>543</v>
      </c>
      <c r="D5" s="21" t="s">
        <v>544</v>
      </c>
      <c r="E5" s="21" t="s">
        <v>545</v>
      </c>
      <c r="F5" s="21" t="s">
        <v>546</v>
      </c>
      <c r="G5" s="21" t="s">
        <v>417</v>
      </c>
      <c r="H5" s="21" t="s">
        <v>529</v>
      </c>
      <c r="I5" s="21" t="n">
        <v>0.75</v>
      </c>
      <c r="J5" s="21" t="s">
        <v>536</v>
      </c>
      <c r="K5" s="21" t="s">
        <v>407</v>
      </c>
      <c r="L5" s="21" t="str">
        <f aca="false">IF($P$3="","NOT YET FROZEN",TEXT($P$3,"YYYY-MM-DD"))</f>
        <v>NOT YET FROZEN</v>
      </c>
      <c r="M5" s="21"/>
      <c r="O5" s="9" t="s">
        <v>547</v>
      </c>
    </row>
    <row r="6" customFormat="false" ht="21.75" hidden="false" customHeight="true" outlineLevel="0" collapsed="false">
      <c r="A6" s="20" t="s">
        <v>214</v>
      </c>
      <c r="B6" s="20" t="s">
        <v>420</v>
      </c>
      <c r="C6" s="21" t="s">
        <v>548</v>
      </c>
      <c r="D6" s="21" t="s">
        <v>549</v>
      </c>
      <c r="E6" s="21" t="s">
        <v>550</v>
      </c>
      <c r="F6" s="21" t="s">
        <v>551</v>
      </c>
      <c r="G6" s="21" t="s">
        <v>421</v>
      </c>
      <c r="H6" s="21" t="s">
        <v>529</v>
      </c>
      <c r="I6" s="21" t="n">
        <v>0.7</v>
      </c>
      <c r="J6" s="21" t="s">
        <v>552</v>
      </c>
      <c r="K6" s="21" t="s">
        <v>407</v>
      </c>
      <c r="L6" s="21" t="str">
        <f aca="false">IF($P$3="","NOT YET FROZEN",TEXT($P$3,"YYYY-MM-DD"))</f>
        <v>NOT YET FROZEN</v>
      </c>
      <c r="M6" s="21"/>
      <c r="O6" s="9" t="s">
        <v>553</v>
      </c>
    </row>
    <row r="7" customFormat="false" ht="21.75" hidden="false" customHeight="true" outlineLevel="0" collapsed="false">
      <c r="A7" s="20" t="s">
        <v>215</v>
      </c>
      <c r="B7" s="20" t="s">
        <v>424</v>
      </c>
      <c r="C7" s="21" t="s">
        <v>554</v>
      </c>
      <c r="D7" s="21" t="s">
        <v>555</v>
      </c>
      <c r="E7" s="21" t="s">
        <v>556</v>
      </c>
      <c r="F7" s="21" t="s">
        <v>557</v>
      </c>
      <c r="G7" s="21" t="s">
        <v>425</v>
      </c>
      <c r="H7" s="21" t="s">
        <v>529</v>
      </c>
      <c r="I7" s="21" t="n">
        <v>0.7</v>
      </c>
      <c r="J7" s="21" t="s">
        <v>552</v>
      </c>
      <c r="K7" s="21" t="s">
        <v>407</v>
      </c>
      <c r="L7" s="21" t="str">
        <f aca="false">IF($P$3="","NOT YET FROZEN",TEXT($P$3,"YYYY-MM-DD"))</f>
        <v>NOT YET FROZEN</v>
      </c>
      <c r="M7" s="21"/>
      <c r="O7" s="9" t="s">
        <v>558</v>
      </c>
    </row>
    <row r="8" customFormat="false" ht="32.25" hidden="false" customHeight="true" outlineLevel="0" collapsed="false">
      <c r="A8" s="20" t="s">
        <v>216</v>
      </c>
      <c r="B8" s="20" t="s">
        <v>428</v>
      </c>
      <c r="C8" s="21" t="s">
        <v>559</v>
      </c>
      <c r="D8" s="21" t="s">
        <v>560</v>
      </c>
      <c r="E8" s="21" t="s">
        <v>561</v>
      </c>
      <c r="F8" s="21" t="s">
        <v>562</v>
      </c>
      <c r="G8" s="21" t="s">
        <v>429</v>
      </c>
      <c r="H8" s="21" t="s">
        <v>529</v>
      </c>
      <c r="I8" s="21" t="n">
        <v>0.8</v>
      </c>
      <c r="J8" s="21" t="s">
        <v>530</v>
      </c>
      <c r="K8" s="21" t="s">
        <v>407</v>
      </c>
      <c r="L8" s="21" t="str">
        <f aca="false">IF($P$3="","NOT YET FROZEN",TEXT($P$3,"YYYY-MM-DD"))</f>
        <v>NOT YET FROZEN</v>
      </c>
      <c r="M8" s="21"/>
      <c r="O8" s="9" t="s">
        <v>563</v>
      </c>
    </row>
    <row r="9" customFormat="false" ht="32.25" hidden="false" customHeight="true" outlineLevel="0" collapsed="false">
      <c r="A9" s="20" t="s">
        <v>217</v>
      </c>
      <c r="B9" s="20" t="s">
        <v>432</v>
      </c>
      <c r="C9" s="21" t="s">
        <v>564</v>
      </c>
      <c r="D9" s="21" t="s">
        <v>565</v>
      </c>
      <c r="E9" s="21" t="s">
        <v>566</v>
      </c>
      <c r="F9" s="21" t="s">
        <v>567</v>
      </c>
      <c r="G9" s="21" t="s">
        <v>433</v>
      </c>
      <c r="H9" s="21" t="s">
        <v>529</v>
      </c>
      <c r="I9" s="21" t="n">
        <v>0.75</v>
      </c>
      <c r="J9" s="21" t="s">
        <v>536</v>
      </c>
      <c r="K9" s="21" t="s">
        <v>407</v>
      </c>
      <c r="L9" s="21" t="str">
        <f aca="false">IF($P$3="","NOT YET FROZEN",TEXT($P$3,"YYYY-MM-DD"))</f>
        <v>NOT YET FROZEN</v>
      </c>
      <c r="M9" s="21"/>
      <c r="O9" s="9" t="s">
        <v>568</v>
      </c>
    </row>
    <row r="10" customFormat="false" ht="36.75" hidden="false" customHeight="true" outlineLevel="0" collapsed="false">
      <c r="A10" s="20" t="s">
        <v>218</v>
      </c>
      <c r="B10" s="20" t="s">
        <v>436</v>
      </c>
      <c r="C10" s="21" t="s">
        <v>569</v>
      </c>
      <c r="D10" s="21" t="s">
        <v>570</v>
      </c>
      <c r="E10" s="21" t="s">
        <v>571</v>
      </c>
      <c r="F10" s="21" t="s">
        <v>572</v>
      </c>
      <c r="G10" s="21" t="s">
        <v>437</v>
      </c>
      <c r="H10" s="21" t="s">
        <v>529</v>
      </c>
      <c r="I10" s="21" t="n">
        <v>0.7</v>
      </c>
      <c r="J10" s="21" t="s">
        <v>552</v>
      </c>
      <c r="K10" s="21" t="s">
        <v>407</v>
      </c>
      <c r="L10" s="21" t="str">
        <f aca="false">IF($P$3="","NOT YET FROZEN",TEXT($P$3,"YYYY-MM-DD"))</f>
        <v>NOT YET FROZEN</v>
      </c>
      <c r="M10" s="21"/>
      <c r="O10" s="24" t="s">
        <v>573</v>
      </c>
    </row>
    <row r="11" customFormat="false" ht="32.25" hidden="false" customHeight="true" outlineLevel="0" collapsed="false">
      <c r="A11" s="20" t="s">
        <v>219</v>
      </c>
      <c r="B11" s="20" t="s">
        <v>440</v>
      </c>
      <c r="C11" s="21" t="s">
        <v>574</v>
      </c>
      <c r="D11" s="21" t="s">
        <v>575</v>
      </c>
      <c r="E11" s="21" t="s">
        <v>576</v>
      </c>
      <c r="F11" s="21" t="s">
        <v>577</v>
      </c>
      <c r="G11" s="21" t="s">
        <v>441</v>
      </c>
      <c r="H11" s="21" t="s">
        <v>529</v>
      </c>
      <c r="I11" s="21" t="n">
        <v>0.7</v>
      </c>
      <c r="J11" s="21" t="s">
        <v>552</v>
      </c>
      <c r="K11" s="21" t="s">
        <v>407</v>
      </c>
      <c r="L11" s="21" t="str">
        <f aca="false">IF($P$3="","NOT YET FROZEN",TEXT($P$3,"YYYY-MM-DD"))</f>
        <v>NOT YET FROZEN</v>
      </c>
      <c r="M11" s="21"/>
    </row>
    <row r="12" customFormat="false" ht="21.75" hidden="false" customHeight="true" outlineLevel="0" collapsed="false">
      <c r="A12" s="20" t="s">
        <v>220</v>
      </c>
      <c r="B12" s="20" t="s">
        <v>444</v>
      </c>
      <c r="C12" s="21" t="s">
        <v>578</v>
      </c>
      <c r="D12" s="21" t="s">
        <v>579</v>
      </c>
      <c r="E12" s="21" t="s">
        <v>580</v>
      </c>
      <c r="F12" s="21" t="s">
        <v>581</v>
      </c>
      <c r="G12" s="21" t="s">
        <v>445</v>
      </c>
      <c r="H12" s="21" t="s">
        <v>529</v>
      </c>
      <c r="I12" s="21" t="n">
        <v>0.7</v>
      </c>
      <c r="J12" s="21" t="s">
        <v>552</v>
      </c>
      <c r="K12" s="21" t="s">
        <v>407</v>
      </c>
      <c r="L12" s="21" t="str">
        <f aca="false">IF($P$3="","NOT YET FROZEN",TEXT($P$3,"YYYY-MM-DD"))</f>
        <v>NOT YET FROZEN</v>
      </c>
      <c r="M12" s="21"/>
    </row>
    <row r="13" customFormat="false" ht="45.75" hidden="false" customHeight="true" outlineLevel="0" collapsed="false">
      <c r="A13" s="20" t="s">
        <v>221</v>
      </c>
      <c r="B13" s="20" t="s">
        <v>448</v>
      </c>
      <c r="C13" s="21" t="s">
        <v>582</v>
      </c>
      <c r="D13" s="21" t="s">
        <v>583</v>
      </c>
      <c r="E13" s="21" t="s">
        <v>584</v>
      </c>
      <c r="F13" s="21" t="s">
        <v>585</v>
      </c>
      <c r="G13" s="21" t="s">
        <v>449</v>
      </c>
      <c r="H13" s="21" t="s">
        <v>529</v>
      </c>
      <c r="I13" s="21" t="n">
        <v>0.8</v>
      </c>
      <c r="J13" s="21" t="s">
        <v>530</v>
      </c>
      <c r="K13" s="21" t="s">
        <v>407</v>
      </c>
      <c r="L13" s="21" t="str">
        <f aca="false">IF($P$3="","NOT YET FROZEN",TEXT($P$3,"YYYY-MM-DD"))</f>
        <v>NOT YET FROZEN</v>
      </c>
      <c r="M13" s="21"/>
      <c r="O13" s="13" t="s">
        <v>586</v>
      </c>
    </row>
    <row r="14" customFormat="false" ht="32.25" hidden="false" customHeight="true" outlineLevel="0" collapsed="false">
      <c r="A14" s="20" t="s">
        <v>222</v>
      </c>
      <c r="B14" s="20" t="s">
        <v>452</v>
      </c>
      <c r="C14" s="21" t="s">
        <v>587</v>
      </c>
      <c r="D14" s="21" t="s">
        <v>588</v>
      </c>
      <c r="E14" s="21" t="s">
        <v>589</v>
      </c>
      <c r="F14" s="21" t="s">
        <v>590</v>
      </c>
      <c r="G14" s="21" t="s">
        <v>453</v>
      </c>
      <c r="H14" s="21" t="s">
        <v>529</v>
      </c>
      <c r="I14" s="21" t="n">
        <v>0.75</v>
      </c>
      <c r="J14" s="21" t="s">
        <v>536</v>
      </c>
      <c r="K14" s="21" t="s">
        <v>407</v>
      </c>
      <c r="L14" s="21" t="str">
        <f aca="false">IF($P$3="","NOT YET FROZEN",TEXT($P$3,"YYYY-MM-DD"))</f>
        <v>NOT YET FROZEN</v>
      </c>
      <c r="M14" s="21"/>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12"/>
    <col collapsed="false" customWidth="true" hidden="false" outlineLevel="0" max="3" min="3" style="1" width="9"/>
    <col collapsed="false" customWidth="true" hidden="false" outlineLevel="0" max="4" min="4" style="1" width="20"/>
    <col collapsed="false" customWidth="true" hidden="false" outlineLevel="0" max="5" min="5" style="1" width="30"/>
    <col collapsed="false" customWidth="true" hidden="false" outlineLevel="0" max="6" min="6" style="1" width="22"/>
    <col collapsed="false" customWidth="true" hidden="false" outlineLevel="0" max="7" min="7" style="1" width="17"/>
    <col collapsed="false" customWidth="true" hidden="false" outlineLevel="0" max="8" min="8" style="1" width="10"/>
    <col collapsed="false" customWidth="true" hidden="false" outlineLevel="0" max="9" min="9" style="1" width="17"/>
    <col collapsed="false" customWidth="true" hidden="false" outlineLevel="0" max="10" min="10" style="1" width="28"/>
    <col collapsed="false" customWidth="true" hidden="false" outlineLevel="0" max="11" min="11" style="1" width="20"/>
    <col collapsed="false" customWidth="true" hidden="false" outlineLevel="0" max="12" min="12" style="1" width="38"/>
  </cols>
  <sheetData>
    <row r="1" customFormat="false" ht="33.75" hidden="false" customHeight="true" outlineLevel="0" collapsed="false">
      <c r="A1" s="15" t="s">
        <v>591</v>
      </c>
      <c r="B1" s="15" t="s">
        <v>284</v>
      </c>
      <c r="C1" s="15" t="s">
        <v>160</v>
      </c>
      <c r="D1" s="15" t="s">
        <v>592</v>
      </c>
      <c r="E1" s="15" t="s">
        <v>268</v>
      </c>
      <c r="F1" s="15" t="s">
        <v>593</v>
      </c>
      <c r="G1" s="15" t="s">
        <v>594</v>
      </c>
      <c r="H1" s="15" t="s">
        <v>595</v>
      </c>
      <c r="I1" s="15" t="s">
        <v>596</v>
      </c>
      <c r="J1" s="15" t="s">
        <v>597</v>
      </c>
      <c r="K1" s="15" t="s">
        <v>598</v>
      </c>
      <c r="L1" s="15" t="s">
        <v>164</v>
      </c>
      <c r="N1" s="17" t="s">
        <v>599</v>
      </c>
    </row>
    <row r="2" customFormat="false" ht="21.75" hidden="false" customHeight="true" outlineLevel="0" collapsed="false">
      <c r="A2" s="18" t="s">
        <v>600</v>
      </c>
      <c r="B2" s="18" t="s">
        <v>601</v>
      </c>
      <c r="C2" s="18" t="s">
        <v>204</v>
      </c>
      <c r="D2" s="18" t="n">
        <v>15</v>
      </c>
      <c r="E2" s="18" t="s">
        <v>249</v>
      </c>
      <c r="F2" s="18" t="n">
        <v>0.82</v>
      </c>
      <c r="G2" s="18" t="n">
        <v>0.75</v>
      </c>
      <c r="H2" s="18" t="s">
        <v>181</v>
      </c>
      <c r="I2" s="18"/>
      <c r="J2" s="18" t="s">
        <v>602</v>
      </c>
      <c r="K2" s="18" t="s">
        <v>181</v>
      </c>
      <c r="L2" s="18" t="s">
        <v>603</v>
      </c>
    </row>
  </sheetData>
  <autoFilter ref="A1:L1"/>
  <dataValidations count="2">
    <dataValidation allowBlank="true" error="Value must come from the list." errorStyle="stop" errorTitle="Controlled vocabulary" operator="between" showDropDown="false" showErrorMessage="false" showInputMessage="false" sqref="A2:A402" type="list">
      <formula1>"initial,midpoint,final"</formula1>
      <formula2>0</formula2>
    </dataValidation>
    <dataValidation allowBlank="true" error="Value must come from the list." errorStyle="stop" errorTitle="Controlled vocabulary" operator="between" showDropDown="false" showErrorMessage="false" showInputMessage="false" sqref="H2:H402 K2:K40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3"/>
    <col collapsed="false" customWidth="true" hidden="false" outlineLevel="0" max="5" min="4" style="1" width="38"/>
    <col collapsed="false" customWidth="true" hidden="false" outlineLevel="0" max="6" min="6" style="1" width="20"/>
    <col collapsed="false" customWidth="true" hidden="false" outlineLevel="0" max="7" min="7" style="1" width="32"/>
    <col collapsed="false" customWidth="true" hidden="false" outlineLevel="0" max="8" min="8" style="1" width="28"/>
    <col collapsed="false" customWidth="true" hidden="false" outlineLevel="0" max="9" min="9" style="1" width="15"/>
    <col collapsed="false" customWidth="true" hidden="false" outlineLevel="0" max="10" min="10" style="1" width="20"/>
    <col collapsed="false" customWidth="true" hidden="false" outlineLevel="0" max="11" min="11" style="1" width="15"/>
    <col collapsed="false" customWidth="true" hidden="false" outlineLevel="0" max="12" min="12" style="1" width="24"/>
  </cols>
  <sheetData>
    <row r="1" customFormat="false" ht="33.75" hidden="false" customHeight="true" outlineLevel="0" collapsed="false">
      <c r="A1" s="15" t="s">
        <v>604</v>
      </c>
      <c r="B1" s="15" t="s">
        <v>284</v>
      </c>
      <c r="C1" s="15" t="s">
        <v>605</v>
      </c>
      <c r="D1" s="15" t="s">
        <v>606</v>
      </c>
      <c r="E1" s="15" t="s">
        <v>607</v>
      </c>
      <c r="F1" s="15" t="s">
        <v>608</v>
      </c>
      <c r="G1" s="15" t="s">
        <v>609</v>
      </c>
      <c r="H1" s="15" t="s">
        <v>610</v>
      </c>
      <c r="I1" s="15" t="s">
        <v>611</v>
      </c>
      <c r="J1" s="15" t="s">
        <v>612</v>
      </c>
      <c r="K1" s="15" t="s">
        <v>613</v>
      </c>
      <c r="L1" s="15" t="s">
        <v>164</v>
      </c>
      <c r="N1" s="17" t="s">
        <v>614</v>
      </c>
    </row>
    <row r="2" customFormat="false" ht="21.75" hidden="false" customHeight="true" outlineLevel="0" collapsed="false">
      <c r="A2" s="18" t="s">
        <v>615</v>
      </c>
      <c r="B2" s="18" t="s">
        <v>616</v>
      </c>
      <c r="C2" s="18" t="s">
        <v>617</v>
      </c>
      <c r="D2" s="18" t="s">
        <v>618</v>
      </c>
      <c r="E2" s="18" t="s">
        <v>619</v>
      </c>
      <c r="F2" s="18" t="s">
        <v>620</v>
      </c>
      <c r="G2" s="18" t="s">
        <v>621</v>
      </c>
      <c r="H2" s="18" t="s">
        <v>622</v>
      </c>
      <c r="I2" s="18" t="s">
        <v>189</v>
      </c>
      <c r="J2" s="18" t="s">
        <v>189</v>
      </c>
      <c r="K2" s="18" t="s">
        <v>189</v>
      </c>
      <c r="L2" s="18"/>
    </row>
  </sheetData>
  <autoFilter ref="A1:L1"/>
  <dataValidations count="3">
    <dataValidation allowBlank="true" error="Value must come from the list." errorStyle="stop" errorTitle="Controlled vocabulary" operator="between" showDropDown="false" showErrorMessage="false" showInputMessage="false" sqref="C2:C402" type="list">
      <formula1>"Stage 1,Stage 2,Stage 3,Stage 3b,Stage 4,Stage 5,Stage 6,Stage 7,Stage 8"</formula1>
      <formula2>0</formula2>
    </dataValidation>
    <dataValidation allowBlank="true" error="Value must come from the list." errorStyle="stop" errorTitle="Controlled vocabulary" operator="between" showDropDown="false" showErrorMessage="false" showInputMessage="false" sqref="I2:J402" type="list">
      <formula1>"yes,no"</formula1>
      <formula2>0</formula2>
    </dataValidation>
    <dataValidation allowBlank="true" error="Value must come from the list." errorStyle="stop" errorTitle="Controlled vocabulary" operator="between" showDropDown="false" showErrorMessage="false" showInputMessage="false" sqref="K2:K402" type="list">
      <formula1>"no,yes,unknown"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60"/>
    <col collapsed="false" customWidth="true" hidden="false" outlineLevel="0" max="3" min="3" style="1" width="48"/>
  </cols>
  <sheetData>
    <row r="1" customFormat="false" ht="15" hidden="false" customHeight="false" outlineLevel="0" collapsed="false">
      <c r="A1" s="25" t="s">
        <v>623</v>
      </c>
    </row>
    <row r="2" customFormat="false" ht="22.35" hidden="false" customHeight="false" outlineLevel="0" collapsed="false">
      <c r="A2" s="11" t="s">
        <v>184</v>
      </c>
      <c r="B2" s="5" t="s">
        <v>624</v>
      </c>
      <c r="C2" s="5" t="s">
        <v>625</v>
      </c>
    </row>
    <row r="3" customFormat="false" ht="22.35" hidden="false" customHeight="false" outlineLevel="0" collapsed="false">
      <c r="A3" s="11" t="s">
        <v>626</v>
      </c>
      <c r="B3" s="5" t="s">
        <v>627</v>
      </c>
      <c r="C3" s="5" t="s">
        <v>628</v>
      </c>
    </row>
    <row r="4" customFormat="false" ht="15" hidden="false" customHeight="false" outlineLevel="0" collapsed="false">
      <c r="A4" s="11" t="s">
        <v>629</v>
      </c>
      <c r="B4" s="5" t="s">
        <v>630</v>
      </c>
      <c r="C4" s="5" t="s">
        <v>631</v>
      </c>
    </row>
    <row r="5" customFormat="false" ht="15" hidden="false" customHeight="false" outlineLevel="0" collapsed="false">
      <c r="A5" s="11" t="s">
        <v>632</v>
      </c>
      <c r="B5" s="5" t="s">
        <v>633</v>
      </c>
      <c r="C5" s="5" t="s">
        <v>634</v>
      </c>
    </row>
    <row r="6" customFormat="false" ht="15" hidden="false" customHeight="false" outlineLevel="0" collapsed="false">
      <c r="A6" s="11" t="s">
        <v>635</v>
      </c>
      <c r="B6" s="5" t="s">
        <v>636</v>
      </c>
      <c r="C6" s="5" t="s">
        <v>637</v>
      </c>
    </row>
    <row r="7" customFormat="false" ht="15" hidden="false" customHeight="false" outlineLevel="0" collapsed="false">
      <c r="A7" s="11" t="s">
        <v>638</v>
      </c>
      <c r="B7" s="5" t="s">
        <v>639</v>
      </c>
      <c r="C7" s="5" t="s">
        <v>640</v>
      </c>
    </row>
    <row r="8" customFormat="false" ht="15" hidden="false" customHeight="false" outlineLevel="0" collapsed="false">
      <c r="A8" s="11" t="s">
        <v>641</v>
      </c>
      <c r="B8" s="5" t="s">
        <v>642</v>
      </c>
      <c r="C8" s="5" t="s">
        <v>643</v>
      </c>
    </row>
    <row r="9" customFormat="false" ht="15" hidden="false" customHeight="false" outlineLevel="0" collapsed="false">
      <c r="A9" s="11" t="s">
        <v>392</v>
      </c>
      <c r="B9" s="5" t="s">
        <v>644</v>
      </c>
      <c r="C9" s="5" t="s">
        <v>645</v>
      </c>
    </row>
    <row r="11" customFormat="false" ht="15" hidden="false" customHeight="false" outlineLevel="0" collapsed="false">
      <c r="A11" s="25" t="s">
        <v>646</v>
      </c>
    </row>
    <row r="12" customFormat="false" ht="22.35" hidden="false" customHeight="false" outlineLevel="0" collapsed="false">
      <c r="A12" s="11" t="s">
        <v>647</v>
      </c>
      <c r="B12" s="5" t="s">
        <v>648</v>
      </c>
      <c r="C12" s="5" t="s">
        <v>649</v>
      </c>
    </row>
    <row r="13" customFormat="false" ht="15" hidden="false" customHeight="false" outlineLevel="0" collapsed="false">
      <c r="A13" s="11" t="s">
        <v>324</v>
      </c>
      <c r="B13" s="5" t="s">
        <v>650</v>
      </c>
      <c r="C13" s="5" t="s">
        <v>651</v>
      </c>
    </row>
    <row r="14" customFormat="false" ht="15" hidden="false" customHeight="false" outlineLevel="0" collapsed="false">
      <c r="A14" s="11" t="s">
        <v>323</v>
      </c>
      <c r="B14" s="5" t="s">
        <v>652</v>
      </c>
      <c r="C14" s="5" t="s">
        <v>653</v>
      </c>
    </row>
    <row r="15" customFormat="false" ht="15" hidden="false" customHeight="false" outlineLevel="0" collapsed="false">
      <c r="A15" s="11" t="s">
        <v>654</v>
      </c>
      <c r="B15" s="5" t="s">
        <v>655</v>
      </c>
      <c r="C15" s="5" t="s">
        <v>656</v>
      </c>
    </row>
    <row r="16" customFormat="false" ht="15" hidden="false" customHeight="false" outlineLevel="0" collapsed="false">
      <c r="A16" s="11" t="s">
        <v>657</v>
      </c>
      <c r="B16" s="5" t="s">
        <v>658</v>
      </c>
      <c r="C16" s="5" t="s">
        <v>659</v>
      </c>
    </row>
    <row r="18" customFormat="false" ht="15" hidden="false" customHeight="false" outlineLevel="0" collapsed="false">
      <c r="A18" s="25" t="s">
        <v>660</v>
      </c>
    </row>
    <row r="19" customFormat="false" ht="15" hidden="false" customHeight="false" outlineLevel="0" collapsed="false">
      <c r="A19" s="11" t="s">
        <v>190</v>
      </c>
      <c r="B19" s="5" t="s">
        <v>661</v>
      </c>
      <c r="C19" s="5" t="s">
        <v>662</v>
      </c>
    </row>
    <row r="20" customFormat="false" ht="15" hidden="false" customHeight="false" outlineLevel="0" collapsed="false">
      <c r="A20" s="11" t="s">
        <v>263</v>
      </c>
      <c r="B20" s="5" t="s">
        <v>663</v>
      </c>
      <c r="C20" s="5" t="s">
        <v>664</v>
      </c>
    </row>
    <row r="21" customFormat="false" ht="15" hidden="false" customHeight="false" outlineLevel="0" collapsed="false">
      <c r="A21" s="11" t="s">
        <v>665</v>
      </c>
      <c r="B21" s="5" t="s">
        <v>666</v>
      </c>
      <c r="C21" s="5" t="s">
        <v>667</v>
      </c>
    </row>
    <row r="23" customFormat="false" ht="15" hidden="false" customHeight="false" outlineLevel="0" collapsed="false">
      <c r="A23" s="25" t="s">
        <v>668</v>
      </c>
    </row>
    <row r="24" customFormat="false" ht="15" hidden="false" customHeight="false" outlineLevel="0" collapsed="false">
      <c r="A24" s="11" t="s">
        <v>669</v>
      </c>
      <c r="B24" s="5" t="s">
        <v>670</v>
      </c>
      <c r="C24" s="5" t="s">
        <v>671</v>
      </c>
    </row>
    <row r="25" customFormat="false" ht="15" hidden="false" customHeight="false" outlineLevel="0" collapsed="false">
      <c r="A25" s="11" t="s">
        <v>672</v>
      </c>
      <c r="B25" s="5" t="s">
        <v>673</v>
      </c>
      <c r="C25" s="5" t="s">
        <v>674</v>
      </c>
    </row>
    <row r="26" customFormat="false" ht="15" hidden="false" customHeight="false" outlineLevel="0" collapsed="false">
      <c r="A26" s="11" t="s">
        <v>189</v>
      </c>
      <c r="B26" s="5" t="s">
        <v>675</v>
      </c>
      <c r="C26" s="5" t="s">
        <v>676</v>
      </c>
    </row>
    <row r="27" customFormat="false" ht="15" hidden="false" customHeight="false" outlineLevel="0" collapsed="false">
      <c r="A27" s="11" t="s">
        <v>677</v>
      </c>
      <c r="B27" s="5" t="s">
        <v>678</v>
      </c>
      <c r="C27" s="5" t="s">
        <v>679</v>
      </c>
    </row>
    <row r="29" customFormat="false" ht="15" hidden="false" customHeight="false" outlineLevel="0" collapsed="false">
      <c r="A29" s="25" t="s">
        <v>680</v>
      </c>
    </row>
    <row r="30" customFormat="false" ht="15" hidden="false" customHeight="false" outlineLevel="0" collapsed="false">
      <c r="A30" s="11" t="s">
        <v>681</v>
      </c>
      <c r="B30" s="5" t="s">
        <v>682</v>
      </c>
      <c r="C30" s="5" t="s">
        <v>683</v>
      </c>
    </row>
    <row r="31" customFormat="false" ht="22.35" hidden="false" customHeight="false" outlineLevel="0" collapsed="false">
      <c r="A31" s="11" t="s">
        <v>684</v>
      </c>
      <c r="B31" s="5" t="s">
        <v>685</v>
      </c>
      <c r="C31" s="5" t="s">
        <v>686</v>
      </c>
    </row>
    <row r="32" customFormat="false" ht="15" hidden="false" customHeight="false" outlineLevel="0" collapsed="false">
      <c r="A32" s="11" t="s">
        <v>687</v>
      </c>
      <c r="B32" s="5" t="s">
        <v>688</v>
      </c>
      <c r="C32" s="5" t="s">
        <v>689</v>
      </c>
    </row>
    <row r="33" customFormat="false" ht="15" hidden="false" customHeight="false" outlineLevel="0" collapsed="false">
      <c r="A33" s="11" t="s">
        <v>690</v>
      </c>
      <c r="B33" s="5" t="s">
        <v>691</v>
      </c>
      <c r="C33" s="5" t="s">
        <v>692</v>
      </c>
    </row>
    <row r="34" customFormat="false" ht="15" hidden="false" customHeight="false" outlineLevel="0" collapsed="false">
      <c r="A34" s="11" t="s">
        <v>693</v>
      </c>
      <c r="B34" s="5" t="s">
        <v>694</v>
      </c>
      <c r="C34" s="5" t="s">
        <v>695</v>
      </c>
    </row>
    <row r="36" customFormat="false" ht="15" hidden="false" customHeight="false" outlineLevel="0" collapsed="false">
      <c r="A36" s="25" t="s">
        <v>696</v>
      </c>
    </row>
    <row r="37" customFormat="false" ht="15" hidden="false" customHeight="false" outlineLevel="0" collapsed="false">
      <c r="A37" s="11" t="s">
        <v>190</v>
      </c>
      <c r="B37" s="5" t="s">
        <v>697</v>
      </c>
      <c r="C37" s="5" t="s">
        <v>698</v>
      </c>
    </row>
    <row r="38" customFormat="false" ht="15" hidden="false" customHeight="false" outlineLevel="0" collapsed="false">
      <c r="A38" s="11" t="s">
        <v>263</v>
      </c>
      <c r="B38" s="5" t="s">
        <v>699</v>
      </c>
      <c r="C38" s="5" t="s">
        <v>700</v>
      </c>
    </row>
    <row r="39" customFormat="false" ht="15" hidden="false" customHeight="false" outlineLevel="0" collapsed="false">
      <c r="A39" s="11" t="s">
        <v>665</v>
      </c>
      <c r="B39" s="5" t="s">
        <v>701</v>
      </c>
      <c r="C39" s="5" t="s">
        <v>702</v>
      </c>
    </row>
    <row r="40" customFormat="false" ht="15" hidden="false" customHeight="false" outlineLevel="0" collapsed="false">
      <c r="A40" s="11" t="s">
        <v>703</v>
      </c>
      <c r="B40" s="5" t="s">
        <v>704</v>
      </c>
      <c r="C40" s="5" t="s">
        <v>705</v>
      </c>
    </row>
    <row r="42" customFormat="false" ht="15" hidden="false" customHeight="false" outlineLevel="0" collapsed="false">
      <c r="A42" s="25" t="s">
        <v>706</v>
      </c>
    </row>
    <row r="43" customFormat="false" ht="15" hidden="false" customHeight="false" outlineLevel="0" collapsed="false">
      <c r="A43" s="11" t="s">
        <v>224</v>
      </c>
      <c r="B43" s="5" t="s">
        <v>707</v>
      </c>
      <c r="C43" s="5" t="s">
        <v>708</v>
      </c>
    </row>
    <row r="44" customFormat="false" ht="15" hidden="false" customHeight="false" outlineLevel="0" collapsed="false">
      <c r="A44" s="11" t="s">
        <v>225</v>
      </c>
      <c r="B44" s="5" t="s">
        <v>709</v>
      </c>
    </row>
    <row r="45" customFormat="false" ht="15" hidden="false" customHeight="false" outlineLevel="0" collapsed="false">
      <c r="A45" s="11" t="s">
        <v>226</v>
      </c>
      <c r="B45" s="5" t="s">
        <v>710</v>
      </c>
    </row>
    <row r="46" customFormat="false" ht="15" hidden="false" customHeight="false" outlineLevel="0" collapsed="false">
      <c r="A46" s="11" t="s">
        <v>711</v>
      </c>
      <c r="B46" s="5" t="s">
        <v>712</v>
      </c>
      <c r="C46" s="5" t="s">
        <v>713</v>
      </c>
    </row>
    <row r="47" customFormat="false" ht="15" hidden="false" customHeight="false" outlineLevel="0" collapsed="false">
      <c r="A47" s="11" t="s">
        <v>714</v>
      </c>
      <c r="B47" s="5" t="s">
        <v>715</v>
      </c>
      <c r="C47" s="5" t="s">
        <v>716</v>
      </c>
    </row>
    <row r="49" customFormat="false" ht="15" hidden="false" customHeight="false" outlineLevel="0" collapsed="false">
      <c r="A49" s="25" t="s">
        <v>717</v>
      </c>
    </row>
    <row r="50" customFormat="false" ht="15" hidden="false" customHeight="false" outlineLevel="0" collapsed="false">
      <c r="A50" s="11" t="s">
        <v>192</v>
      </c>
      <c r="B50" s="5" t="s">
        <v>718</v>
      </c>
    </row>
    <row r="51" customFormat="false" ht="15" hidden="false" customHeight="false" outlineLevel="0" collapsed="false">
      <c r="A51" s="11" t="s">
        <v>719</v>
      </c>
      <c r="B51" s="5" t="s">
        <v>720</v>
      </c>
    </row>
    <row r="52" customFormat="false" ht="15" hidden="false" customHeight="false" outlineLevel="0" collapsed="false">
      <c r="A52" s="11" t="s">
        <v>721</v>
      </c>
      <c r="B52" s="5" t="s">
        <v>722</v>
      </c>
    </row>
    <row r="53" customFormat="false" ht="15" hidden="false" customHeight="false" outlineLevel="0" collapsed="false">
      <c r="A53" s="11" t="s">
        <v>723</v>
      </c>
      <c r="B53" s="5" t="s">
        <v>724</v>
      </c>
    </row>
    <row r="54" customFormat="false" ht="15" hidden="false" customHeight="false" outlineLevel="0" collapsed="false">
      <c r="A54" s="11" t="s">
        <v>725</v>
      </c>
      <c r="B54" s="5" t="s">
        <v>726</v>
      </c>
      <c r="C54" s="5" t="s">
        <v>727</v>
      </c>
    </row>
    <row r="55" customFormat="false" ht="15" hidden="false" customHeight="false" outlineLevel="0" collapsed="false">
      <c r="A55" s="11" t="s">
        <v>728</v>
      </c>
      <c r="B55" s="5" t="s">
        <v>729</v>
      </c>
      <c r="C55" s="5" t="s">
        <v>730</v>
      </c>
    </row>
    <row r="57" customFormat="false" ht="15" hidden="false" customHeight="false" outlineLevel="0" collapsed="false">
      <c r="A57" s="25" t="s">
        <v>731</v>
      </c>
    </row>
    <row r="58" customFormat="false" ht="22.35" hidden="false" customHeight="false" outlineLevel="0" collapsed="false">
      <c r="A58" s="11" t="s">
        <v>732</v>
      </c>
      <c r="B58" s="5" t="s">
        <v>733</v>
      </c>
      <c r="C58" s="5" t="s">
        <v>734</v>
      </c>
    </row>
    <row r="59" customFormat="false" ht="15" hidden="false" customHeight="false" outlineLevel="0" collapsed="false">
      <c r="A59" s="11" t="s">
        <v>735</v>
      </c>
      <c r="B59" s="5" t="s">
        <v>736</v>
      </c>
      <c r="C59" s="5" t="s">
        <v>737</v>
      </c>
    </row>
    <row r="60" customFormat="false" ht="15" hidden="false" customHeight="false" outlineLevel="0" collapsed="false">
      <c r="A60" s="11" t="s">
        <v>185</v>
      </c>
      <c r="B60" s="5" t="s">
        <v>738</v>
      </c>
    </row>
    <row r="61" customFormat="false" ht="22.35" hidden="false" customHeight="false" outlineLevel="0" collapsed="false">
      <c r="A61" s="11" t="s">
        <v>739</v>
      </c>
      <c r="B61" s="5" t="s">
        <v>740</v>
      </c>
      <c r="C61" s="5" t="s">
        <v>741</v>
      </c>
    </row>
    <row r="63" customFormat="false" ht="15" hidden="false" customHeight="false" outlineLevel="0" collapsed="false">
      <c r="A63" s="25" t="s">
        <v>742</v>
      </c>
    </row>
    <row r="64" customFormat="false" ht="22.35" hidden="false" customHeight="false" outlineLevel="0" collapsed="false">
      <c r="A64" s="11" t="s">
        <v>743</v>
      </c>
      <c r="B64" s="5" t="s">
        <v>744</v>
      </c>
      <c r="C64" s="5" t="s">
        <v>745</v>
      </c>
    </row>
    <row r="65" customFormat="false" ht="15" hidden="false" customHeight="false" outlineLevel="0" collapsed="false">
      <c r="A65" s="11" t="s">
        <v>746</v>
      </c>
      <c r="B65" s="5" t="s">
        <v>747</v>
      </c>
      <c r="C65" s="5" t="s">
        <v>748</v>
      </c>
    </row>
    <row r="66" customFormat="false" ht="15" hidden="false" customHeight="false" outlineLevel="0" collapsed="false">
      <c r="A66" s="11" t="s">
        <v>749</v>
      </c>
      <c r="B66" s="5" t="s">
        <v>750</v>
      </c>
      <c r="C66" s="5" t="s">
        <v>751</v>
      </c>
    </row>
    <row r="67" customFormat="false" ht="15" hidden="false" customHeight="false" outlineLevel="0" collapsed="false">
      <c r="A67" s="11" t="s">
        <v>752</v>
      </c>
      <c r="B67" s="5" t="s">
        <v>753</v>
      </c>
      <c r="C67" s="5" t="s">
        <v>754</v>
      </c>
    </row>
    <row r="68" customFormat="false" ht="15" hidden="false" customHeight="false" outlineLevel="0" collapsed="false">
      <c r="A68" s="11" t="s">
        <v>755</v>
      </c>
      <c r="B68" s="5" t="s">
        <v>756</v>
      </c>
      <c r="C68" s="5" t="s">
        <v>757</v>
      </c>
    </row>
    <row r="70" customFormat="false" ht="15" hidden="false" customHeight="false" outlineLevel="0" collapsed="false">
      <c r="A70" s="25" t="s">
        <v>758</v>
      </c>
    </row>
    <row r="71" customFormat="false" ht="15" hidden="false" customHeight="false" outlineLevel="0" collapsed="false">
      <c r="A71" s="11" t="s">
        <v>190</v>
      </c>
      <c r="B71" s="5" t="s">
        <v>759</v>
      </c>
      <c r="C71" s="5" t="s">
        <v>760</v>
      </c>
    </row>
    <row r="72" customFormat="false" ht="15" hidden="false" customHeight="false" outlineLevel="0" collapsed="false">
      <c r="A72" s="11" t="s">
        <v>263</v>
      </c>
      <c r="B72" s="5" t="s">
        <v>761</v>
      </c>
      <c r="C72" s="5" t="s">
        <v>762</v>
      </c>
    </row>
    <row r="73" customFormat="false" ht="22.35" hidden="false" customHeight="false" outlineLevel="0" collapsed="false">
      <c r="A73" s="11" t="s">
        <v>665</v>
      </c>
      <c r="B73" s="5" t="s">
        <v>763</v>
      </c>
      <c r="C73" s="5" t="s">
        <v>764</v>
      </c>
    </row>
    <row r="75" customFormat="false" ht="15" hidden="false" customHeight="false" outlineLevel="0" collapsed="false">
      <c r="A75" s="25" t="s">
        <v>765</v>
      </c>
    </row>
    <row r="76" customFormat="false" ht="15" hidden="false" customHeight="false" outlineLevel="0" collapsed="false">
      <c r="A76" s="11" t="s">
        <v>183</v>
      </c>
      <c r="B76" s="5" t="s">
        <v>766</v>
      </c>
      <c r="C76" s="5" t="s">
        <v>767</v>
      </c>
    </row>
    <row r="77" customFormat="false" ht="15" hidden="false" customHeight="false" outlineLevel="0" collapsed="false">
      <c r="A77" s="11" t="s">
        <v>768</v>
      </c>
      <c r="B77" s="5" t="s">
        <v>769</v>
      </c>
      <c r="C77" s="5" t="s">
        <v>770</v>
      </c>
    </row>
    <row r="78" customFormat="false" ht="15" hidden="false" customHeight="false" outlineLevel="0" collapsed="false">
      <c r="A78" s="11" t="s">
        <v>771</v>
      </c>
      <c r="B78" s="5" t="s">
        <v>772</v>
      </c>
      <c r="C78" s="5" t="s">
        <v>773</v>
      </c>
    </row>
    <row r="79" customFormat="false" ht="22.35" hidden="false" customHeight="false" outlineLevel="0" collapsed="false">
      <c r="A79" s="11" t="s">
        <v>774</v>
      </c>
      <c r="B79" s="5" t="s">
        <v>775</v>
      </c>
      <c r="C79" s="5" t="s">
        <v>776</v>
      </c>
    </row>
    <row r="81" customFormat="false" ht="15" hidden="false" customHeight="false" outlineLevel="0" collapsed="false">
      <c r="A81" s="25" t="s">
        <v>777</v>
      </c>
    </row>
    <row r="82" customFormat="false" ht="15" hidden="false" customHeight="false" outlineLevel="0" collapsed="false">
      <c r="A82" s="11" t="s">
        <v>778</v>
      </c>
      <c r="B82" s="5" t="s">
        <v>779</v>
      </c>
      <c r="C82" s="5" t="s">
        <v>780</v>
      </c>
    </row>
    <row r="83" customFormat="false" ht="22.35" hidden="false" customHeight="false" outlineLevel="0" collapsed="false">
      <c r="A83" s="11" t="s">
        <v>504</v>
      </c>
      <c r="B83" s="5" t="s">
        <v>781</v>
      </c>
      <c r="C83" s="5" t="s">
        <v>782</v>
      </c>
    </row>
    <row r="84" customFormat="false" ht="15" hidden="false" customHeight="false" outlineLevel="0" collapsed="false">
      <c r="A84" s="11" t="s">
        <v>783</v>
      </c>
      <c r="B84" s="5" t="s">
        <v>784</v>
      </c>
      <c r="C84" s="5" t="s">
        <v>785</v>
      </c>
    </row>
    <row r="85" customFormat="false" ht="22.35" hidden="false" customHeight="false" outlineLevel="0" collapsed="false">
      <c r="A85" s="11" t="s">
        <v>786</v>
      </c>
      <c r="B85" s="5" t="s">
        <v>787</v>
      </c>
      <c r="C85" s="5" t="s">
        <v>788</v>
      </c>
    </row>
    <row r="86" customFormat="false" ht="15" hidden="false" customHeight="false" outlineLevel="0" collapsed="false">
      <c r="A86" s="11" t="s">
        <v>789</v>
      </c>
      <c r="B86" s="5" t="s">
        <v>790</v>
      </c>
      <c r="C86" s="5" t="s">
        <v>791</v>
      </c>
    </row>
    <row r="87" customFormat="false" ht="15" hidden="false" customHeight="false" outlineLevel="0" collapsed="false">
      <c r="A87" s="11" t="s">
        <v>792</v>
      </c>
      <c r="B87" s="5" t="s">
        <v>790</v>
      </c>
      <c r="C87" s="5" t="s">
        <v>793</v>
      </c>
    </row>
    <row r="88" customFormat="false" ht="22.35" hidden="false" customHeight="false" outlineLevel="0" collapsed="false">
      <c r="A88" s="11" t="s">
        <v>794</v>
      </c>
      <c r="B88" s="5" t="s">
        <v>795</v>
      </c>
      <c r="C88" s="5" t="s">
        <v>796</v>
      </c>
    </row>
    <row r="89" customFormat="false" ht="22.35" hidden="false" customHeight="false" outlineLevel="0" collapsed="false">
      <c r="A89" s="11" t="s">
        <v>797</v>
      </c>
      <c r="B89" s="5" t="s">
        <v>798</v>
      </c>
      <c r="C89" s="5" t="s">
        <v>799</v>
      </c>
    </row>
    <row r="90" customFormat="false" ht="22.35" hidden="false" customHeight="false" outlineLevel="0" collapsed="false">
      <c r="A90" s="11" t="s">
        <v>800</v>
      </c>
      <c r="B90" s="5" t="s">
        <v>801</v>
      </c>
      <c r="C90" s="5" t="s">
        <v>802</v>
      </c>
    </row>
    <row r="91" customFormat="false" ht="15" hidden="false" customHeight="false" outlineLevel="0" collapsed="false">
      <c r="A91" s="11" t="s">
        <v>803</v>
      </c>
      <c r="B91" s="5" t="s">
        <v>804</v>
      </c>
      <c r="C91" s="5" t="s">
        <v>805</v>
      </c>
    </row>
    <row r="92" customFormat="false" ht="15" hidden="false" customHeight="false" outlineLevel="0" collapsed="false">
      <c r="A92" s="11" t="s">
        <v>806</v>
      </c>
      <c r="B92" s="5" t="s">
        <v>807</v>
      </c>
      <c r="C92" s="5" t="s">
        <v>808</v>
      </c>
    </row>
    <row r="93" customFormat="false" ht="15" hidden="false" customHeight="false" outlineLevel="0" collapsed="false">
      <c r="A93" s="11" t="s">
        <v>809</v>
      </c>
      <c r="B93" s="5" t="s">
        <v>810</v>
      </c>
      <c r="C93" s="5" t="s">
        <v>811</v>
      </c>
    </row>
    <row r="94" customFormat="false" ht="15" hidden="false" customHeight="false" outlineLevel="0" collapsed="false">
      <c r="A94" s="11" t="s">
        <v>812</v>
      </c>
      <c r="B94" s="5" t="s">
        <v>813</v>
      </c>
      <c r="C94" s="5" t="s">
        <v>814</v>
      </c>
    </row>
    <row r="96" customFormat="false" ht="15" hidden="false" customHeight="false" outlineLevel="0" collapsed="false">
      <c r="A96" s="25" t="s">
        <v>815</v>
      </c>
    </row>
    <row r="97" customFormat="false" ht="15" hidden="false" customHeight="false" outlineLevel="0" collapsed="false">
      <c r="A97" s="11" t="s">
        <v>506</v>
      </c>
      <c r="B97" s="5" t="s">
        <v>816</v>
      </c>
    </row>
    <row r="98" customFormat="false" ht="15" hidden="false" customHeight="false" outlineLevel="0" collapsed="false">
      <c r="A98" s="11" t="s">
        <v>817</v>
      </c>
      <c r="B98" s="5" t="s">
        <v>818</v>
      </c>
      <c r="C98" s="5" t="s">
        <v>819</v>
      </c>
    </row>
    <row r="99" customFormat="false" ht="22.35" hidden="false" customHeight="false" outlineLevel="0" collapsed="false">
      <c r="A99" s="11" t="s">
        <v>820</v>
      </c>
      <c r="B99" s="5" t="s">
        <v>821</v>
      </c>
      <c r="C99" s="5" t="s">
        <v>822</v>
      </c>
    </row>
    <row r="100" customFormat="false" ht="22.35" hidden="false" customHeight="false" outlineLevel="0" collapsed="false">
      <c r="A100" s="11" t="s">
        <v>823</v>
      </c>
      <c r="B100" s="5" t="s">
        <v>824</v>
      </c>
      <c r="C100" s="5" t="s">
        <v>825</v>
      </c>
    </row>
    <row r="101" customFormat="false" ht="22.35" hidden="false" customHeight="false" outlineLevel="0" collapsed="false">
      <c r="A101" s="11" t="s">
        <v>826</v>
      </c>
      <c r="B101" s="5" t="s">
        <v>827</v>
      </c>
      <c r="C101" s="5" t="s">
        <v>828</v>
      </c>
    </row>
    <row r="103" customFormat="false" ht="15" hidden="false" customHeight="false" outlineLevel="0" collapsed="false">
      <c r="A103" s="25" t="s">
        <v>829</v>
      </c>
    </row>
    <row r="104" customFormat="false" ht="22.35" hidden="false" customHeight="false" outlineLevel="0" collapsed="false">
      <c r="A104" s="11" t="s">
        <v>830</v>
      </c>
      <c r="B104" s="5" t="s">
        <v>831</v>
      </c>
      <c r="C104" s="5" t="s">
        <v>832</v>
      </c>
    </row>
    <row r="105" customFormat="false" ht="15" hidden="false" customHeight="false" outlineLevel="0" collapsed="false">
      <c r="A105" s="11" t="s">
        <v>833</v>
      </c>
      <c r="B105" s="5" t="s">
        <v>834</v>
      </c>
      <c r="C105" s="5" t="s">
        <v>835</v>
      </c>
    </row>
    <row r="106" customFormat="false" ht="15" hidden="false" customHeight="false" outlineLevel="0" collapsed="false">
      <c r="A106" s="11" t="s">
        <v>836</v>
      </c>
      <c r="B106" s="5" t="s">
        <v>837</v>
      </c>
      <c r="C106" s="5" t="s">
        <v>838</v>
      </c>
    </row>
    <row r="107" customFormat="false" ht="22.35" hidden="false" customHeight="false" outlineLevel="0" collapsed="false">
      <c r="A107" s="11" t="s">
        <v>839</v>
      </c>
      <c r="B107" s="5" t="s">
        <v>840</v>
      </c>
      <c r="C107" s="5" t="s">
        <v>841</v>
      </c>
    </row>
    <row r="108" customFormat="false" ht="15" hidden="false" customHeight="false" outlineLevel="0" collapsed="false">
      <c r="A108" s="11" t="s">
        <v>842</v>
      </c>
      <c r="B108" s="5" t="s">
        <v>843</v>
      </c>
      <c r="C108" s="5" t="s">
        <v>844</v>
      </c>
    </row>
    <row r="110" customFormat="false" ht="15" hidden="false" customHeight="false" outlineLevel="0" collapsed="false">
      <c r="A110" s="25" t="s">
        <v>845</v>
      </c>
    </row>
    <row r="111" customFormat="false" ht="15" hidden="false" customHeight="false" outlineLevel="0" collapsed="false">
      <c r="A111" s="11" t="s">
        <v>846</v>
      </c>
      <c r="B111" s="5" t="s">
        <v>847</v>
      </c>
      <c r="C111" s="5" t="s">
        <v>848</v>
      </c>
    </row>
    <row r="112" customFormat="false" ht="15" hidden="false" customHeight="false" outlineLevel="0" collapsed="false">
      <c r="A112" s="11" t="s">
        <v>849</v>
      </c>
      <c r="B112" s="5" t="s">
        <v>850</v>
      </c>
      <c r="C112" s="5" t="s">
        <v>851</v>
      </c>
    </row>
    <row r="113" customFormat="false" ht="15" hidden="false" customHeight="false" outlineLevel="0" collapsed="false">
      <c r="A113" s="11" t="s">
        <v>852</v>
      </c>
      <c r="B113" s="5" t="s">
        <v>853</v>
      </c>
      <c r="C113" s="5" t="s">
        <v>854</v>
      </c>
    </row>
    <row r="114" customFormat="false" ht="15" hidden="false" customHeight="false" outlineLevel="0" collapsed="false">
      <c r="A114" s="11" t="s">
        <v>855</v>
      </c>
      <c r="B114" s="5" t="s">
        <v>856</v>
      </c>
      <c r="C114" s="5" t="s">
        <v>857</v>
      </c>
    </row>
    <row r="115" customFormat="false" ht="22.35" hidden="false" customHeight="false" outlineLevel="0" collapsed="false">
      <c r="A115" s="11" t="s">
        <v>858</v>
      </c>
      <c r="B115" s="5" t="s">
        <v>859</v>
      </c>
      <c r="C115" s="5" t="s">
        <v>860</v>
      </c>
    </row>
    <row r="116" customFormat="false" ht="15" hidden="false" customHeight="false" outlineLevel="0" collapsed="false">
      <c r="A116" s="11" t="s">
        <v>861</v>
      </c>
      <c r="B116" s="5" t="s">
        <v>862</v>
      </c>
      <c r="C116" s="5" t="s">
        <v>863</v>
      </c>
    </row>
    <row r="117" customFormat="false" ht="15" hidden="false" customHeight="false" outlineLevel="0" collapsed="false">
      <c r="A117" s="11" t="s">
        <v>864</v>
      </c>
      <c r="B117" s="5" t="s">
        <v>865</v>
      </c>
      <c r="C117" s="5" t="s">
        <v>866</v>
      </c>
    </row>
    <row r="118" customFormat="false" ht="15" hidden="false" customHeight="false" outlineLevel="0" collapsed="false">
      <c r="A118" s="11" t="s">
        <v>867</v>
      </c>
      <c r="B118" s="5" t="s">
        <v>868</v>
      </c>
      <c r="C118" s="5" t="s">
        <v>869</v>
      </c>
    </row>
    <row r="119" customFormat="false" ht="22.35" hidden="false" customHeight="false" outlineLevel="0" collapsed="false">
      <c r="A119" s="11" t="s">
        <v>870</v>
      </c>
      <c r="B119" s="5" t="s">
        <v>871</v>
      </c>
      <c r="C119" s="5" t="s">
        <v>872</v>
      </c>
    </row>
    <row r="120" customFormat="false" ht="22.35" hidden="false" customHeight="false" outlineLevel="0" collapsed="false">
      <c r="A120" s="11" t="s">
        <v>123</v>
      </c>
      <c r="B120" s="5" t="s">
        <v>873</v>
      </c>
      <c r="C120" s="5" t="s">
        <v>874</v>
      </c>
    </row>
    <row r="121" customFormat="false" ht="22.35" hidden="false" customHeight="false" outlineLevel="0" collapsed="false">
      <c r="A121" s="11" t="s">
        <v>875</v>
      </c>
      <c r="B121" s="5" t="s">
        <v>876</v>
      </c>
      <c r="C121" s="5" t="s">
        <v>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2026-08-21T22:48:40Z</dcterms:created>
  <dc:creator>openpyxl</dc:creator>
  <dc:description/>
  <dc:language>en-US</dc:language>
  <cp:lastModifiedBy/>
  <dcterms:modified xsi:type="dcterms:W3CDTF">2026-08-24T17:25:27Z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