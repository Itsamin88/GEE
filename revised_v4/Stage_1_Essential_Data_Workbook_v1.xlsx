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hort_Tracker" sheetId="2" state="visible" r:id="rId2"/>
    <sheet xmlns:r="http://schemas.openxmlformats.org/officeDocument/2006/relationships" name="Community_Register" sheetId="3" state="visible" r:id="rId3"/>
    <sheet xmlns:r="http://schemas.openxmlformats.org/officeDocument/2006/relationships" name="Onset_Register" sheetId="4" state="visible" r:id="rId4"/>
    <sheet xmlns:r="http://schemas.openxmlformats.org/officeDocument/2006/relationships" name="Polygon_Geometry" sheetId="5" state="visible" r:id="rId5"/>
    <sheet xmlns:r="http://schemas.openxmlformats.org/officeDocument/2006/relationships" name="Source_Index" sheetId="6" state="visible" r:id="rId6"/>
    <sheet xmlns:r="http://schemas.openxmlformats.org/officeDocument/2006/relationships" name="Source_Set" sheetId="7" state="visible" r:id="rId7"/>
    <sheet xmlns:r="http://schemas.openxmlformats.org/officeDocument/2006/relationships" name="Search_Log" sheetId="8" state="visible" r:id="rId8"/>
    <sheet xmlns:r="http://schemas.openxmlformats.org/officeDocument/2006/relationships" name="Disagreement_Log" sheetId="9" state="visible" r:id="rId9"/>
    <sheet xmlns:r="http://schemas.openxmlformats.org/officeDocument/2006/relationships" name="Reliability_Report" sheetId="10" state="visible" r:id="rId10"/>
    <sheet xmlns:r="http://schemas.openxmlformats.org/officeDocument/2006/relationships" name="Enquiry_Record" sheetId="11" state="visible" r:id="rId11"/>
    <sheet xmlns:r="http://schemas.openxmlformats.org/officeDocument/2006/relationships" name="Definitions_And_Freeze" sheetId="12" state="visible" r:id="rId12"/>
    <sheet xmlns:r="http://schemas.openxmlformats.org/officeDocument/2006/relationships" name="Calibration" sheetId="13" state="visible" r:id="rId13"/>
    <sheet xmlns:r="http://schemas.openxmlformats.org/officeDocument/2006/relationships" name="Decision_Log" sheetId="14" state="visible" r:id="rId14"/>
    <sheet xmlns:r="http://schemas.openxmlformats.org/officeDocument/2006/relationships" name="Reference_Codes" sheetId="15" state="visible" r:id="rId15"/>
  </sheets>
  <definedNames>
    <definedName name="_xlnm._FilterDatabase" localSheetId="2" hidden="1">'Community_Register'!$A$1:$BC$1</definedName>
    <definedName name="_xlnm._FilterDatabase" localSheetId="3" hidden="1">'Onset_Register'!$A$1:$U$1</definedName>
    <definedName name="_xlnm._FilterDatabase" localSheetId="4" hidden="1">'Polygon_Geometry'!$A$1:$W$1</definedName>
    <definedName name="_xlnm._FilterDatabase" localSheetId="5" hidden="1">'Source_Index'!$A$1:$Q$1</definedName>
    <definedName name="_xlnm._FilterDatabase" localSheetId="6" hidden="1">'Source_Set'!$A$1:$Q$1</definedName>
    <definedName name="_xlnm._FilterDatabase" localSheetId="7" hidden="1">'Search_Log'!$A$1:$L$1</definedName>
    <definedName name="_xlnm._FilterDatabase" localSheetId="8" hidden="1">'Disagreement_Log'!$A$1:$N$1</definedName>
    <definedName name="_xlnm._FilterDatabase" localSheetId="9" hidden="1">'Reliability_Report'!$A$1:$P$1</definedName>
    <definedName name="_xlnm._FilterDatabase" localSheetId="10" hidden="1">'Enquiry_Record'!$A$1:$S$1</definedName>
    <definedName name="_xlnm._FilterDatabase" localSheetId="11" hidden="1">'Definitions_And_Freeze'!$A$1:$K$1</definedName>
    <definedName name="_xlnm._FilterDatabase" localSheetId="12" hidden="1">'Calibration'!$A$1:$L$1</definedName>
    <definedName name="_xlnm._FilterDatabase" localSheetId="13" hidden="1">'Decision_Log'!$A$1:$L$1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B4D"/>
      <sz val="13"/>
    </font>
    <font>
      <i val="1"/>
      <color rgb="005A6B7A"/>
      <sz val="9"/>
    </font>
    <font>
      <b val="1"/>
      <color rgb="001F3B4D"/>
      <sz val="10"/>
    </font>
    <font>
      <b val="1"/>
      <sz val="9"/>
    </font>
    <font>
      <sz val="9"/>
    </font>
    <font>
      <b val="1"/>
      <color rgb="00FFFFFF"/>
      <sz val="10"/>
    </font>
  </fonts>
  <fills count="6">
    <fill>
      <patternFill/>
    </fill>
    <fill>
      <patternFill patternType="gray125"/>
    </fill>
    <fill>
      <patternFill patternType="solid">
        <fgColor rgb="00E3ECF2"/>
      </patternFill>
    </fill>
    <fill>
      <patternFill patternType="solid">
        <fgColor rgb="001F3B4D"/>
      </patternFill>
    </fill>
    <fill>
      <patternFill patternType="solid">
        <fgColor rgb="00EDF3F7"/>
      </patternFill>
    </fill>
    <fill>
      <patternFill patternType="solid">
        <fgColor rgb="00FFF3C4"/>
      </patternFill>
    </fill>
  </fills>
  <borders count="3">
    <border>
      <left/>
      <right/>
      <top/>
      <bottom/>
      <diagonal/>
    </border>
    <border>
      <bottom style="thin">
        <color rgb="00C8D4DC"/>
      </bottom>
    </border>
    <border>
      <left style="medium"/>
      <right style="medium"/>
      <top style="medium"/>
      <bottom style="mediu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5" fillId="0" borderId="0" applyAlignment="1" pivotButton="0" quotePrefix="0" xfId="0">
      <alignment vertical="top" wrapText="1"/>
    </xf>
    <xf numFmtId="0" fontId="5" fillId="0" borderId="0" pivotButton="0" quotePrefix="0" xfId="0"/>
    <xf numFmtId="0" fontId="6" fillId="3" borderId="0" pivotButton="0" quotePrefix="0" xfId="0"/>
    <xf numFmtId="0" fontId="6" fillId="3" borderId="1" applyAlignment="1" pivotButton="0" quotePrefix="0" xfId="0">
      <alignment vertical="center" wrapText="1"/>
    </xf>
    <xf numFmtId="0" fontId="3" fillId="0" borderId="0" pivotButton="0" quotePrefix="0" xfId="0"/>
    <xf numFmtId="0" fontId="0" fillId="4" borderId="0" pivotButton="0" quotePrefix="0" xfId="0"/>
    <xf numFmtId="0" fontId="2" fillId="0" borderId="0" applyAlignment="1" pivotButton="0" quotePrefix="0" xfId="0">
      <alignment vertical="top" wrapText="1"/>
    </xf>
    <xf numFmtId="0" fontId="5" fillId="4" borderId="0" pivotButton="0" quotePrefix="0" xfId="0"/>
    <xf numFmtId="0" fontId="3" fillId="0" borderId="0" applyAlignment="1" pivotButton="0" quotePrefix="0" xfId="0">
      <alignment vertical="top" wrapText="1"/>
    </xf>
    <xf numFmtId="0" fontId="2"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40" customWidth="1" min="1" max="1"/>
    <col width="104" customWidth="1" min="2" max="2"/>
    <col width="22" customWidth="1" min="3" max="3"/>
  </cols>
  <sheetData>
    <row r="1">
      <c r="A1" s="1" t="inlineStr">
        <is>
          <t>STAGE 1 — ESSENTIAL DATA WORKBOOK</t>
        </is>
      </c>
    </row>
    <row r="2">
      <c r="A2" s="2" t="inlineStr">
        <is>
          <t>Version 1.0 · aligned to THE_SIMPLIFIED_PLAN_v4.0 and WEB_SEARCH_FIELD_REGISTER_AND_CHATGPT_PROMPT_v3.0</t>
        </is>
      </c>
    </row>
    <row r="4">
      <c r="A4" s="3" t="inlineStr">
        <is>
          <t>WHAT THIS WORKBOOK IS</t>
        </is>
      </c>
      <c r="B4" s="4" t="n"/>
      <c r="C4" s="4" t="n"/>
    </row>
    <row r="5">
      <c r="A5" s="5" t="inlineStr">
        <is>
          <t>Purpose</t>
        </is>
      </c>
      <c r="B5" s="6" t="inlineStr">
        <is>
          <t>Stage 1 produces two things: the ESSENTIAL DOCUMENTARY DATA the rest of the study consumes, and the MEASUREMENT GEOMETRY the whole study is measured over. Nothing else. Every column here has a named downstream consumer in the plan; a column with no consumer was deleted rather than kept for completeness.</t>
        </is>
      </c>
    </row>
    <row r="6">
      <c r="A6" s="5" t="inlineStr">
        <is>
          <t>What it replaces</t>
        </is>
      </c>
      <c r="B6" s="6" t="inlineStr">
        <is>
          <t>Stage_1_Documentary_Coding_Workbook_v6. That workbook is preserved unchanged. This one is rebuilt from scratch, not edited: the practice-code sheets are absent rather than hidden, and no practice column, dropdown, formula or named range survives anywhere in this file.</t>
        </is>
      </c>
    </row>
    <row r="7">
      <c r="A7" s="5" t="inlineStr">
        <is>
          <t>What was removed and why</t>
        </is>
      </c>
      <c r="B7" s="6" t="inlineStr">
        <is>
          <t>Documentary practice codes (the thirteen pc* codes), the practice matrix, the practice evidence sheet and the claim-to-signature map are gone. Practice-level documentary information could not be established with sufficient completeness, consistency or independent verification across 212 communities to support quantitative inference. See DECISION_MEMO.md.</t>
        </is>
      </c>
    </row>
    <row r="9">
      <c r="A9" s="3" t="inlineStr">
        <is>
          <t>THE ONE RULE</t>
        </is>
      </c>
      <c r="B9" s="4" t="n"/>
      <c r="C9" s="4" t="n"/>
    </row>
    <row r="10">
      <c r="A10" s="5" t="inlineStr">
        <is>
          <t>You are recording what sources SAY</t>
        </is>
      </c>
      <c r="B10" s="6" t="inlineStr">
        <is>
          <t>You are documenting what communities say, what independent sources say, and what can be established historically. You are NOT assessing ecological performance — the satellite pipeline does that, later, and it must not be influenced by anything here.</t>
        </is>
      </c>
    </row>
    <row r="11">
      <c r="A11" s="5" t="inlineStr">
        <is>
          <t>Blindness</t>
        </is>
      </c>
      <c r="B11" s="6" t="inlineStr">
        <is>
          <t>Do not view satellite metrics, index values or any outcome data while coding or drawing. Historical high-resolution imagery is permitted and required for the polygon; derived vegetation quantities are not.</t>
        </is>
      </c>
    </row>
    <row r="12">
      <c r="A12" s="5" t="inlineStr">
        <is>
          <t>Boundary with Stage 2</t>
        </is>
      </c>
      <c r="B12" s="6" t="inlineStr">
        <is>
          <t>Stage 1 produces coded facts. Stage 2 consumes them to build the matched control sample. Never record an eligibility decision here that Stage 2 should be making.</t>
        </is>
      </c>
    </row>
    <row r="14">
      <c r="A14" s="3" t="inlineStr">
        <is>
          <t>SHEETS, AND WHAT EACH OWNS</t>
        </is>
      </c>
      <c r="B14" s="4" t="n"/>
      <c r="C14" s="4" t="n"/>
    </row>
    <row r="15">
      <c r="A15" s="5" t="inlineStr">
        <is>
          <t>Community_Register</t>
        </is>
      </c>
      <c r="B15" s="6" t="inlineStr">
        <is>
          <t>OWNS identity, eligibility, population, the documentary area figures, the five evidence channels, status, context and crawl provenance.</t>
        </is>
      </c>
    </row>
    <row r="16">
      <c r="A16" s="5" t="inlineStr">
        <is>
          <t>Onset_Register</t>
        </is>
      </c>
      <c r="B16" s="6" t="inlineStr">
        <is>
          <t>OWNS every onset field and cohort candidacy. The priority block.</t>
        </is>
      </c>
    </row>
    <row r="17">
      <c r="A17" s="5" t="inlineStr">
        <is>
          <t>Polygon_Geometry</t>
        </is>
      </c>
      <c r="B17" s="6" t="inlineStr">
        <is>
          <t>OWNS the drawn polygon and its reliability. READS the documentary area from Community_Register to compute the agreement tier.</t>
        </is>
      </c>
    </row>
    <row r="18">
      <c r="A18" s="5" t="inlineStr">
        <is>
          <t>Source_Index</t>
        </is>
      </c>
      <c r="B18" s="6" t="inlineStr">
        <is>
          <t>One row per source, with its independence group and a mandatory verified_resolves check.</t>
        </is>
      </c>
    </row>
    <row r="19">
      <c r="A19" s="5" t="inlineStr">
        <is>
          <t>Source_Set</t>
        </is>
      </c>
      <c r="B19" s="6" t="inlineStr">
        <is>
          <t>One row per web address per community.</t>
        </is>
      </c>
    </row>
    <row r="20">
      <c r="A20" s="5" t="inlineStr">
        <is>
          <t>Search_Log</t>
        </is>
      </c>
      <c r="B20" s="6" t="inlineStr">
        <is>
          <t>One row per database per community, INCLUDING those that returned nothing. This is where 'evidence absent' is separated from 'not looked for'.</t>
        </is>
      </c>
    </row>
    <row r="21">
      <c r="A21" s="5" t="inlineStr">
        <is>
          <t>Disagreement_Log</t>
        </is>
      </c>
      <c r="B21" s="6" t="inlineStr">
        <is>
          <t>Every double-coding disagreement and how it was resolved.</t>
        </is>
      </c>
    </row>
    <row r="22">
      <c r="A22" s="5" t="inlineStr">
        <is>
          <t>Reliability_Report</t>
        </is>
      </c>
      <c r="B22" s="6" t="inlineStr">
        <is>
          <t>Agreement per variable. Pre-filled with the fourteen variables the plan requires.</t>
        </is>
      </c>
    </row>
    <row r="23">
      <c r="A23" s="5" t="inlineStr">
        <is>
          <t>Enquiry_Record</t>
        </is>
      </c>
      <c r="B23" s="6" t="inlineStr">
        <is>
          <t>Only if you contact communities. Consent and ethics reference.</t>
        </is>
      </c>
    </row>
    <row r="24">
      <c r="A24" s="5" t="inlineStr">
        <is>
          <t>Definitions_And_Freeze</t>
        </is>
      </c>
      <c r="B24" s="6" t="inlineStr">
        <is>
          <t>The definitions and agreement thresholds for every judgement-bearing variable, with ONE freeze date. Replaces the practice codebook.</t>
        </is>
      </c>
    </row>
    <row r="25">
      <c r="A25" s="5" t="inlineStr">
        <is>
          <t>Calibration</t>
        </is>
      </c>
      <c r="B25" s="6" t="inlineStr">
        <is>
          <t>A coder proceeds to production only after meeting the threshold.</t>
        </is>
      </c>
    </row>
    <row r="26">
      <c r="A26" s="5" t="inlineStr">
        <is>
          <t>Decision_Log</t>
        </is>
      </c>
      <c r="B26" s="6" t="inlineStr">
        <is>
          <t>Appendix A of the plan. One row per decision, with a date.</t>
        </is>
      </c>
    </row>
    <row r="27">
      <c r="A27" s="5" t="inlineStr">
        <is>
          <t>Cohort_Tracker</t>
        </is>
      </c>
      <c r="B27" s="6" t="inlineStr">
        <is>
          <t>Decision D4, computed live.</t>
        </is>
      </c>
    </row>
    <row r="28">
      <c r="A28" s="5" t="inlineStr">
        <is>
          <t>Reference_Codes</t>
        </is>
      </c>
      <c r="B28" s="6" t="inlineStr">
        <is>
          <t>The full vocabulary with the rule behind each value, and the list of quantities that must NEVER be searched for.</t>
        </is>
      </c>
    </row>
    <row r="30">
      <c r="A30" s="3" t="inlineStr">
        <is>
          <t>HOW TO USE IT</t>
        </is>
      </c>
      <c r="B30" s="4" t="n"/>
      <c r="C30" s="4" t="n"/>
    </row>
    <row r="31">
      <c r="A31" s="5" t="inlineStr">
        <is>
          <t>Dark header row</t>
        </is>
      </c>
      <c r="B31" s="6" t="inlineStr">
        <is>
          <t>Every sheet has one, with an auto-filter. Type beneath it.</t>
        </is>
      </c>
    </row>
    <row r="32">
      <c r="A32" s="5" t="inlineStr">
        <is>
          <t>Pale blue cells</t>
        </is>
      </c>
      <c r="B32" s="6" t="inlineStr">
        <is>
          <t>Computed. They contain formulas. Do not type into them — a typed value there is a second authoritative entry point and the two will drift.</t>
        </is>
      </c>
    </row>
    <row r="33">
      <c r="A33" s="5" t="inlineStr">
        <is>
          <t>Yellow cells</t>
        </is>
      </c>
      <c r="B33" s="6" t="inlineStr">
        <is>
          <t>You must fill them: the freeze date on Definitions_And_Freeze.</t>
        </is>
      </c>
    </row>
    <row r="34">
      <c r="A34" s="5" t="inlineStr">
        <is>
          <t>Dropdowns</t>
        </is>
      </c>
      <c r="B34" s="6" t="inlineStr">
        <is>
          <t>Every controlled-vocabulary column has one. Use it. 'Evidenced' and 'evidenced' are different strings and will corrupt every count.</t>
        </is>
      </c>
    </row>
    <row r="35">
      <c r="A35" s="5" t="inlineStr">
        <is>
          <t>No example rows</t>
        </is>
      </c>
      <c r="B35" s="6" t="inlineStr">
        <is>
          <t>Row 2 is empty and ready. The format is in Reference_Codes and in Definitions_And_Freeze, so there is no example row to forget to delete.</t>
        </is>
      </c>
    </row>
    <row r="37">
      <c r="A37" s="3" t="inlineStr">
        <is>
          <t>SEQUENCE — do not start at IC001</t>
        </is>
      </c>
      <c r="B37" s="4" t="n"/>
      <c r="C37" s="4" t="n"/>
    </row>
    <row r="38">
      <c r="A38" s="5" t="inlineStr">
        <is>
          <t>1  Freeze</t>
        </is>
      </c>
      <c r="B38" s="6" t="inlineStr">
        <is>
          <t>Complete Definitions_And_Freeze, confirm every agreement threshold, and enter the freeze date. After that date the definitions may not change; a later change means the affected variable is re-coded IN FULL.</t>
        </is>
      </c>
    </row>
    <row r="39">
      <c r="A39" s="5" t="inlineStr">
        <is>
          <t>2  Design</t>
        </is>
      </c>
      <c r="B39" s="6" t="inlineStr">
        <is>
          <t>Draw the 20 per cent double-coding subsample with a recorded seed, stratified by region and expected evidence tier. Record the seed in Decision_Log.</t>
        </is>
      </c>
    </row>
    <row r="40">
      <c r="A40" s="5" t="inlineStr">
        <is>
          <t>3  Calibrate</t>
        </is>
      </c>
      <c r="B40" s="6" t="inlineStr">
        <is>
          <t>Train on communities NOT in the study sample. Record in Calibration. Proceed only after meeting the declared threshold.</t>
        </is>
      </c>
    </row>
    <row r="41">
      <c r="A41" s="5" t="inlineStr">
        <is>
          <t>4  Code</t>
        </is>
      </c>
      <c r="B41" s="6" t="inlineStr">
        <is>
          <t>Fill Source_Set for a community before coding it, so you know what you are working from. Then Community_Register and Onset_Register.</t>
        </is>
      </c>
    </row>
    <row r="42">
      <c r="A42" s="5" t="inlineStr">
        <is>
          <t>5  Draw</t>
        </is>
      </c>
      <c r="B42" s="6" t="inlineStr">
        <is>
          <t>Draw the polygon at every settlement, from STRUCTURE and never from colour. Translate it onto all three controls. Record in Polygon_Geometry.</t>
        </is>
      </c>
    </row>
    <row r="43">
      <c r="A43" s="5" t="inlineStr">
        <is>
          <t>6  Decide</t>
        </is>
      </c>
      <c r="B43" s="6" t="inlineStr">
        <is>
          <t>At community 100, read Cohort_Tracker and make decision D4.</t>
        </is>
      </c>
    </row>
    <row r="44">
      <c r="A44" s="5" t="inlineStr">
        <is>
          <t>7  Close</t>
        </is>
      </c>
      <c r="B44" s="6" t="inlineStr">
        <is>
          <t>Re-code the 20 per cent after at least four weeks. Compute reliability PER VARIABLE. Freeze and version the dataset.</t>
        </is>
      </c>
    </row>
    <row r="46">
      <c r="A46" s="3" t="inlineStr">
        <is>
          <t>SEVEN RULES MOST OFTEN BROKEN</t>
        </is>
      </c>
      <c r="B46" s="4" t="n"/>
      <c r="C46" s="4" t="n"/>
    </row>
    <row r="47">
      <c r="A47" s="5" t="inlineStr">
        <is>
          <t>Founding year is not onset</t>
        </is>
      </c>
      <c r="B47" s="6" t="inlineStr">
        <is>
          <t>A community founded in 1985 that began ecological work in 1992 has an onset of 1992. Record both.</t>
        </is>
      </c>
    </row>
    <row r="48">
      <c r="A48" s="5" t="inlineStr">
        <is>
          <t>Managed area is not total holding</t>
        </is>
      </c>
      <c r="B48" s="6" t="inlineStr">
        <is>
          <t>A community holding 200 ha and working 15 ha has a managed area of 15 ha. Record both, separately.</t>
        </is>
      </c>
    </row>
    <row r="49">
      <c r="A49" s="5" t="inlineStr">
        <is>
          <t>Unknown is not dissolved</t>
        </is>
      </c>
      <c r="B49" s="6" t="inlineStr">
        <is>
          <t>A vanished website is not a vanished community. Dissolution requires POSITIVE evidence.</t>
        </is>
      </c>
    </row>
    <row r="50">
      <c r="A50" s="5" t="inlineStr">
        <is>
          <t>Absence of evidence is not evidence of absence</t>
        </is>
      </c>
      <c r="B50" s="6" t="inlineStr">
        <is>
          <t>A field left as 'not found' after an exhaustive search and a field left as 'not found' because the run was truncated look identical. crawl_truncated is what tells them apart. Fill it honestly.</t>
        </is>
      </c>
    </row>
    <row r="51">
      <c r="A51" s="5" t="inlineStr">
        <is>
          <t>A copy is not a second source</t>
        </is>
      </c>
      <c r="B51" s="6" t="inlineStr">
        <is>
          <t>Four addresses belonging to one community are one voice. Corroboration counts independence GROUPS, never URLs.</t>
        </is>
      </c>
    </row>
    <row r="52">
      <c r="A52" s="5" t="inlineStr">
        <is>
          <t>Trace structure, never colour</t>
        </is>
      </c>
      <c r="B52" s="6" t="inlineStr">
        <is>
          <t>When drawing a polygon use field edges, tracks, terraces and changes in field pattern. Never greenness. A drawing bias does not cancel between the two arms, because the control polygon is a translation of the settlement's.</t>
        </is>
      </c>
    </row>
    <row r="53">
      <c r="A53" s="5" t="inlineStr">
        <is>
          <t>The evidence tier is not a performance score</t>
        </is>
      </c>
      <c r="B53" s="6" t="inlineStr">
        <is>
          <t>evidence_tier records how well documented a community is. It does not record how much ecological work it does, and it must never be reported or interpreted as if it did.</t>
        </is>
      </c>
    </row>
    <row r="55">
      <c r="A55" s="3" t="inlineStr">
        <is>
          <t>PROGRESS</t>
        </is>
      </c>
      <c r="B55" s="4" t="n"/>
      <c r="C55" s="4" t="n"/>
    </row>
    <row r="56">
      <c r="A56" s="5" t="inlineStr">
        <is>
          <t>Sheet</t>
        </is>
      </c>
      <c r="B56" s="5" t="inlineStr">
        <is>
          <t>Target</t>
        </is>
      </c>
      <c r="C56" s="5" t="inlineStr">
        <is>
          <t>Rows filled</t>
        </is>
      </c>
    </row>
    <row r="57">
      <c r="A57" s="7" t="inlineStr">
        <is>
          <t>Community_Register</t>
        </is>
      </c>
      <c r="B57" s="7" t="inlineStr">
        <is>
          <t>212 communities</t>
        </is>
      </c>
      <c r="C57">
        <f>COUNTA(Community_Register!A2:A402)</f>
        <v/>
      </c>
    </row>
    <row r="58">
      <c r="A58" s="7" t="inlineStr">
        <is>
          <t>Onset_Register</t>
        </is>
      </c>
      <c r="B58" s="7" t="inlineStr">
        <is>
          <t>212 communities</t>
        </is>
      </c>
      <c r="C58">
        <f>COUNTA(Onset_Register!A2:A402)</f>
        <v/>
      </c>
    </row>
    <row r="59">
      <c r="A59" s="7" t="inlineStr">
        <is>
          <t>Polygon_Geometry</t>
        </is>
      </c>
      <c r="B59" s="7" t="inlineStr">
        <is>
          <t>212 communities</t>
        </is>
      </c>
      <c r="C59">
        <f>COUNTA(Polygon_Geometry!A2:A402)</f>
        <v/>
      </c>
    </row>
    <row r="60">
      <c r="A60" s="7" t="inlineStr">
        <is>
          <t>Source_Set</t>
        </is>
      </c>
      <c r="B60" s="7" t="inlineStr">
        <is>
          <t>as required</t>
        </is>
      </c>
      <c r="C60">
        <f>COUNTA(Source_Set!A2:A402)</f>
        <v/>
      </c>
    </row>
    <row r="61">
      <c r="A61" s="7" t="inlineStr">
        <is>
          <t>Source_Index</t>
        </is>
      </c>
      <c r="B61" s="7" t="inlineStr">
        <is>
          <t>as required</t>
        </is>
      </c>
      <c r="C61">
        <f>COUNTA(Source_Index!A2:A402)</f>
        <v/>
      </c>
    </row>
    <row r="62">
      <c r="A62" s="7" t="inlineStr">
        <is>
          <t>Search_Log</t>
        </is>
      </c>
      <c r="B62" s="7" t="inlineStr">
        <is>
          <t>as required</t>
        </is>
      </c>
      <c r="C62">
        <f>COUNTA(Search_Log!A2:A402)</f>
        <v/>
      </c>
    </row>
    <row r="63">
      <c r="A63" s="7" t="inlineStr">
        <is>
          <t>Disagreement_Log</t>
        </is>
      </c>
      <c r="B63" s="7" t="inlineStr">
        <is>
          <t>as required</t>
        </is>
      </c>
      <c r="C63">
        <f>COUNTA(Disagreement_Log!A2:A402)</f>
        <v/>
      </c>
    </row>
    <row r="65">
      <c r="B65" s="2" t="inlineStr">
        <is>
          <t>Counts read 0 until you begin and 212 when Stage 1 is complete. There is no example row to subtract.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44" customWidth="1" min="1" max="1"/>
    <col width="20" customWidth="1" min="2" max="2"/>
    <col width="88" customWidth="1" min="3" max="3"/>
  </cols>
  <sheetData>
    <row r="1">
      <c r="A1" s="1" t="inlineStr">
        <is>
          <t>LONGITUDINAL COHORT TRACKER — decision D4</t>
        </is>
      </c>
    </row>
    <row r="2">
      <c r="A2" s="2" t="inlineStr">
        <is>
          <t>Analysis A7 needs about 65 communities with onset in 2020 or 2021. Decide at community 100, not at the end.</t>
        </is>
      </c>
    </row>
    <row r="3">
      <c r="A3" s="8" t="inlineStr">
        <is>
          <t>Quantity</t>
        </is>
      </c>
      <c r="B3" s="8" t="inlineStr">
        <is>
          <t>Value</t>
        </is>
      </c>
      <c r="C3" s="8" t="inlineStr">
        <is>
          <t>What it means</t>
        </is>
      </c>
    </row>
    <row r="4">
      <c r="A4" s="7" t="inlineStr">
        <is>
          <t>Communities coded so far</t>
        </is>
      </c>
      <c r="B4">
        <f>COUNTA(Community_Register!A2:A402)</f>
        <v/>
      </c>
      <c r="C4" s="6" t="inlineStr">
        <is>
          <t>Decision D4 is taken at 100.</t>
        </is>
      </c>
    </row>
    <row r="5">
      <c r="A5" s="7" t="inlineStr">
        <is>
          <t>cohort_candidate = core (2020-2021)</t>
        </is>
      </c>
      <c r="B5">
        <f>COUNTIF(Onset_Register!Q2:Q402,"core (2020-2021)")</f>
        <v/>
      </c>
      <c r="C5" s="6" t="inlineStr">
        <is>
          <t>The pool of candidates.</t>
        </is>
      </c>
    </row>
    <row r="6">
      <c r="A6" s="7" t="inlineStr">
        <is>
          <t xml:space="preserve">  of those, confidence tier A or B</t>
        </is>
      </c>
      <c r="B6">
        <f>COUNTIFS(Onset_Register!Q2:Q402,"core (2020-2021)",Onset_Register!O2:O402,"A")+COUNTIFS(Onset_Register!Q2:Q402,"core (2020-2021)",Onset_Register!O2:O402,"B")</f>
        <v/>
      </c>
      <c r="C6" s="6" t="inlineStr">
        <is>
          <t>THE NUMBER THAT MATTERS. Tier C onsets are too uncertain to anchor a before-and-after window.</t>
        </is>
      </c>
    </row>
    <row r="7">
      <c r="A7" s="7" t="inlineStr">
        <is>
          <t>cohort_candidate = extension (2019)</t>
        </is>
      </c>
      <c r="B7">
        <f>COUNTIF(Onset_Register!Q2:Q402,"extension (2019)")</f>
        <v/>
      </c>
      <c r="C7" s="6" t="inlineStr">
        <is>
          <t>Usable if the core falls short — costs one pre-onset year.</t>
        </is>
      </c>
    </row>
    <row r="8">
      <c r="A8" s="7" t="inlineStr">
        <is>
          <t>cohort_candidate = uncertain</t>
        </is>
      </c>
      <c r="B8">
        <f>COUNTIF(Onset_Register!Q2:Q402,"uncertain")</f>
        <v/>
      </c>
      <c r="C8" s="6" t="inlineStr">
        <is>
          <t>Resolve these before deciding.</t>
        </is>
      </c>
    </row>
    <row r="9">
      <c r="A9" s="5" t="inlineStr">
        <is>
          <t>DECISION D4 STATUS</t>
        </is>
      </c>
      <c r="B9">
        <f>IF(COUNTA(Community_Register!A2:A402)&lt;100,"KEEP CODING — decide at community 100",IF($B$6&gt;=50,"PROCEED — the component is well worth its four to six weeks",IF($B$6&gt;=40,"PROCEED BUT REPORT AS EXPLORATORY","DROP THE COMPONENT — an underpowered before-and-after test does more harm than omitting it")))</f>
        <v/>
      </c>
      <c r="C9" s="6" t="inlineStr">
        <is>
          <t>Thresholds from the plan: counted on core AND tier A or B. Above 50 proceed; 40 to 50 proceed but report as exploratory; below 40 drop the component.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4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18" customWidth="1" min="4" max="4"/>
    <col width="18" customWidth="1" min="5" max="5"/>
    <col width="11" customWidth="1" min="6" max="6"/>
    <col width="11" customWidth="1" min="7" max="7"/>
    <col width="18" customWidth="1" min="8" max="8"/>
    <col width="18" customWidth="1" min="9" max="9"/>
    <col width="18" customWidth="1" min="10" max="10"/>
    <col width="34" customWidth="1" min="11" max="11"/>
    <col width="18" customWidth="1" min="12" max="12"/>
    <col width="34"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29" customWidth="1" min="23" max="23"/>
    <col width="34" customWidth="1" min="24" max="24"/>
    <col width="18" customWidth="1" min="25" max="25"/>
    <col width="18" customWidth="1" min="26" max="26"/>
    <col width="18" customWidth="1" min="27" max="27"/>
    <col width="18" customWidth="1" min="28" max="28"/>
    <col width="29" customWidth="1" min="29" max="29"/>
    <col width="30" customWidth="1" min="30" max="30"/>
    <col width="18" customWidth="1" min="31" max="31"/>
    <col width="18" customWidth="1" min="32" max="32"/>
    <col width="18" customWidth="1" min="33" max="33"/>
    <col width="18" customWidth="1" min="34" max="34"/>
    <col width="18" customWidth="1" min="35" max="35"/>
    <col width="30" customWidth="1" min="36" max="36"/>
    <col width="18" customWidth="1" min="37" max="37"/>
    <col width="18" customWidth="1" min="38" max="38"/>
    <col width="18" customWidth="1" min="39" max="39"/>
    <col width="30" customWidth="1" min="40" max="40"/>
    <col width="18" customWidth="1" min="41" max="41"/>
    <col width="28" customWidth="1" min="42" max="42"/>
    <col width="18" customWidth="1" min="43" max="43"/>
    <col width="18" customWidth="1" min="44" max="44"/>
    <col width="18" customWidth="1" min="45" max="45"/>
    <col width="18" customWidth="1" min="46" max="46"/>
    <col width="34"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40" customWidth="1" min="55" max="55"/>
    <col width="96" customWidth="1" min="57" max="57"/>
  </cols>
  <sheetData>
    <row r="1" ht="30" customHeight="1">
      <c r="A1" s="9" t="inlineStr">
        <is>
          <t>site_id</t>
        </is>
      </c>
      <c r="B1" s="9" t="inlineStr">
        <is>
          <t>community_name_official</t>
        </is>
      </c>
      <c r="C1" s="9" t="inlineStr">
        <is>
          <t>alternative_names</t>
        </is>
      </c>
      <c r="D1" s="9" t="inlineStr">
        <is>
          <t>country</t>
        </is>
      </c>
      <c r="E1" s="9" t="inlineStr">
        <is>
          <t>admin_region</t>
        </is>
      </c>
      <c r="F1" s="9" t="inlineStr">
        <is>
          <t>latitude</t>
        </is>
      </c>
      <c r="G1" s="9" t="inlineStr">
        <is>
          <t>longitude</t>
        </is>
      </c>
      <c r="H1" s="9" t="inlineStr">
        <is>
          <t>coordinate_agreement</t>
        </is>
      </c>
      <c r="I1" s="9" t="inlineStr">
        <is>
          <t>e1_network_listing</t>
        </is>
      </c>
      <c r="J1" s="9" t="inlineStr">
        <is>
          <t>e1_pathway</t>
        </is>
      </c>
      <c r="K1" s="9" t="inlineStr">
        <is>
          <t>e1_self_identification</t>
        </is>
      </c>
      <c r="L1" s="9" t="inlineStr">
        <is>
          <t>e2_settlement_type</t>
        </is>
      </c>
      <c r="M1" s="9" t="inlineStr">
        <is>
          <t>e2_evidence_note</t>
        </is>
      </c>
      <c r="N1" s="9" t="inlineStr">
        <is>
          <t>e8_setting_at_onset</t>
        </is>
      </c>
      <c r="O1" s="9" t="inlineStr">
        <is>
          <t>population_value</t>
        </is>
      </c>
      <c r="P1" s="9" t="inlineStr">
        <is>
          <t>population_lower</t>
        </is>
      </c>
      <c r="Q1" s="9" t="inlineStr">
        <is>
          <t>population_upper</t>
        </is>
      </c>
      <c r="R1" s="9" t="inlineStr">
        <is>
          <t>population_source_date</t>
        </is>
      </c>
      <c r="S1" s="9" t="inlineStr">
        <is>
          <t>managed_area_ha</t>
        </is>
      </c>
      <c r="T1" s="9" t="inlineStr">
        <is>
          <t>managed_area_lower_ha</t>
        </is>
      </c>
      <c r="U1" s="9" t="inlineStr">
        <is>
          <t>managed_area_upper_ha</t>
        </is>
      </c>
      <c r="V1" s="9" t="inlineStr">
        <is>
          <t>managed_area_basis</t>
        </is>
      </c>
      <c r="W1" s="9" t="inlineStr">
        <is>
          <t>managed_area_source_class</t>
        </is>
      </c>
      <c r="X1" s="9" t="inlineStr">
        <is>
          <t>documentary_area_note</t>
        </is>
      </c>
      <c r="Y1" s="9" t="inlineStr">
        <is>
          <t>total_holding_ha</t>
        </is>
      </c>
      <c r="Z1" s="9" t="inlineStr">
        <is>
          <t>area_type</t>
        </is>
      </c>
      <c r="AA1" s="9" t="inlineStr">
        <is>
          <t>parcel_structure</t>
        </is>
      </c>
      <c r="AB1" s="9" t="inlineStr">
        <is>
          <t>v1_self_documentation</t>
        </is>
      </c>
      <c r="AC1" s="9" t="inlineStr">
        <is>
          <t>v2_external_documentation</t>
        </is>
      </c>
      <c r="AD1" s="9" t="inlineStr">
        <is>
          <t>v3_substantive_affiliation</t>
        </is>
      </c>
      <c r="AE1" s="9" t="inlineStr">
        <is>
          <t>v4_visual_documentation</t>
        </is>
      </c>
      <c r="AF1" s="9" t="inlineStr">
        <is>
          <t>v5_continuity_evidence</t>
        </is>
      </c>
      <c r="AG1" s="9" t="inlineStr">
        <is>
          <t>channel_count</t>
        </is>
      </c>
      <c r="AH1" s="9" t="inlineStr">
        <is>
          <t>evidence_tier</t>
        </is>
      </c>
      <c r="AI1" s="9" t="inlineStr">
        <is>
          <t>status_current</t>
        </is>
      </c>
      <c r="AJ1" s="9" t="inlineStr">
        <is>
          <t>status_evidence</t>
        </is>
      </c>
      <c r="AK1" s="9" t="inlineStr">
        <is>
          <t>last_listing_year</t>
        </is>
      </c>
      <c r="AL1" s="9" t="inlineStr">
        <is>
          <t>dissolution_year</t>
        </is>
      </c>
      <c r="AM1" s="9" t="inlineStr">
        <is>
          <t>delisting_reason</t>
        </is>
      </c>
      <c r="AN1" s="9" t="inlineStr">
        <is>
          <t>external_funding_or_programme</t>
        </is>
      </c>
      <c r="AO1" s="9" t="inlineStr">
        <is>
          <t>protected_area_status</t>
        </is>
      </c>
      <c r="AP1" s="9" t="inlineStr">
        <is>
          <t>notable_context</t>
        </is>
      </c>
      <c r="AQ1" s="9" t="inlineStr">
        <is>
          <t>pages_opened_count</t>
        </is>
      </c>
      <c r="AR1" s="9" t="inlineStr">
        <is>
          <t>documents_opened</t>
        </is>
      </c>
      <c r="AS1" s="9" t="inlineStr">
        <is>
          <t>source_classes_found</t>
        </is>
      </c>
      <c r="AT1" s="9" t="inlineStr">
        <is>
          <t>search_languages</t>
        </is>
      </c>
      <c r="AU1" s="9" t="inlineStr">
        <is>
          <t>negative_consultations</t>
        </is>
      </c>
      <c r="AV1" s="9" t="inlineStr">
        <is>
          <t>independence_groups</t>
        </is>
      </c>
      <c r="AW1" s="9" t="inlineStr">
        <is>
          <t>stages_completed</t>
        </is>
      </c>
      <c r="AX1" s="9" t="inlineStr">
        <is>
          <t>crawl_truncated</t>
        </is>
      </c>
      <c r="AY1" s="9" t="inlineStr">
        <is>
          <t>coder_id</t>
        </is>
      </c>
      <c r="AZ1" s="9" t="inlineStr">
        <is>
          <t>coding_date</t>
        </is>
      </c>
      <c r="BA1" s="9" t="inlineStr">
        <is>
          <t>double_coded</t>
        </is>
      </c>
      <c r="BB1" s="9" t="inlineStr">
        <is>
          <t>second_coder_id</t>
        </is>
      </c>
      <c r="BC1" s="9" t="inlineStr">
        <is>
          <t>notes</t>
        </is>
      </c>
      <c r="BE1" s="10" t="inlineStr">
        <is>
          <t>ONE ROW PER COMMUNITY. THE SINGLE PASTE TARGET.</t>
        </is>
      </c>
    </row>
    <row r="2">
      <c r="AG2" s="11">
        <f>IF(COUNTA(AB2:AF2)=0,"",COUNTIF(AB2:AF2,"yes"))</f>
        <v/>
      </c>
      <c r="AH2" s="11">
        <f>IF($AG2="","",IF($AG2&lt;2,"Fail",IF(OR($AC2="yes",$AD2="yes"),IF($AG2&gt;=3,"A","B"),"C")))</f>
        <v/>
      </c>
      <c r="BE2" s="12" t="inlineStr">
        <is>
          <t>Field names are identical to the web-search register v3.0, so a returned record pastes straight in.</t>
        </is>
      </c>
    </row>
    <row r="3">
      <c r="AG3" s="11">
        <f>IF(COUNTA(AB3:AF3)=0,"",COUNTIF(AB3:AF3,"yes"))</f>
        <v/>
      </c>
      <c r="AH3" s="11">
        <f>IF($AG3="","",IF($AG3&lt;2,"Fail",IF(OR($AC3="yes",$AD3="yes"),IF($AG3&gt;=3,"A","B"),"C")))</f>
        <v/>
      </c>
      <c r="BE3" s="12" t="inlineStr"/>
    </row>
    <row r="4">
      <c r="AG4" s="11">
        <f>IF(COUNTA(AB4:AF4)=0,"",COUNTIF(AB4:AF4,"yes"))</f>
        <v/>
      </c>
      <c r="AH4" s="11">
        <f>IF($AG4="","",IF($AG4&lt;2,"Fail",IF(OR($AC4="yes",$AD4="yes"),IF($AG4&gt;=3,"A","B"),"C")))</f>
        <v/>
      </c>
      <c r="BE4" s="12" t="inlineStr">
        <is>
          <t>channel_count and evidence_tier are COMPUTED from v1..v5. Do not type them. In v6 they were typed and could disagree with the channels behind them.</t>
        </is>
      </c>
    </row>
    <row r="5">
      <c r="AG5" s="11">
        <f>IF(COUNTA(AB5:AF5)=0,"",COUNTIF(AB5:AF5,"yes"))</f>
        <v/>
      </c>
      <c r="AH5" s="11">
        <f>IF($AG5="","",IF($AG5&lt;2,"Fail",IF(OR($AC5="yes",$AD5="yes"),IF($AG5&gt;=3,"A","B"),"C")))</f>
        <v/>
      </c>
      <c r="BE5" s="12" t="inlineStr"/>
    </row>
    <row r="6">
      <c r="AG6" s="11">
        <f>IF(COUNTA(AB6:AF6)=0,"",COUNTIF(AB6:AF6,"yes"))</f>
        <v/>
      </c>
      <c r="AH6" s="11">
        <f>IF($AG6="","",IF($AG6&lt;2,"Fail",IF(OR($AC6="yes",$AD6="yes"),IF($AG6&gt;=3,"A","B"),"C")))</f>
        <v/>
      </c>
      <c r="BE6" s="12" t="inlineStr">
        <is>
          <t>evidence_tier is an EVIDENCE-QUALITY variable. It records how well documented a community's ecological work is, not how much of it there is. It is used as a named confounder in analysis A4, as a sample-description variable, and behind sensitivity check SC18. It must never be reported as an ecological-performance measure, and it must never be disaggregated by KIND of activity — doing that would rebuild a practice score by another name.</t>
        </is>
      </c>
    </row>
    <row r="7">
      <c r="AG7" s="11">
        <f>IF(COUNTA(AB7:AF7)=0,"",COUNTIF(AB7:AF7,"yes"))</f>
        <v/>
      </c>
      <c r="AH7" s="11">
        <f>IF($AG7="","",IF($AG7&lt;2,"Fail",IF(OR($AC7="yes",$AD7="yes"),IF($AG7&gt;=3,"A","B"),"C")))</f>
        <v/>
      </c>
      <c r="BE7" s="12" t="inlineStr"/>
    </row>
    <row r="8">
      <c r="AG8" s="11">
        <f>IF(COUNTA(AB8:AF8)=0,"",COUNTIF(AB8:AF8,"yes"))</f>
        <v/>
      </c>
      <c r="AH8" s="11">
        <f>IF($AG8="","",IF($AG8&lt;2,"Fail",IF(OR($AC8="yes",$AD8="yes"),IF($AG8&gt;=3,"A","B"),"C")))</f>
        <v/>
      </c>
      <c r="BE8" s="12" t="inlineStr">
        <is>
          <t>The tier rule, ordered by INDEPENDENCE and then by amount: Fail = fewer than two channels; C = two or more channels but NO external one (V2, V3); B = an external channel and two channels in total; A = an external channel and three or more. v2.4 ordered by count first, which made its tier C unreachable and ranked three self-documented channels above two including a thesis.</t>
        </is>
      </c>
    </row>
    <row r="9">
      <c r="AG9" s="11">
        <f>IF(COUNTA(AB9:AF9)=0,"",COUNTIF(AB9:AF9,"yes"))</f>
        <v/>
      </c>
      <c r="AH9" s="11">
        <f>IF($AG9="","",IF($AG9&lt;2,"Fail",IF(OR($AC9="yes",$AD9="yes"),IF($AG9&gt;=3,"A","B"),"C")))</f>
        <v/>
      </c>
      <c r="BE9" s="12" t="inlineStr"/>
    </row>
    <row r="10">
      <c r="AG10" s="11">
        <f>IF(COUNTA(AB10:AF10)=0,"",COUNTIF(AB10:AF10,"yes"))</f>
        <v/>
      </c>
      <c r="AH10" s="11">
        <f>IF($AG10="","",IF($AG10&lt;2,"Fail",IF(OR($AC10="yes",$AD10="yes"),IF($AG10&gt;=3,"A","B"),"C")))</f>
        <v/>
      </c>
      <c r="BE10" s="12" t="inlineStr">
        <is>
          <t>managed_area_ha is the worked area, NEVER the total holding. Both are recorded separately. Polygon_Geometry reads managed_area_ha from column S of this sheet to compute the agreement tier; it is entered here and nowhere else.</t>
        </is>
      </c>
    </row>
    <row r="11">
      <c r="AG11" s="11">
        <f>IF(COUNTA(AB11:AF11)=0,"",COUNTIF(AB11:AF11,"yes"))</f>
        <v/>
      </c>
      <c r="AH11" s="11">
        <f>IF($AG11="","",IF($AG11&lt;2,"Fail",IF(OR($AC11="yes",$AD11="yes"),IF($AG11&gt;=3,"A","B"),"C")))</f>
        <v/>
      </c>
      <c r="BE11" s="12" t="inlineStr"/>
    </row>
    <row r="12">
      <c r="AG12" s="11">
        <f>IF(COUNTA(AB12:AF12)=0,"",COUNTIF(AB12:AF12,"yes"))</f>
        <v/>
      </c>
      <c r="AH12" s="11">
        <f>IF($AG12="","",IF($AG12&lt;2,"Fail",IF(OR($AC12="yes",$AD12="yes"),IF($AG12&gt;=3,"A","B"),"C")))</f>
        <v/>
      </c>
      <c r="BE12" s="12" t="inlineStr">
        <is>
          <t>population_value appears once. In v2.4 of the register the same quantity was collected twice, as e3_population_value and population_value, which is two authoritative entry points for one number.</t>
        </is>
      </c>
    </row>
    <row r="13">
      <c r="AG13" s="11">
        <f>IF(COUNTA(AB13:AF13)=0,"",COUNTIF(AB13:AF13,"yes"))</f>
        <v/>
      </c>
      <c r="AH13" s="11">
        <f>IF($AG13="","",IF($AG13&lt;2,"Fail",IF(OR($AC13="yes",$AD13="yes"),IF($AG13&gt;=3,"A","B"),"C")))</f>
        <v/>
      </c>
      <c r="BE13" s="12" t="inlineStr"/>
    </row>
    <row r="14">
      <c r="AG14" s="11">
        <f>IF(COUNTA(AB14:AF14)=0,"",COUNTIF(AB14:AF14,"yes"))</f>
        <v/>
      </c>
      <c r="AH14" s="11">
        <f>IF($AG14="","",IF($AG14&lt;2,"Fail",IF(OR($AC14="yes",$AD14="yes"),IF($AG14&gt;=3,"A","B"),"C")))</f>
        <v/>
      </c>
      <c r="BE14" s="12" t="inlineStr">
        <is>
          <t>crawl_truncated = yes is not a failure. A truncated run that says so is useful data; a truncated run that reads as a complete one is worse than no run at all.</t>
        </is>
      </c>
    </row>
    <row r="15">
      <c r="AG15" s="11">
        <f>IF(COUNTA(AB15:AF15)=0,"",COUNTIF(AB15:AF15,"yes"))</f>
        <v/>
      </c>
      <c r="AH15" s="11">
        <f>IF($AG15="","",IF($AG15&lt;2,"Fail",IF(OR($AC15="yes",$AD15="yes"),IF($AG15&gt;=3,"A","B"),"C")))</f>
        <v/>
      </c>
    </row>
    <row r="16">
      <c r="AG16" s="11">
        <f>IF(COUNTA(AB16:AF16)=0,"",COUNTIF(AB16:AF16,"yes"))</f>
        <v/>
      </c>
      <c r="AH16" s="11">
        <f>IF($AG16="","",IF($AG16&lt;2,"Fail",IF(OR($AC16="yes",$AD16="yes"),IF($AG16&gt;=3,"A","B"),"C")))</f>
        <v/>
      </c>
    </row>
    <row r="17">
      <c r="AG17" s="11">
        <f>IF(COUNTA(AB17:AF17)=0,"",COUNTIF(AB17:AF17,"yes"))</f>
        <v/>
      </c>
      <c r="AH17" s="11">
        <f>IF($AG17="","",IF($AG17&lt;2,"Fail",IF(OR($AC17="yes",$AD17="yes"),IF($AG17&gt;=3,"A","B"),"C")))</f>
        <v/>
      </c>
    </row>
    <row r="18">
      <c r="AG18" s="11">
        <f>IF(COUNTA(AB18:AF18)=0,"",COUNTIF(AB18:AF18,"yes"))</f>
        <v/>
      </c>
      <c r="AH18" s="11">
        <f>IF($AG18="","",IF($AG18&lt;2,"Fail",IF(OR($AC18="yes",$AD18="yes"),IF($AG18&gt;=3,"A","B"),"C")))</f>
        <v/>
      </c>
    </row>
    <row r="19">
      <c r="AG19" s="11">
        <f>IF(COUNTA(AB19:AF19)=0,"",COUNTIF(AB19:AF19,"yes"))</f>
        <v/>
      </c>
      <c r="AH19" s="11">
        <f>IF($AG19="","",IF($AG19&lt;2,"Fail",IF(OR($AC19="yes",$AD19="yes"),IF($AG19&gt;=3,"A","B"),"C")))</f>
        <v/>
      </c>
    </row>
    <row r="20">
      <c r="AG20" s="11">
        <f>IF(COUNTA(AB20:AF20)=0,"",COUNTIF(AB20:AF20,"yes"))</f>
        <v/>
      </c>
      <c r="AH20" s="11">
        <f>IF($AG20="","",IF($AG20&lt;2,"Fail",IF(OR($AC20="yes",$AD20="yes"),IF($AG20&gt;=3,"A","B"),"C")))</f>
        <v/>
      </c>
    </row>
    <row r="21">
      <c r="AG21" s="11">
        <f>IF(COUNTA(AB21:AF21)=0,"",COUNTIF(AB21:AF21,"yes"))</f>
        <v/>
      </c>
      <c r="AH21" s="11">
        <f>IF($AG21="","",IF($AG21&lt;2,"Fail",IF(OR($AC21="yes",$AD21="yes"),IF($AG21&gt;=3,"A","B"),"C")))</f>
        <v/>
      </c>
    </row>
    <row r="22">
      <c r="AG22" s="11">
        <f>IF(COUNTA(AB22:AF22)=0,"",COUNTIF(AB22:AF22,"yes"))</f>
        <v/>
      </c>
      <c r="AH22" s="11">
        <f>IF($AG22="","",IF($AG22&lt;2,"Fail",IF(OR($AC22="yes",$AD22="yes"),IF($AG22&gt;=3,"A","B"),"C")))</f>
        <v/>
      </c>
    </row>
    <row r="23">
      <c r="AG23" s="11">
        <f>IF(COUNTA(AB23:AF23)=0,"",COUNTIF(AB23:AF23,"yes"))</f>
        <v/>
      </c>
      <c r="AH23" s="11">
        <f>IF($AG23="","",IF($AG23&lt;2,"Fail",IF(OR($AC23="yes",$AD23="yes"),IF($AG23&gt;=3,"A","B"),"C")))</f>
        <v/>
      </c>
    </row>
    <row r="24">
      <c r="AG24" s="11">
        <f>IF(COUNTA(AB24:AF24)=0,"",COUNTIF(AB24:AF24,"yes"))</f>
        <v/>
      </c>
      <c r="AH24" s="11">
        <f>IF($AG24="","",IF($AG24&lt;2,"Fail",IF(OR($AC24="yes",$AD24="yes"),IF($AG24&gt;=3,"A","B"),"C")))</f>
        <v/>
      </c>
    </row>
    <row r="25">
      <c r="AG25" s="11">
        <f>IF(COUNTA(AB25:AF25)=0,"",COUNTIF(AB25:AF25,"yes"))</f>
        <v/>
      </c>
      <c r="AH25" s="11">
        <f>IF($AG25="","",IF($AG25&lt;2,"Fail",IF(OR($AC25="yes",$AD25="yes"),IF($AG25&gt;=3,"A","B"),"C")))</f>
        <v/>
      </c>
    </row>
    <row r="26">
      <c r="AG26" s="11">
        <f>IF(COUNTA(AB26:AF26)=0,"",COUNTIF(AB26:AF26,"yes"))</f>
        <v/>
      </c>
      <c r="AH26" s="11">
        <f>IF($AG26="","",IF($AG26&lt;2,"Fail",IF(OR($AC26="yes",$AD26="yes"),IF($AG26&gt;=3,"A","B"),"C")))</f>
        <v/>
      </c>
    </row>
    <row r="27">
      <c r="AG27" s="11">
        <f>IF(COUNTA(AB27:AF27)=0,"",COUNTIF(AB27:AF27,"yes"))</f>
        <v/>
      </c>
      <c r="AH27" s="11">
        <f>IF($AG27="","",IF($AG27&lt;2,"Fail",IF(OR($AC27="yes",$AD27="yes"),IF($AG27&gt;=3,"A","B"),"C")))</f>
        <v/>
      </c>
    </row>
    <row r="28">
      <c r="AG28" s="11">
        <f>IF(COUNTA(AB28:AF28)=0,"",COUNTIF(AB28:AF28,"yes"))</f>
        <v/>
      </c>
      <c r="AH28" s="11">
        <f>IF($AG28="","",IF($AG28&lt;2,"Fail",IF(OR($AC28="yes",$AD28="yes"),IF($AG28&gt;=3,"A","B"),"C")))</f>
        <v/>
      </c>
    </row>
    <row r="29">
      <c r="AG29" s="11">
        <f>IF(COUNTA(AB29:AF29)=0,"",COUNTIF(AB29:AF29,"yes"))</f>
        <v/>
      </c>
      <c r="AH29" s="11">
        <f>IF($AG29="","",IF($AG29&lt;2,"Fail",IF(OR($AC29="yes",$AD29="yes"),IF($AG29&gt;=3,"A","B"),"C")))</f>
        <v/>
      </c>
    </row>
    <row r="30">
      <c r="AG30" s="11">
        <f>IF(COUNTA(AB30:AF30)=0,"",COUNTIF(AB30:AF30,"yes"))</f>
        <v/>
      </c>
      <c r="AH30" s="11">
        <f>IF($AG30="","",IF($AG30&lt;2,"Fail",IF(OR($AC30="yes",$AD30="yes"),IF($AG30&gt;=3,"A","B"),"C")))</f>
        <v/>
      </c>
    </row>
    <row r="31">
      <c r="AG31" s="11">
        <f>IF(COUNTA(AB31:AF31)=0,"",COUNTIF(AB31:AF31,"yes"))</f>
        <v/>
      </c>
      <c r="AH31" s="11">
        <f>IF($AG31="","",IF($AG31&lt;2,"Fail",IF(OR($AC31="yes",$AD31="yes"),IF($AG31&gt;=3,"A","B"),"C")))</f>
        <v/>
      </c>
    </row>
    <row r="32">
      <c r="AG32" s="11">
        <f>IF(COUNTA(AB32:AF32)=0,"",COUNTIF(AB32:AF32,"yes"))</f>
        <v/>
      </c>
      <c r="AH32" s="11">
        <f>IF($AG32="","",IF($AG32&lt;2,"Fail",IF(OR($AC32="yes",$AD32="yes"),IF($AG32&gt;=3,"A","B"),"C")))</f>
        <v/>
      </c>
    </row>
    <row r="33">
      <c r="AG33" s="11">
        <f>IF(COUNTA(AB33:AF33)=0,"",COUNTIF(AB33:AF33,"yes"))</f>
        <v/>
      </c>
      <c r="AH33" s="11">
        <f>IF($AG33="","",IF($AG33&lt;2,"Fail",IF(OR($AC33="yes",$AD33="yes"),IF($AG33&gt;=3,"A","B"),"C")))</f>
        <v/>
      </c>
    </row>
    <row r="34">
      <c r="AG34" s="11">
        <f>IF(COUNTA(AB34:AF34)=0,"",COUNTIF(AB34:AF34,"yes"))</f>
        <v/>
      </c>
      <c r="AH34" s="11">
        <f>IF($AG34="","",IF($AG34&lt;2,"Fail",IF(OR($AC34="yes",$AD34="yes"),IF($AG34&gt;=3,"A","B"),"C")))</f>
        <v/>
      </c>
    </row>
    <row r="35">
      <c r="AG35" s="11">
        <f>IF(COUNTA(AB35:AF35)=0,"",COUNTIF(AB35:AF35,"yes"))</f>
        <v/>
      </c>
      <c r="AH35" s="11">
        <f>IF($AG35="","",IF($AG35&lt;2,"Fail",IF(OR($AC35="yes",$AD35="yes"),IF($AG35&gt;=3,"A","B"),"C")))</f>
        <v/>
      </c>
    </row>
    <row r="36">
      <c r="AG36" s="11">
        <f>IF(COUNTA(AB36:AF36)=0,"",COUNTIF(AB36:AF36,"yes"))</f>
        <v/>
      </c>
      <c r="AH36" s="11">
        <f>IF($AG36="","",IF($AG36&lt;2,"Fail",IF(OR($AC36="yes",$AD36="yes"),IF($AG36&gt;=3,"A","B"),"C")))</f>
        <v/>
      </c>
    </row>
    <row r="37">
      <c r="AG37" s="11">
        <f>IF(COUNTA(AB37:AF37)=0,"",COUNTIF(AB37:AF37,"yes"))</f>
        <v/>
      </c>
      <c r="AH37" s="11">
        <f>IF($AG37="","",IF($AG37&lt;2,"Fail",IF(OR($AC37="yes",$AD37="yes"),IF($AG37&gt;=3,"A","B"),"C")))</f>
        <v/>
      </c>
    </row>
    <row r="38">
      <c r="AG38" s="11">
        <f>IF(COUNTA(AB38:AF38)=0,"",COUNTIF(AB38:AF38,"yes"))</f>
        <v/>
      </c>
      <c r="AH38" s="11">
        <f>IF($AG38="","",IF($AG38&lt;2,"Fail",IF(OR($AC38="yes",$AD38="yes"),IF($AG38&gt;=3,"A","B"),"C")))</f>
        <v/>
      </c>
    </row>
    <row r="39">
      <c r="AG39" s="11">
        <f>IF(COUNTA(AB39:AF39)=0,"",COUNTIF(AB39:AF39,"yes"))</f>
        <v/>
      </c>
      <c r="AH39" s="11">
        <f>IF($AG39="","",IF($AG39&lt;2,"Fail",IF(OR($AC39="yes",$AD39="yes"),IF($AG39&gt;=3,"A","B"),"C")))</f>
        <v/>
      </c>
    </row>
    <row r="40">
      <c r="AG40" s="11">
        <f>IF(COUNTA(AB40:AF40)=0,"",COUNTIF(AB40:AF40,"yes"))</f>
        <v/>
      </c>
      <c r="AH40" s="11">
        <f>IF($AG40="","",IF($AG40&lt;2,"Fail",IF(OR($AC40="yes",$AD40="yes"),IF($AG40&gt;=3,"A","B"),"C")))</f>
        <v/>
      </c>
    </row>
    <row r="41">
      <c r="AG41" s="11">
        <f>IF(COUNTA(AB41:AF41)=0,"",COUNTIF(AB41:AF41,"yes"))</f>
        <v/>
      </c>
      <c r="AH41" s="11">
        <f>IF($AG41="","",IF($AG41&lt;2,"Fail",IF(OR($AC41="yes",$AD41="yes"),IF($AG41&gt;=3,"A","B"),"C")))</f>
        <v/>
      </c>
    </row>
    <row r="42">
      <c r="AG42" s="11">
        <f>IF(COUNTA(AB42:AF42)=0,"",COUNTIF(AB42:AF42,"yes"))</f>
        <v/>
      </c>
      <c r="AH42" s="11">
        <f>IF($AG42="","",IF($AG42&lt;2,"Fail",IF(OR($AC42="yes",$AD42="yes"),IF($AG42&gt;=3,"A","B"),"C")))</f>
        <v/>
      </c>
    </row>
    <row r="43">
      <c r="AG43" s="11">
        <f>IF(COUNTA(AB43:AF43)=0,"",COUNTIF(AB43:AF43,"yes"))</f>
        <v/>
      </c>
      <c r="AH43" s="11">
        <f>IF($AG43="","",IF($AG43&lt;2,"Fail",IF(OR($AC43="yes",$AD43="yes"),IF($AG43&gt;=3,"A","B"),"C")))</f>
        <v/>
      </c>
    </row>
    <row r="44">
      <c r="AG44" s="11">
        <f>IF(COUNTA(AB44:AF44)=0,"",COUNTIF(AB44:AF44,"yes"))</f>
        <v/>
      </c>
      <c r="AH44" s="11">
        <f>IF($AG44="","",IF($AG44&lt;2,"Fail",IF(OR($AC44="yes",$AD44="yes"),IF($AG44&gt;=3,"A","B"),"C")))</f>
        <v/>
      </c>
    </row>
    <row r="45">
      <c r="AG45" s="11">
        <f>IF(COUNTA(AB45:AF45)=0,"",COUNTIF(AB45:AF45,"yes"))</f>
        <v/>
      </c>
      <c r="AH45" s="11">
        <f>IF($AG45="","",IF($AG45&lt;2,"Fail",IF(OR($AC45="yes",$AD45="yes"),IF($AG45&gt;=3,"A","B"),"C")))</f>
        <v/>
      </c>
    </row>
    <row r="46">
      <c r="AG46" s="11">
        <f>IF(COUNTA(AB46:AF46)=0,"",COUNTIF(AB46:AF46,"yes"))</f>
        <v/>
      </c>
      <c r="AH46" s="11">
        <f>IF($AG46="","",IF($AG46&lt;2,"Fail",IF(OR($AC46="yes",$AD46="yes"),IF($AG46&gt;=3,"A","B"),"C")))</f>
        <v/>
      </c>
    </row>
    <row r="47">
      <c r="AG47" s="11">
        <f>IF(COUNTA(AB47:AF47)=0,"",COUNTIF(AB47:AF47,"yes"))</f>
        <v/>
      </c>
      <c r="AH47" s="11">
        <f>IF($AG47="","",IF($AG47&lt;2,"Fail",IF(OR($AC47="yes",$AD47="yes"),IF($AG47&gt;=3,"A","B"),"C")))</f>
        <v/>
      </c>
    </row>
    <row r="48">
      <c r="AG48" s="11">
        <f>IF(COUNTA(AB48:AF48)=0,"",COUNTIF(AB48:AF48,"yes"))</f>
        <v/>
      </c>
      <c r="AH48" s="11">
        <f>IF($AG48="","",IF($AG48&lt;2,"Fail",IF(OR($AC48="yes",$AD48="yes"),IF($AG48&gt;=3,"A","B"),"C")))</f>
        <v/>
      </c>
    </row>
    <row r="49">
      <c r="AG49" s="11">
        <f>IF(COUNTA(AB49:AF49)=0,"",COUNTIF(AB49:AF49,"yes"))</f>
        <v/>
      </c>
      <c r="AH49" s="11">
        <f>IF($AG49="","",IF($AG49&lt;2,"Fail",IF(OR($AC49="yes",$AD49="yes"),IF($AG49&gt;=3,"A","B"),"C")))</f>
        <v/>
      </c>
    </row>
    <row r="50">
      <c r="AG50" s="11">
        <f>IF(COUNTA(AB50:AF50)=0,"",COUNTIF(AB50:AF50,"yes"))</f>
        <v/>
      </c>
      <c r="AH50" s="11">
        <f>IF($AG50="","",IF($AG50&lt;2,"Fail",IF(OR($AC50="yes",$AD50="yes"),IF($AG50&gt;=3,"A","B"),"C")))</f>
        <v/>
      </c>
    </row>
    <row r="51">
      <c r="AG51" s="11">
        <f>IF(COUNTA(AB51:AF51)=0,"",COUNTIF(AB51:AF51,"yes"))</f>
        <v/>
      </c>
      <c r="AH51" s="11">
        <f>IF($AG51="","",IF($AG51&lt;2,"Fail",IF(OR($AC51="yes",$AD51="yes"),IF($AG51&gt;=3,"A","B"),"C")))</f>
        <v/>
      </c>
    </row>
    <row r="52">
      <c r="AG52" s="11">
        <f>IF(COUNTA(AB52:AF52)=0,"",COUNTIF(AB52:AF52,"yes"))</f>
        <v/>
      </c>
      <c r="AH52" s="11">
        <f>IF($AG52="","",IF($AG52&lt;2,"Fail",IF(OR($AC52="yes",$AD52="yes"),IF($AG52&gt;=3,"A","B"),"C")))</f>
        <v/>
      </c>
    </row>
    <row r="53">
      <c r="AG53" s="11">
        <f>IF(COUNTA(AB53:AF53)=0,"",COUNTIF(AB53:AF53,"yes"))</f>
        <v/>
      </c>
      <c r="AH53" s="11">
        <f>IF($AG53="","",IF($AG53&lt;2,"Fail",IF(OR($AC53="yes",$AD53="yes"),IF($AG53&gt;=3,"A","B"),"C")))</f>
        <v/>
      </c>
    </row>
    <row r="54">
      <c r="AG54" s="11">
        <f>IF(COUNTA(AB54:AF54)=0,"",COUNTIF(AB54:AF54,"yes"))</f>
        <v/>
      </c>
      <c r="AH54" s="11">
        <f>IF($AG54="","",IF($AG54&lt;2,"Fail",IF(OR($AC54="yes",$AD54="yes"),IF($AG54&gt;=3,"A","B"),"C")))</f>
        <v/>
      </c>
    </row>
    <row r="55">
      <c r="AG55" s="11">
        <f>IF(COUNTA(AB55:AF55)=0,"",COUNTIF(AB55:AF55,"yes"))</f>
        <v/>
      </c>
      <c r="AH55" s="11">
        <f>IF($AG55="","",IF($AG55&lt;2,"Fail",IF(OR($AC55="yes",$AD55="yes"),IF($AG55&gt;=3,"A","B"),"C")))</f>
        <v/>
      </c>
    </row>
    <row r="56">
      <c r="AG56" s="11">
        <f>IF(COUNTA(AB56:AF56)=0,"",COUNTIF(AB56:AF56,"yes"))</f>
        <v/>
      </c>
      <c r="AH56" s="11">
        <f>IF($AG56="","",IF($AG56&lt;2,"Fail",IF(OR($AC56="yes",$AD56="yes"),IF($AG56&gt;=3,"A","B"),"C")))</f>
        <v/>
      </c>
    </row>
    <row r="57">
      <c r="AG57" s="11">
        <f>IF(COUNTA(AB57:AF57)=0,"",COUNTIF(AB57:AF57,"yes"))</f>
        <v/>
      </c>
      <c r="AH57" s="11">
        <f>IF($AG57="","",IF($AG57&lt;2,"Fail",IF(OR($AC57="yes",$AD57="yes"),IF($AG57&gt;=3,"A","B"),"C")))</f>
        <v/>
      </c>
    </row>
    <row r="58">
      <c r="AG58" s="11">
        <f>IF(COUNTA(AB58:AF58)=0,"",COUNTIF(AB58:AF58,"yes"))</f>
        <v/>
      </c>
      <c r="AH58" s="11">
        <f>IF($AG58="","",IF($AG58&lt;2,"Fail",IF(OR($AC58="yes",$AD58="yes"),IF($AG58&gt;=3,"A","B"),"C")))</f>
        <v/>
      </c>
    </row>
    <row r="59">
      <c r="AG59" s="11">
        <f>IF(COUNTA(AB59:AF59)=0,"",COUNTIF(AB59:AF59,"yes"))</f>
        <v/>
      </c>
      <c r="AH59" s="11">
        <f>IF($AG59="","",IF($AG59&lt;2,"Fail",IF(OR($AC59="yes",$AD59="yes"),IF($AG59&gt;=3,"A","B"),"C")))</f>
        <v/>
      </c>
    </row>
    <row r="60">
      <c r="AG60" s="11">
        <f>IF(COUNTA(AB60:AF60)=0,"",COUNTIF(AB60:AF60,"yes"))</f>
        <v/>
      </c>
      <c r="AH60" s="11">
        <f>IF($AG60="","",IF($AG60&lt;2,"Fail",IF(OR($AC60="yes",$AD60="yes"),IF($AG60&gt;=3,"A","B"),"C")))</f>
        <v/>
      </c>
    </row>
    <row r="61">
      <c r="AG61" s="11">
        <f>IF(COUNTA(AB61:AF61)=0,"",COUNTIF(AB61:AF61,"yes"))</f>
        <v/>
      </c>
      <c r="AH61" s="11">
        <f>IF($AG61="","",IF($AG61&lt;2,"Fail",IF(OR($AC61="yes",$AD61="yes"),IF($AG61&gt;=3,"A","B"),"C")))</f>
        <v/>
      </c>
    </row>
    <row r="62">
      <c r="AG62" s="11">
        <f>IF(COUNTA(AB62:AF62)=0,"",COUNTIF(AB62:AF62,"yes"))</f>
        <v/>
      </c>
      <c r="AH62" s="11">
        <f>IF($AG62="","",IF($AG62&lt;2,"Fail",IF(OR($AC62="yes",$AD62="yes"),IF($AG62&gt;=3,"A","B"),"C")))</f>
        <v/>
      </c>
    </row>
    <row r="63">
      <c r="AG63" s="11">
        <f>IF(COUNTA(AB63:AF63)=0,"",COUNTIF(AB63:AF63,"yes"))</f>
        <v/>
      </c>
      <c r="AH63" s="11">
        <f>IF($AG63="","",IF($AG63&lt;2,"Fail",IF(OR($AC63="yes",$AD63="yes"),IF($AG63&gt;=3,"A","B"),"C")))</f>
        <v/>
      </c>
    </row>
    <row r="64">
      <c r="AG64" s="11">
        <f>IF(COUNTA(AB64:AF64)=0,"",COUNTIF(AB64:AF64,"yes"))</f>
        <v/>
      </c>
      <c r="AH64" s="11">
        <f>IF($AG64="","",IF($AG64&lt;2,"Fail",IF(OR($AC64="yes",$AD64="yes"),IF($AG64&gt;=3,"A","B"),"C")))</f>
        <v/>
      </c>
    </row>
    <row r="65">
      <c r="AG65" s="11">
        <f>IF(COUNTA(AB65:AF65)=0,"",COUNTIF(AB65:AF65,"yes"))</f>
        <v/>
      </c>
      <c r="AH65" s="11">
        <f>IF($AG65="","",IF($AG65&lt;2,"Fail",IF(OR($AC65="yes",$AD65="yes"),IF($AG65&gt;=3,"A","B"),"C")))</f>
        <v/>
      </c>
    </row>
    <row r="66">
      <c r="AG66" s="11">
        <f>IF(COUNTA(AB66:AF66)=0,"",COUNTIF(AB66:AF66,"yes"))</f>
        <v/>
      </c>
      <c r="AH66" s="11">
        <f>IF($AG66="","",IF($AG66&lt;2,"Fail",IF(OR($AC66="yes",$AD66="yes"),IF($AG66&gt;=3,"A","B"),"C")))</f>
        <v/>
      </c>
    </row>
    <row r="67">
      <c r="AG67" s="11">
        <f>IF(COUNTA(AB67:AF67)=0,"",COUNTIF(AB67:AF67,"yes"))</f>
        <v/>
      </c>
      <c r="AH67" s="11">
        <f>IF($AG67="","",IF($AG67&lt;2,"Fail",IF(OR($AC67="yes",$AD67="yes"),IF($AG67&gt;=3,"A","B"),"C")))</f>
        <v/>
      </c>
    </row>
    <row r="68">
      <c r="AG68" s="11">
        <f>IF(COUNTA(AB68:AF68)=0,"",COUNTIF(AB68:AF68,"yes"))</f>
        <v/>
      </c>
      <c r="AH68" s="11">
        <f>IF($AG68="","",IF($AG68&lt;2,"Fail",IF(OR($AC68="yes",$AD68="yes"),IF($AG68&gt;=3,"A","B"),"C")))</f>
        <v/>
      </c>
    </row>
    <row r="69">
      <c r="AG69" s="11">
        <f>IF(COUNTA(AB69:AF69)=0,"",COUNTIF(AB69:AF69,"yes"))</f>
        <v/>
      </c>
      <c r="AH69" s="11">
        <f>IF($AG69="","",IF($AG69&lt;2,"Fail",IF(OR($AC69="yes",$AD69="yes"),IF($AG69&gt;=3,"A","B"),"C")))</f>
        <v/>
      </c>
    </row>
    <row r="70">
      <c r="AG70" s="11">
        <f>IF(COUNTA(AB70:AF70)=0,"",COUNTIF(AB70:AF70,"yes"))</f>
        <v/>
      </c>
      <c r="AH70" s="11">
        <f>IF($AG70="","",IF($AG70&lt;2,"Fail",IF(OR($AC70="yes",$AD70="yes"),IF($AG70&gt;=3,"A","B"),"C")))</f>
        <v/>
      </c>
    </row>
    <row r="71">
      <c r="AG71" s="11">
        <f>IF(COUNTA(AB71:AF71)=0,"",COUNTIF(AB71:AF71,"yes"))</f>
        <v/>
      </c>
      <c r="AH71" s="11">
        <f>IF($AG71="","",IF($AG71&lt;2,"Fail",IF(OR($AC71="yes",$AD71="yes"),IF($AG71&gt;=3,"A","B"),"C")))</f>
        <v/>
      </c>
    </row>
    <row r="72">
      <c r="AG72" s="11">
        <f>IF(COUNTA(AB72:AF72)=0,"",COUNTIF(AB72:AF72,"yes"))</f>
        <v/>
      </c>
      <c r="AH72" s="11">
        <f>IF($AG72="","",IF($AG72&lt;2,"Fail",IF(OR($AC72="yes",$AD72="yes"),IF($AG72&gt;=3,"A","B"),"C")))</f>
        <v/>
      </c>
    </row>
    <row r="73">
      <c r="AG73" s="11">
        <f>IF(COUNTA(AB73:AF73)=0,"",COUNTIF(AB73:AF73,"yes"))</f>
        <v/>
      </c>
      <c r="AH73" s="11">
        <f>IF($AG73="","",IF($AG73&lt;2,"Fail",IF(OR($AC73="yes",$AD73="yes"),IF($AG73&gt;=3,"A","B"),"C")))</f>
        <v/>
      </c>
    </row>
    <row r="74">
      <c r="AG74" s="11">
        <f>IF(COUNTA(AB74:AF74)=0,"",COUNTIF(AB74:AF74,"yes"))</f>
        <v/>
      </c>
      <c r="AH74" s="11">
        <f>IF($AG74="","",IF($AG74&lt;2,"Fail",IF(OR($AC74="yes",$AD74="yes"),IF($AG74&gt;=3,"A","B"),"C")))</f>
        <v/>
      </c>
    </row>
    <row r="75">
      <c r="AG75" s="11">
        <f>IF(COUNTA(AB75:AF75)=0,"",COUNTIF(AB75:AF75,"yes"))</f>
        <v/>
      </c>
      <c r="AH75" s="11">
        <f>IF($AG75="","",IF($AG75&lt;2,"Fail",IF(OR($AC75="yes",$AD75="yes"),IF($AG75&gt;=3,"A","B"),"C")))</f>
        <v/>
      </c>
    </row>
    <row r="76">
      <c r="AG76" s="11">
        <f>IF(COUNTA(AB76:AF76)=0,"",COUNTIF(AB76:AF76,"yes"))</f>
        <v/>
      </c>
      <c r="AH76" s="11">
        <f>IF($AG76="","",IF($AG76&lt;2,"Fail",IF(OR($AC76="yes",$AD76="yes"),IF($AG76&gt;=3,"A","B"),"C")))</f>
        <v/>
      </c>
    </row>
    <row r="77">
      <c r="AG77" s="11">
        <f>IF(COUNTA(AB77:AF77)=0,"",COUNTIF(AB77:AF77,"yes"))</f>
        <v/>
      </c>
      <c r="AH77" s="11">
        <f>IF($AG77="","",IF($AG77&lt;2,"Fail",IF(OR($AC77="yes",$AD77="yes"),IF($AG77&gt;=3,"A","B"),"C")))</f>
        <v/>
      </c>
    </row>
    <row r="78">
      <c r="AG78" s="11">
        <f>IF(COUNTA(AB78:AF78)=0,"",COUNTIF(AB78:AF78,"yes"))</f>
        <v/>
      </c>
      <c r="AH78" s="11">
        <f>IF($AG78="","",IF($AG78&lt;2,"Fail",IF(OR($AC78="yes",$AD78="yes"),IF($AG78&gt;=3,"A","B"),"C")))</f>
        <v/>
      </c>
    </row>
    <row r="79">
      <c r="AG79" s="11">
        <f>IF(COUNTA(AB79:AF79)=0,"",COUNTIF(AB79:AF79,"yes"))</f>
        <v/>
      </c>
      <c r="AH79" s="11">
        <f>IF($AG79="","",IF($AG79&lt;2,"Fail",IF(OR($AC79="yes",$AD79="yes"),IF($AG79&gt;=3,"A","B"),"C")))</f>
        <v/>
      </c>
    </row>
    <row r="80">
      <c r="AG80" s="11">
        <f>IF(COUNTA(AB80:AF80)=0,"",COUNTIF(AB80:AF80,"yes"))</f>
        <v/>
      </c>
      <c r="AH80" s="11">
        <f>IF($AG80="","",IF($AG80&lt;2,"Fail",IF(OR($AC80="yes",$AD80="yes"),IF($AG80&gt;=3,"A","B"),"C")))</f>
        <v/>
      </c>
    </row>
    <row r="81">
      <c r="AG81" s="11">
        <f>IF(COUNTA(AB81:AF81)=0,"",COUNTIF(AB81:AF81,"yes"))</f>
        <v/>
      </c>
      <c r="AH81" s="11">
        <f>IF($AG81="","",IF($AG81&lt;2,"Fail",IF(OR($AC81="yes",$AD81="yes"),IF($AG81&gt;=3,"A","B"),"C")))</f>
        <v/>
      </c>
    </row>
    <row r="82">
      <c r="AG82" s="11">
        <f>IF(COUNTA(AB82:AF82)=0,"",COUNTIF(AB82:AF82,"yes"))</f>
        <v/>
      </c>
      <c r="AH82" s="11">
        <f>IF($AG82="","",IF($AG82&lt;2,"Fail",IF(OR($AC82="yes",$AD82="yes"),IF($AG82&gt;=3,"A","B"),"C")))</f>
        <v/>
      </c>
    </row>
    <row r="83">
      <c r="AG83" s="11">
        <f>IF(COUNTA(AB83:AF83)=0,"",COUNTIF(AB83:AF83,"yes"))</f>
        <v/>
      </c>
      <c r="AH83" s="11">
        <f>IF($AG83="","",IF($AG83&lt;2,"Fail",IF(OR($AC83="yes",$AD83="yes"),IF($AG83&gt;=3,"A","B"),"C")))</f>
        <v/>
      </c>
    </row>
    <row r="84">
      <c r="AG84" s="11">
        <f>IF(COUNTA(AB84:AF84)=0,"",COUNTIF(AB84:AF84,"yes"))</f>
        <v/>
      </c>
      <c r="AH84" s="11">
        <f>IF($AG84="","",IF($AG84&lt;2,"Fail",IF(OR($AC84="yes",$AD84="yes"),IF($AG84&gt;=3,"A","B"),"C")))</f>
        <v/>
      </c>
    </row>
    <row r="85">
      <c r="AG85" s="11">
        <f>IF(COUNTA(AB85:AF85)=0,"",COUNTIF(AB85:AF85,"yes"))</f>
        <v/>
      </c>
      <c r="AH85" s="11">
        <f>IF($AG85="","",IF($AG85&lt;2,"Fail",IF(OR($AC85="yes",$AD85="yes"),IF($AG85&gt;=3,"A","B"),"C")))</f>
        <v/>
      </c>
    </row>
    <row r="86">
      <c r="AG86" s="11">
        <f>IF(COUNTA(AB86:AF86)=0,"",COUNTIF(AB86:AF86,"yes"))</f>
        <v/>
      </c>
      <c r="AH86" s="11">
        <f>IF($AG86="","",IF($AG86&lt;2,"Fail",IF(OR($AC86="yes",$AD86="yes"),IF($AG86&gt;=3,"A","B"),"C")))</f>
        <v/>
      </c>
    </row>
    <row r="87">
      <c r="AG87" s="11">
        <f>IF(COUNTA(AB87:AF87)=0,"",COUNTIF(AB87:AF87,"yes"))</f>
        <v/>
      </c>
      <c r="AH87" s="11">
        <f>IF($AG87="","",IF($AG87&lt;2,"Fail",IF(OR($AC87="yes",$AD87="yes"),IF($AG87&gt;=3,"A","B"),"C")))</f>
        <v/>
      </c>
    </row>
    <row r="88">
      <c r="AG88" s="11">
        <f>IF(COUNTA(AB88:AF88)=0,"",COUNTIF(AB88:AF88,"yes"))</f>
        <v/>
      </c>
      <c r="AH88" s="11">
        <f>IF($AG88="","",IF($AG88&lt;2,"Fail",IF(OR($AC88="yes",$AD88="yes"),IF($AG88&gt;=3,"A","B"),"C")))</f>
        <v/>
      </c>
    </row>
    <row r="89">
      <c r="AG89" s="11">
        <f>IF(COUNTA(AB89:AF89)=0,"",COUNTIF(AB89:AF89,"yes"))</f>
        <v/>
      </c>
      <c r="AH89" s="11">
        <f>IF($AG89="","",IF($AG89&lt;2,"Fail",IF(OR($AC89="yes",$AD89="yes"),IF($AG89&gt;=3,"A","B"),"C")))</f>
        <v/>
      </c>
    </row>
    <row r="90">
      <c r="AG90" s="11">
        <f>IF(COUNTA(AB90:AF90)=0,"",COUNTIF(AB90:AF90,"yes"))</f>
        <v/>
      </c>
      <c r="AH90" s="11">
        <f>IF($AG90="","",IF($AG90&lt;2,"Fail",IF(OR($AC90="yes",$AD90="yes"),IF($AG90&gt;=3,"A","B"),"C")))</f>
        <v/>
      </c>
    </row>
    <row r="91">
      <c r="AG91" s="11">
        <f>IF(COUNTA(AB91:AF91)=0,"",COUNTIF(AB91:AF91,"yes"))</f>
        <v/>
      </c>
      <c r="AH91" s="11">
        <f>IF($AG91="","",IF($AG91&lt;2,"Fail",IF(OR($AC91="yes",$AD91="yes"),IF($AG91&gt;=3,"A","B"),"C")))</f>
        <v/>
      </c>
    </row>
    <row r="92">
      <c r="AG92" s="11">
        <f>IF(COUNTA(AB92:AF92)=0,"",COUNTIF(AB92:AF92,"yes"))</f>
        <v/>
      </c>
      <c r="AH92" s="11">
        <f>IF($AG92="","",IF($AG92&lt;2,"Fail",IF(OR($AC92="yes",$AD92="yes"),IF($AG92&gt;=3,"A","B"),"C")))</f>
        <v/>
      </c>
    </row>
    <row r="93">
      <c r="AG93" s="11">
        <f>IF(COUNTA(AB93:AF93)=0,"",COUNTIF(AB93:AF93,"yes"))</f>
        <v/>
      </c>
      <c r="AH93" s="11">
        <f>IF($AG93="","",IF($AG93&lt;2,"Fail",IF(OR($AC93="yes",$AD93="yes"),IF($AG93&gt;=3,"A","B"),"C")))</f>
        <v/>
      </c>
    </row>
    <row r="94">
      <c r="AG94" s="11">
        <f>IF(COUNTA(AB94:AF94)=0,"",COUNTIF(AB94:AF94,"yes"))</f>
        <v/>
      </c>
      <c r="AH94" s="11">
        <f>IF($AG94="","",IF($AG94&lt;2,"Fail",IF(OR($AC94="yes",$AD94="yes"),IF($AG94&gt;=3,"A","B"),"C")))</f>
        <v/>
      </c>
    </row>
    <row r="95">
      <c r="AG95" s="11">
        <f>IF(COUNTA(AB95:AF95)=0,"",COUNTIF(AB95:AF95,"yes"))</f>
        <v/>
      </c>
      <c r="AH95" s="11">
        <f>IF($AG95="","",IF($AG95&lt;2,"Fail",IF(OR($AC95="yes",$AD95="yes"),IF($AG95&gt;=3,"A","B"),"C")))</f>
        <v/>
      </c>
    </row>
    <row r="96">
      <c r="AG96" s="11">
        <f>IF(COUNTA(AB96:AF96)=0,"",COUNTIF(AB96:AF96,"yes"))</f>
        <v/>
      </c>
      <c r="AH96" s="11">
        <f>IF($AG96="","",IF($AG96&lt;2,"Fail",IF(OR($AC96="yes",$AD96="yes"),IF($AG96&gt;=3,"A","B"),"C")))</f>
        <v/>
      </c>
    </row>
    <row r="97">
      <c r="AG97" s="11">
        <f>IF(COUNTA(AB97:AF97)=0,"",COUNTIF(AB97:AF97,"yes"))</f>
        <v/>
      </c>
      <c r="AH97" s="11">
        <f>IF($AG97="","",IF($AG97&lt;2,"Fail",IF(OR($AC97="yes",$AD97="yes"),IF($AG97&gt;=3,"A","B"),"C")))</f>
        <v/>
      </c>
    </row>
    <row r="98">
      <c r="AG98" s="11">
        <f>IF(COUNTA(AB98:AF98)=0,"",COUNTIF(AB98:AF98,"yes"))</f>
        <v/>
      </c>
      <c r="AH98" s="11">
        <f>IF($AG98="","",IF($AG98&lt;2,"Fail",IF(OR($AC98="yes",$AD98="yes"),IF($AG98&gt;=3,"A","B"),"C")))</f>
        <v/>
      </c>
    </row>
    <row r="99">
      <c r="AG99" s="11">
        <f>IF(COUNTA(AB99:AF99)=0,"",COUNTIF(AB99:AF99,"yes"))</f>
        <v/>
      </c>
      <c r="AH99" s="11">
        <f>IF($AG99="","",IF($AG99&lt;2,"Fail",IF(OR($AC99="yes",$AD99="yes"),IF($AG99&gt;=3,"A","B"),"C")))</f>
        <v/>
      </c>
    </row>
    <row r="100">
      <c r="AG100" s="11">
        <f>IF(COUNTA(AB100:AF100)=0,"",COUNTIF(AB100:AF100,"yes"))</f>
        <v/>
      </c>
      <c r="AH100" s="11">
        <f>IF($AG100="","",IF($AG100&lt;2,"Fail",IF(OR($AC100="yes",$AD100="yes"),IF($AG100&gt;=3,"A","B"),"C")))</f>
        <v/>
      </c>
    </row>
    <row r="101">
      <c r="AG101" s="11">
        <f>IF(COUNTA(AB101:AF101)=0,"",COUNTIF(AB101:AF101,"yes"))</f>
        <v/>
      </c>
      <c r="AH101" s="11">
        <f>IF($AG101="","",IF($AG101&lt;2,"Fail",IF(OR($AC101="yes",$AD101="yes"),IF($AG101&gt;=3,"A","B"),"C")))</f>
        <v/>
      </c>
    </row>
    <row r="102">
      <c r="AG102" s="11">
        <f>IF(COUNTA(AB102:AF102)=0,"",COUNTIF(AB102:AF102,"yes"))</f>
        <v/>
      </c>
      <c r="AH102" s="11">
        <f>IF($AG102="","",IF($AG102&lt;2,"Fail",IF(OR($AC102="yes",$AD102="yes"),IF($AG102&gt;=3,"A","B"),"C")))</f>
        <v/>
      </c>
    </row>
    <row r="103">
      <c r="AG103" s="11">
        <f>IF(COUNTA(AB103:AF103)=0,"",COUNTIF(AB103:AF103,"yes"))</f>
        <v/>
      </c>
      <c r="AH103" s="11">
        <f>IF($AG103="","",IF($AG103&lt;2,"Fail",IF(OR($AC103="yes",$AD103="yes"),IF($AG103&gt;=3,"A","B"),"C")))</f>
        <v/>
      </c>
    </row>
    <row r="104">
      <c r="AG104" s="11">
        <f>IF(COUNTA(AB104:AF104)=0,"",COUNTIF(AB104:AF104,"yes"))</f>
        <v/>
      </c>
      <c r="AH104" s="11">
        <f>IF($AG104="","",IF($AG104&lt;2,"Fail",IF(OR($AC104="yes",$AD104="yes"),IF($AG104&gt;=3,"A","B"),"C")))</f>
        <v/>
      </c>
    </row>
    <row r="105">
      <c r="AG105" s="11">
        <f>IF(COUNTA(AB105:AF105)=0,"",COUNTIF(AB105:AF105,"yes"))</f>
        <v/>
      </c>
      <c r="AH105" s="11">
        <f>IF($AG105="","",IF($AG105&lt;2,"Fail",IF(OR($AC105="yes",$AD105="yes"),IF($AG105&gt;=3,"A","B"),"C")))</f>
        <v/>
      </c>
    </row>
    <row r="106">
      <c r="AG106" s="11">
        <f>IF(COUNTA(AB106:AF106)=0,"",COUNTIF(AB106:AF106,"yes"))</f>
        <v/>
      </c>
      <c r="AH106" s="11">
        <f>IF($AG106="","",IF($AG106&lt;2,"Fail",IF(OR($AC106="yes",$AD106="yes"),IF($AG106&gt;=3,"A","B"),"C")))</f>
        <v/>
      </c>
    </row>
    <row r="107">
      <c r="AG107" s="11">
        <f>IF(COUNTA(AB107:AF107)=0,"",COUNTIF(AB107:AF107,"yes"))</f>
        <v/>
      </c>
      <c r="AH107" s="11">
        <f>IF($AG107="","",IF($AG107&lt;2,"Fail",IF(OR($AC107="yes",$AD107="yes"),IF($AG107&gt;=3,"A","B"),"C")))</f>
        <v/>
      </c>
    </row>
    <row r="108">
      <c r="AG108" s="11">
        <f>IF(COUNTA(AB108:AF108)=0,"",COUNTIF(AB108:AF108,"yes"))</f>
        <v/>
      </c>
      <c r="AH108" s="11">
        <f>IF($AG108="","",IF($AG108&lt;2,"Fail",IF(OR($AC108="yes",$AD108="yes"),IF($AG108&gt;=3,"A","B"),"C")))</f>
        <v/>
      </c>
    </row>
    <row r="109">
      <c r="AG109" s="11">
        <f>IF(COUNTA(AB109:AF109)=0,"",COUNTIF(AB109:AF109,"yes"))</f>
        <v/>
      </c>
      <c r="AH109" s="11">
        <f>IF($AG109="","",IF($AG109&lt;2,"Fail",IF(OR($AC109="yes",$AD109="yes"),IF($AG109&gt;=3,"A","B"),"C")))</f>
        <v/>
      </c>
    </row>
    <row r="110">
      <c r="AG110" s="11">
        <f>IF(COUNTA(AB110:AF110)=0,"",COUNTIF(AB110:AF110,"yes"))</f>
        <v/>
      </c>
      <c r="AH110" s="11">
        <f>IF($AG110="","",IF($AG110&lt;2,"Fail",IF(OR($AC110="yes",$AD110="yes"),IF($AG110&gt;=3,"A","B"),"C")))</f>
        <v/>
      </c>
    </row>
    <row r="111">
      <c r="AG111" s="11">
        <f>IF(COUNTA(AB111:AF111)=0,"",COUNTIF(AB111:AF111,"yes"))</f>
        <v/>
      </c>
      <c r="AH111" s="11">
        <f>IF($AG111="","",IF($AG111&lt;2,"Fail",IF(OR($AC111="yes",$AD111="yes"),IF($AG111&gt;=3,"A","B"),"C")))</f>
        <v/>
      </c>
    </row>
    <row r="112">
      <c r="AG112" s="11">
        <f>IF(COUNTA(AB112:AF112)=0,"",COUNTIF(AB112:AF112,"yes"))</f>
        <v/>
      </c>
      <c r="AH112" s="11">
        <f>IF($AG112="","",IF($AG112&lt;2,"Fail",IF(OR($AC112="yes",$AD112="yes"),IF($AG112&gt;=3,"A","B"),"C")))</f>
        <v/>
      </c>
    </row>
    <row r="113">
      <c r="AG113" s="11">
        <f>IF(COUNTA(AB113:AF113)=0,"",COUNTIF(AB113:AF113,"yes"))</f>
        <v/>
      </c>
      <c r="AH113" s="11">
        <f>IF($AG113="","",IF($AG113&lt;2,"Fail",IF(OR($AC113="yes",$AD113="yes"),IF($AG113&gt;=3,"A","B"),"C")))</f>
        <v/>
      </c>
    </row>
    <row r="114">
      <c r="AG114" s="11">
        <f>IF(COUNTA(AB114:AF114)=0,"",COUNTIF(AB114:AF114,"yes"))</f>
        <v/>
      </c>
      <c r="AH114" s="11">
        <f>IF($AG114="","",IF($AG114&lt;2,"Fail",IF(OR($AC114="yes",$AD114="yes"),IF($AG114&gt;=3,"A","B"),"C")))</f>
        <v/>
      </c>
    </row>
    <row r="115">
      <c r="AG115" s="11">
        <f>IF(COUNTA(AB115:AF115)=0,"",COUNTIF(AB115:AF115,"yes"))</f>
        <v/>
      </c>
      <c r="AH115" s="11">
        <f>IF($AG115="","",IF($AG115&lt;2,"Fail",IF(OR($AC115="yes",$AD115="yes"),IF($AG115&gt;=3,"A","B"),"C")))</f>
        <v/>
      </c>
    </row>
    <row r="116">
      <c r="AG116" s="11">
        <f>IF(COUNTA(AB116:AF116)=0,"",COUNTIF(AB116:AF116,"yes"))</f>
        <v/>
      </c>
      <c r="AH116" s="11">
        <f>IF($AG116="","",IF($AG116&lt;2,"Fail",IF(OR($AC116="yes",$AD116="yes"),IF($AG116&gt;=3,"A","B"),"C")))</f>
        <v/>
      </c>
    </row>
    <row r="117">
      <c r="AG117" s="11">
        <f>IF(COUNTA(AB117:AF117)=0,"",COUNTIF(AB117:AF117,"yes"))</f>
        <v/>
      </c>
      <c r="AH117" s="11">
        <f>IF($AG117="","",IF($AG117&lt;2,"Fail",IF(OR($AC117="yes",$AD117="yes"),IF($AG117&gt;=3,"A","B"),"C")))</f>
        <v/>
      </c>
    </row>
    <row r="118">
      <c r="AG118" s="11">
        <f>IF(COUNTA(AB118:AF118)=0,"",COUNTIF(AB118:AF118,"yes"))</f>
        <v/>
      </c>
      <c r="AH118" s="11">
        <f>IF($AG118="","",IF($AG118&lt;2,"Fail",IF(OR($AC118="yes",$AD118="yes"),IF($AG118&gt;=3,"A","B"),"C")))</f>
        <v/>
      </c>
    </row>
    <row r="119">
      <c r="AG119" s="11">
        <f>IF(COUNTA(AB119:AF119)=0,"",COUNTIF(AB119:AF119,"yes"))</f>
        <v/>
      </c>
      <c r="AH119" s="11">
        <f>IF($AG119="","",IF($AG119&lt;2,"Fail",IF(OR($AC119="yes",$AD119="yes"),IF($AG119&gt;=3,"A","B"),"C")))</f>
        <v/>
      </c>
    </row>
    <row r="120">
      <c r="AG120" s="11">
        <f>IF(COUNTA(AB120:AF120)=0,"",COUNTIF(AB120:AF120,"yes"))</f>
        <v/>
      </c>
      <c r="AH120" s="11">
        <f>IF($AG120="","",IF($AG120&lt;2,"Fail",IF(OR($AC120="yes",$AD120="yes"),IF($AG120&gt;=3,"A","B"),"C")))</f>
        <v/>
      </c>
    </row>
    <row r="121">
      <c r="AG121" s="11">
        <f>IF(COUNTA(AB121:AF121)=0,"",COUNTIF(AB121:AF121,"yes"))</f>
        <v/>
      </c>
      <c r="AH121" s="11">
        <f>IF($AG121="","",IF($AG121&lt;2,"Fail",IF(OR($AC121="yes",$AD121="yes"),IF($AG121&gt;=3,"A","B"),"C")))</f>
        <v/>
      </c>
    </row>
    <row r="122">
      <c r="AG122" s="11">
        <f>IF(COUNTA(AB122:AF122)=0,"",COUNTIF(AB122:AF122,"yes"))</f>
        <v/>
      </c>
      <c r="AH122" s="11">
        <f>IF($AG122="","",IF($AG122&lt;2,"Fail",IF(OR($AC122="yes",$AD122="yes"),IF($AG122&gt;=3,"A","B"),"C")))</f>
        <v/>
      </c>
    </row>
    <row r="123">
      <c r="AG123" s="11">
        <f>IF(COUNTA(AB123:AF123)=0,"",COUNTIF(AB123:AF123,"yes"))</f>
        <v/>
      </c>
      <c r="AH123" s="11">
        <f>IF($AG123="","",IF($AG123&lt;2,"Fail",IF(OR($AC123="yes",$AD123="yes"),IF($AG123&gt;=3,"A","B"),"C")))</f>
        <v/>
      </c>
    </row>
    <row r="124">
      <c r="AG124" s="11">
        <f>IF(COUNTA(AB124:AF124)=0,"",COUNTIF(AB124:AF124,"yes"))</f>
        <v/>
      </c>
      <c r="AH124" s="11">
        <f>IF($AG124="","",IF($AG124&lt;2,"Fail",IF(OR($AC124="yes",$AD124="yes"),IF($AG124&gt;=3,"A","B"),"C")))</f>
        <v/>
      </c>
    </row>
    <row r="125">
      <c r="AG125" s="11">
        <f>IF(COUNTA(AB125:AF125)=0,"",COUNTIF(AB125:AF125,"yes"))</f>
        <v/>
      </c>
      <c r="AH125" s="11">
        <f>IF($AG125="","",IF($AG125&lt;2,"Fail",IF(OR($AC125="yes",$AD125="yes"),IF($AG125&gt;=3,"A","B"),"C")))</f>
        <v/>
      </c>
    </row>
    <row r="126">
      <c r="AG126" s="11">
        <f>IF(COUNTA(AB126:AF126)=0,"",COUNTIF(AB126:AF126,"yes"))</f>
        <v/>
      </c>
      <c r="AH126" s="11">
        <f>IF($AG126="","",IF($AG126&lt;2,"Fail",IF(OR($AC126="yes",$AD126="yes"),IF($AG126&gt;=3,"A","B"),"C")))</f>
        <v/>
      </c>
    </row>
    <row r="127">
      <c r="AG127" s="11">
        <f>IF(COUNTA(AB127:AF127)=0,"",COUNTIF(AB127:AF127,"yes"))</f>
        <v/>
      </c>
      <c r="AH127" s="11">
        <f>IF($AG127="","",IF($AG127&lt;2,"Fail",IF(OR($AC127="yes",$AD127="yes"),IF($AG127&gt;=3,"A","B"),"C")))</f>
        <v/>
      </c>
    </row>
    <row r="128">
      <c r="AG128" s="11">
        <f>IF(COUNTA(AB128:AF128)=0,"",COUNTIF(AB128:AF128,"yes"))</f>
        <v/>
      </c>
      <c r="AH128" s="11">
        <f>IF($AG128="","",IF($AG128&lt;2,"Fail",IF(OR($AC128="yes",$AD128="yes"),IF($AG128&gt;=3,"A","B"),"C")))</f>
        <v/>
      </c>
    </row>
    <row r="129">
      <c r="AG129" s="11">
        <f>IF(COUNTA(AB129:AF129)=0,"",COUNTIF(AB129:AF129,"yes"))</f>
        <v/>
      </c>
      <c r="AH129" s="11">
        <f>IF($AG129="","",IF($AG129&lt;2,"Fail",IF(OR($AC129="yes",$AD129="yes"),IF($AG129&gt;=3,"A","B"),"C")))</f>
        <v/>
      </c>
    </row>
    <row r="130">
      <c r="AG130" s="11">
        <f>IF(COUNTA(AB130:AF130)=0,"",COUNTIF(AB130:AF130,"yes"))</f>
        <v/>
      </c>
      <c r="AH130" s="11">
        <f>IF($AG130="","",IF($AG130&lt;2,"Fail",IF(OR($AC130="yes",$AD130="yes"),IF($AG130&gt;=3,"A","B"),"C")))</f>
        <v/>
      </c>
    </row>
    <row r="131">
      <c r="AG131" s="11">
        <f>IF(COUNTA(AB131:AF131)=0,"",COUNTIF(AB131:AF131,"yes"))</f>
        <v/>
      </c>
      <c r="AH131" s="11">
        <f>IF($AG131="","",IF($AG131&lt;2,"Fail",IF(OR($AC131="yes",$AD131="yes"),IF($AG131&gt;=3,"A","B"),"C")))</f>
        <v/>
      </c>
    </row>
    <row r="132">
      <c r="AG132" s="11">
        <f>IF(COUNTA(AB132:AF132)=0,"",COUNTIF(AB132:AF132,"yes"))</f>
        <v/>
      </c>
      <c r="AH132" s="11">
        <f>IF($AG132="","",IF($AG132&lt;2,"Fail",IF(OR($AC132="yes",$AD132="yes"),IF($AG132&gt;=3,"A","B"),"C")))</f>
        <v/>
      </c>
    </row>
    <row r="133">
      <c r="AG133" s="11">
        <f>IF(COUNTA(AB133:AF133)=0,"",COUNTIF(AB133:AF133,"yes"))</f>
        <v/>
      </c>
      <c r="AH133" s="11">
        <f>IF($AG133="","",IF($AG133&lt;2,"Fail",IF(OR($AC133="yes",$AD133="yes"),IF($AG133&gt;=3,"A","B"),"C")))</f>
        <v/>
      </c>
    </row>
    <row r="134">
      <c r="AG134" s="11">
        <f>IF(COUNTA(AB134:AF134)=0,"",COUNTIF(AB134:AF134,"yes"))</f>
        <v/>
      </c>
      <c r="AH134" s="11">
        <f>IF($AG134="","",IF($AG134&lt;2,"Fail",IF(OR($AC134="yes",$AD134="yes"),IF($AG134&gt;=3,"A","B"),"C")))</f>
        <v/>
      </c>
    </row>
    <row r="135">
      <c r="AG135" s="11">
        <f>IF(COUNTA(AB135:AF135)=0,"",COUNTIF(AB135:AF135,"yes"))</f>
        <v/>
      </c>
      <c r="AH135" s="11">
        <f>IF($AG135="","",IF($AG135&lt;2,"Fail",IF(OR($AC135="yes",$AD135="yes"),IF($AG135&gt;=3,"A","B"),"C")))</f>
        <v/>
      </c>
    </row>
    <row r="136">
      <c r="AG136" s="11">
        <f>IF(COUNTA(AB136:AF136)=0,"",COUNTIF(AB136:AF136,"yes"))</f>
        <v/>
      </c>
      <c r="AH136" s="11">
        <f>IF($AG136="","",IF($AG136&lt;2,"Fail",IF(OR($AC136="yes",$AD136="yes"),IF($AG136&gt;=3,"A","B"),"C")))</f>
        <v/>
      </c>
    </row>
    <row r="137">
      <c r="AG137" s="11">
        <f>IF(COUNTA(AB137:AF137)=0,"",COUNTIF(AB137:AF137,"yes"))</f>
        <v/>
      </c>
      <c r="AH137" s="11">
        <f>IF($AG137="","",IF($AG137&lt;2,"Fail",IF(OR($AC137="yes",$AD137="yes"),IF($AG137&gt;=3,"A","B"),"C")))</f>
        <v/>
      </c>
    </row>
    <row r="138">
      <c r="AG138" s="11">
        <f>IF(COUNTA(AB138:AF138)=0,"",COUNTIF(AB138:AF138,"yes"))</f>
        <v/>
      </c>
      <c r="AH138" s="11">
        <f>IF($AG138="","",IF($AG138&lt;2,"Fail",IF(OR($AC138="yes",$AD138="yes"),IF($AG138&gt;=3,"A","B"),"C")))</f>
        <v/>
      </c>
    </row>
    <row r="139">
      <c r="AG139" s="11">
        <f>IF(COUNTA(AB139:AF139)=0,"",COUNTIF(AB139:AF139,"yes"))</f>
        <v/>
      </c>
      <c r="AH139" s="11">
        <f>IF($AG139="","",IF($AG139&lt;2,"Fail",IF(OR($AC139="yes",$AD139="yes"),IF($AG139&gt;=3,"A","B"),"C")))</f>
        <v/>
      </c>
    </row>
    <row r="140">
      <c r="AG140" s="11">
        <f>IF(COUNTA(AB140:AF140)=0,"",COUNTIF(AB140:AF140,"yes"))</f>
        <v/>
      </c>
      <c r="AH140" s="11">
        <f>IF($AG140="","",IF($AG140&lt;2,"Fail",IF(OR($AC140="yes",$AD140="yes"),IF($AG140&gt;=3,"A","B"),"C")))</f>
        <v/>
      </c>
    </row>
    <row r="141">
      <c r="AG141" s="11">
        <f>IF(COUNTA(AB141:AF141)=0,"",COUNTIF(AB141:AF141,"yes"))</f>
        <v/>
      </c>
      <c r="AH141" s="11">
        <f>IF($AG141="","",IF($AG141&lt;2,"Fail",IF(OR($AC141="yes",$AD141="yes"),IF($AG141&gt;=3,"A","B"),"C")))</f>
        <v/>
      </c>
    </row>
    <row r="142">
      <c r="AG142" s="11">
        <f>IF(COUNTA(AB142:AF142)=0,"",COUNTIF(AB142:AF142,"yes"))</f>
        <v/>
      </c>
      <c r="AH142" s="11">
        <f>IF($AG142="","",IF($AG142&lt;2,"Fail",IF(OR($AC142="yes",$AD142="yes"),IF($AG142&gt;=3,"A","B"),"C")))</f>
        <v/>
      </c>
    </row>
    <row r="143">
      <c r="AG143" s="11">
        <f>IF(COUNTA(AB143:AF143)=0,"",COUNTIF(AB143:AF143,"yes"))</f>
        <v/>
      </c>
      <c r="AH143" s="11">
        <f>IF($AG143="","",IF($AG143&lt;2,"Fail",IF(OR($AC143="yes",$AD143="yes"),IF($AG143&gt;=3,"A","B"),"C")))</f>
        <v/>
      </c>
    </row>
    <row r="144">
      <c r="AG144" s="11">
        <f>IF(COUNTA(AB144:AF144)=0,"",COUNTIF(AB144:AF144,"yes"))</f>
        <v/>
      </c>
      <c r="AH144" s="11">
        <f>IF($AG144="","",IF($AG144&lt;2,"Fail",IF(OR($AC144="yes",$AD144="yes"),IF($AG144&gt;=3,"A","B"),"C")))</f>
        <v/>
      </c>
    </row>
    <row r="145">
      <c r="AG145" s="11">
        <f>IF(COUNTA(AB145:AF145)=0,"",COUNTIF(AB145:AF145,"yes"))</f>
        <v/>
      </c>
      <c r="AH145" s="11">
        <f>IF($AG145="","",IF($AG145&lt;2,"Fail",IF(OR($AC145="yes",$AD145="yes"),IF($AG145&gt;=3,"A","B"),"C")))</f>
        <v/>
      </c>
    </row>
    <row r="146">
      <c r="AG146" s="11">
        <f>IF(COUNTA(AB146:AF146)=0,"",COUNTIF(AB146:AF146,"yes"))</f>
        <v/>
      </c>
      <c r="AH146" s="11">
        <f>IF($AG146="","",IF($AG146&lt;2,"Fail",IF(OR($AC146="yes",$AD146="yes"),IF($AG146&gt;=3,"A","B"),"C")))</f>
        <v/>
      </c>
    </row>
    <row r="147">
      <c r="AG147" s="11">
        <f>IF(COUNTA(AB147:AF147)=0,"",COUNTIF(AB147:AF147,"yes"))</f>
        <v/>
      </c>
      <c r="AH147" s="11">
        <f>IF($AG147="","",IF($AG147&lt;2,"Fail",IF(OR($AC147="yes",$AD147="yes"),IF($AG147&gt;=3,"A","B"),"C")))</f>
        <v/>
      </c>
    </row>
    <row r="148">
      <c r="AG148" s="11">
        <f>IF(COUNTA(AB148:AF148)=0,"",COUNTIF(AB148:AF148,"yes"))</f>
        <v/>
      </c>
      <c r="AH148" s="11">
        <f>IF($AG148="","",IF($AG148&lt;2,"Fail",IF(OR($AC148="yes",$AD148="yes"),IF($AG148&gt;=3,"A","B"),"C")))</f>
        <v/>
      </c>
    </row>
    <row r="149">
      <c r="AG149" s="11">
        <f>IF(COUNTA(AB149:AF149)=0,"",COUNTIF(AB149:AF149,"yes"))</f>
        <v/>
      </c>
      <c r="AH149" s="11">
        <f>IF($AG149="","",IF($AG149&lt;2,"Fail",IF(OR($AC149="yes",$AD149="yes"),IF($AG149&gt;=3,"A","B"),"C")))</f>
        <v/>
      </c>
    </row>
    <row r="150">
      <c r="AG150" s="11">
        <f>IF(COUNTA(AB150:AF150)=0,"",COUNTIF(AB150:AF150,"yes"))</f>
        <v/>
      </c>
      <c r="AH150" s="11">
        <f>IF($AG150="","",IF($AG150&lt;2,"Fail",IF(OR($AC150="yes",$AD150="yes"),IF($AG150&gt;=3,"A","B"),"C")))</f>
        <v/>
      </c>
    </row>
    <row r="151">
      <c r="AG151" s="11">
        <f>IF(COUNTA(AB151:AF151)=0,"",COUNTIF(AB151:AF151,"yes"))</f>
        <v/>
      </c>
      <c r="AH151" s="11">
        <f>IF($AG151="","",IF($AG151&lt;2,"Fail",IF(OR($AC151="yes",$AD151="yes"),IF($AG151&gt;=3,"A","B"),"C")))</f>
        <v/>
      </c>
    </row>
    <row r="152">
      <c r="AG152" s="11">
        <f>IF(COUNTA(AB152:AF152)=0,"",COUNTIF(AB152:AF152,"yes"))</f>
        <v/>
      </c>
      <c r="AH152" s="11">
        <f>IF($AG152="","",IF($AG152&lt;2,"Fail",IF(OR($AC152="yes",$AD152="yes"),IF($AG152&gt;=3,"A","B"),"C")))</f>
        <v/>
      </c>
    </row>
    <row r="153">
      <c r="AG153" s="11">
        <f>IF(COUNTA(AB153:AF153)=0,"",COUNTIF(AB153:AF153,"yes"))</f>
        <v/>
      </c>
      <c r="AH153" s="11">
        <f>IF($AG153="","",IF($AG153&lt;2,"Fail",IF(OR($AC153="yes",$AD153="yes"),IF($AG153&gt;=3,"A","B"),"C")))</f>
        <v/>
      </c>
    </row>
    <row r="154">
      <c r="AG154" s="11">
        <f>IF(COUNTA(AB154:AF154)=0,"",COUNTIF(AB154:AF154,"yes"))</f>
        <v/>
      </c>
      <c r="AH154" s="11">
        <f>IF($AG154="","",IF($AG154&lt;2,"Fail",IF(OR($AC154="yes",$AD154="yes"),IF($AG154&gt;=3,"A","B"),"C")))</f>
        <v/>
      </c>
    </row>
    <row r="155">
      <c r="AG155" s="11">
        <f>IF(COUNTA(AB155:AF155)=0,"",COUNTIF(AB155:AF155,"yes"))</f>
        <v/>
      </c>
      <c r="AH155" s="11">
        <f>IF($AG155="","",IF($AG155&lt;2,"Fail",IF(OR($AC155="yes",$AD155="yes"),IF($AG155&gt;=3,"A","B"),"C")))</f>
        <v/>
      </c>
    </row>
    <row r="156">
      <c r="AG156" s="11">
        <f>IF(COUNTA(AB156:AF156)=0,"",COUNTIF(AB156:AF156,"yes"))</f>
        <v/>
      </c>
      <c r="AH156" s="11">
        <f>IF($AG156="","",IF($AG156&lt;2,"Fail",IF(OR($AC156="yes",$AD156="yes"),IF($AG156&gt;=3,"A","B"),"C")))</f>
        <v/>
      </c>
    </row>
    <row r="157">
      <c r="AG157" s="11">
        <f>IF(COUNTA(AB157:AF157)=0,"",COUNTIF(AB157:AF157,"yes"))</f>
        <v/>
      </c>
      <c r="AH157" s="11">
        <f>IF($AG157="","",IF($AG157&lt;2,"Fail",IF(OR($AC157="yes",$AD157="yes"),IF($AG157&gt;=3,"A","B"),"C")))</f>
        <v/>
      </c>
    </row>
    <row r="158">
      <c r="AG158" s="11">
        <f>IF(COUNTA(AB158:AF158)=0,"",COUNTIF(AB158:AF158,"yes"))</f>
        <v/>
      </c>
      <c r="AH158" s="11">
        <f>IF($AG158="","",IF($AG158&lt;2,"Fail",IF(OR($AC158="yes",$AD158="yes"),IF($AG158&gt;=3,"A","B"),"C")))</f>
        <v/>
      </c>
    </row>
    <row r="159">
      <c r="AG159" s="11">
        <f>IF(COUNTA(AB159:AF159)=0,"",COUNTIF(AB159:AF159,"yes"))</f>
        <v/>
      </c>
      <c r="AH159" s="11">
        <f>IF($AG159="","",IF($AG159&lt;2,"Fail",IF(OR($AC159="yes",$AD159="yes"),IF($AG159&gt;=3,"A","B"),"C")))</f>
        <v/>
      </c>
    </row>
    <row r="160">
      <c r="AG160" s="11">
        <f>IF(COUNTA(AB160:AF160)=0,"",COUNTIF(AB160:AF160,"yes"))</f>
        <v/>
      </c>
      <c r="AH160" s="11">
        <f>IF($AG160="","",IF($AG160&lt;2,"Fail",IF(OR($AC160="yes",$AD160="yes"),IF($AG160&gt;=3,"A","B"),"C")))</f>
        <v/>
      </c>
    </row>
    <row r="161">
      <c r="AG161" s="11">
        <f>IF(COUNTA(AB161:AF161)=0,"",COUNTIF(AB161:AF161,"yes"))</f>
        <v/>
      </c>
      <c r="AH161" s="11">
        <f>IF($AG161="","",IF($AG161&lt;2,"Fail",IF(OR($AC161="yes",$AD161="yes"),IF($AG161&gt;=3,"A","B"),"C")))</f>
        <v/>
      </c>
    </row>
    <row r="162">
      <c r="AG162" s="11">
        <f>IF(COUNTA(AB162:AF162)=0,"",COUNTIF(AB162:AF162,"yes"))</f>
        <v/>
      </c>
      <c r="AH162" s="11">
        <f>IF($AG162="","",IF($AG162&lt;2,"Fail",IF(OR($AC162="yes",$AD162="yes"),IF($AG162&gt;=3,"A","B"),"C")))</f>
        <v/>
      </c>
    </row>
    <row r="163">
      <c r="AG163" s="11">
        <f>IF(COUNTA(AB163:AF163)=0,"",COUNTIF(AB163:AF163,"yes"))</f>
        <v/>
      </c>
      <c r="AH163" s="11">
        <f>IF($AG163="","",IF($AG163&lt;2,"Fail",IF(OR($AC163="yes",$AD163="yes"),IF($AG163&gt;=3,"A","B"),"C")))</f>
        <v/>
      </c>
    </row>
    <row r="164">
      <c r="AG164" s="11">
        <f>IF(COUNTA(AB164:AF164)=0,"",COUNTIF(AB164:AF164,"yes"))</f>
        <v/>
      </c>
      <c r="AH164" s="11">
        <f>IF($AG164="","",IF($AG164&lt;2,"Fail",IF(OR($AC164="yes",$AD164="yes"),IF($AG164&gt;=3,"A","B"),"C")))</f>
        <v/>
      </c>
    </row>
    <row r="165">
      <c r="AG165" s="11">
        <f>IF(COUNTA(AB165:AF165)=0,"",COUNTIF(AB165:AF165,"yes"))</f>
        <v/>
      </c>
      <c r="AH165" s="11">
        <f>IF($AG165="","",IF($AG165&lt;2,"Fail",IF(OR($AC165="yes",$AD165="yes"),IF($AG165&gt;=3,"A","B"),"C")))</f>
        <v/>
      </c>
    </row>
    <row r="166">
      <c r="AG166" s="11">
        <f>IF(COUNTA(AB166:AF166)=0,"",COUNTIF(AB166:AF166,"yes"))</f>
        <v/>
      </c>
      <c r="AH166" s="11">
        <f>IF($AG166="","",IF($AG166&lt;2,"Fail",IF(OR($AC166="yes",$AD166="yes"),IF($AG166&gt;=3,"A","B"),"C")))</f>
        <v/>
      </c>
    </row>
    <row r="167">
      <c r="AG167" s="11">
        <f>IF(COUNTA(AB167:AF167)=0,"",COUNTIF(AB167:AF167,"yes"))</f>
        <v/>
      </c>
      <c r="AH167" s="11">
        <f>IF($AG167="","",IF($AG167&lt;2,"Fail",IF(OR($AC167="yes",$AD167="yes"),IF($AG167&gt;=3,"A","B"),"C")))</f>
        <v/>
      </c>
    </row>
    <row r="168">
      <c r="AG168" s="11">
        <f>IF(COUNTA(AB168:AF168)=0,"",COUNTIF(AB168:AF168,"yes"))</f>
        <v/>
      </c>
      <c r="AH168" s="11">
        <f>IF($AG168="","",IF($AG168&lt;2,"Fail",IF(OR($AC168="yes",$AD168="yes"),IF($AG168&gt;=3,"A","B"),"C")))</f>
        <v/>
      </c>
    </row>
    <row r="169">
      <c r="AG169" s="11">
        <f>IF(COUNTA(AB169:AF169)=0,"",COUNTIF(AB169:AF169,"yes"))</f>
        <v/>
      </c>
      <c r="AH169" s="11">
        <f>IF($AG169="","",IF($AG169&lt;2,"Fail",IF(OR($AC169="yes",$AD169="yes"),IF($AG169&gt;=3,"A","B"),"C")))</f>
        <v/>
      </c>
    </row>
    <row r="170">
      <c r="AG170" s="11">
        <f>IF(COUNTA(AB170:AF170)=0,"",COUNTIF(AB170:AF170,"yes"))</f>
        <v/>
      </c>
      <c r="AH170" s="11">
        <f>IF($AG170="","",IF($AG170&lt;2,"Fail",IF(OR($AC170="yes",$AD170="yes"),IF($AG170&gt;=3,"A","B"),"C")))</f>
        <v/>
      </c>
    </row>
    <row r="171">
      <c r="AG171" s="11">
        <f>IF(COUNTA(AB171:AF171)=0,"",COUNTIF(AB171:AF171,"yes"))</f>
        <v/>
      </c>
      <c r="AH171" s="11">
        <f>IF($AG171="","",IF($AG171&lt;2,"Fail",IF(OR($AC171="yes",$AD171="yes"),IF($AG171&gt;=3,"A","B"),"C")))</f>
        <v/>
      </c>
    </row>
    <row r="172">
      <c r="AG172" s="11">
        <f>IF(COUNTA(AB172:AF172)=0,"",COUNTIF(AB172:AF172,"yes"))</f>
        <v/>
      </c>
      <c r="AH172" s="11">
        <f>IF($AG172="","",IF($AG172&lt;2,"Fail",IF(OR($AC172="yes",$AD172="yes"),IF($AG172&gt;=3,"A","B"),"C")))</f>
        <v/>
      </c>
    </row>
    <row r="173">
      <c r="AG173" s="11">
        <f>IF(COUNTA(AB173:AF173)=0,"",COUNTIF(AB173:AF173,"yes"))</f>
        <v/>
      </c>
      <c r="AH173" s="11">
        <f>IF($AG173="","",IF($AG173&lt;2,"Fail",IF(OR($AC173="yes",$AD173="yes"),IF($AG173&gt;=3,"A","B"),"C")))</f>
        <v/>
      </c>
    </row>
    <row r="174">
      <c r="AG174" s="11">
        <f>IF(COUNTA(AB174:AF174)=0,"",COUNTIF(AB174:AF174,"yes"))</f>
        <v/>
      </c>
      <c r="AH174" s="11">
        <f>IF($AG174="","",IF($AG174&lt;2,"Fail",IF(OR($AC174="yes",$AD174="yes"),IF($AG174&gt;=3,"A","B"),"C")))</f>
        <v/>
      </c>
    </row>
    <row r="175">
      <c r="AG175" s="11">
        <f>IF(COUNTA(AB175:AF175)=0,"",COUNTIF(AB175:AF175,"yes"))</f>
        <v/>
      </c>
      <c r="AH175" s="11">
        <f>IF($AG175="","",IF($AG175&lt;2,"Fail",IF(OR($AC175="yes",$AD175="yes"),IF($AG175&gt;=3,"A","B"),"C")))</f>
        <v/>
      </c>
    </row>
    <row r="176">
      <c r="AG176" s="11">
        <f>IF(COUNTA(AB176:AF176)=0,"",COUNTIF(AB176:AF176,"yes"))</f>
        <v/>
      </c>
      <c r="AH176" s="11">
        <f>IF($AG176="","",IF($AG176&lt;2,"Fail",IF(OR($AC176="yes",$AD176="yes"),IF($AG176&gt;=3,"A","B"),"C")))</f>
        <v/>
      </c>
    </row>
    <row r="177">
      <c r="AG177" s="11">
        <f>IF(COUNTA(AB177:AF177)=0,"",COUNTIF(AB177:AF177,"yes"))</f>
        <v/>
      </c>
      <c r="AH177" s="11">
        <f>IF($AG177="","",IF($AG177&lt;2,"Fail",IF(OR($AC177="yes",$AD177="yes"),IF($AG177&gt;=3,"A","B"),"C")))</f>
        <v/>
      </c>
    </row>
    <row r="178">
      <c r="AG178" s="11">
        <f>IF(COUNTA(AB178:AF178)=0,"",COUNTIF(AB178:AF178,"yes"))</f>
        <v/>
      </c>
      <c r="AH178" s="11">
        <f>IF($AG178="","",IF($AG178&lt;2,"Fail",IF(OR($AC178="yes",$AD178="yes"),IF($AG178&gt;=3,"A","B"),"C")))</f>
        <v/>
      </c>
    </row>
    <row r="179">
      <c r="AG179" s="11">
        <f>IF(COUNTA(AB179:AF179)=0,"",COUNTIF(AB179:AF179,"yes"))</f>
        <v/>
      </c>
      <c r="AH179" s="11">
        <f>IF($AG179="","",IF($AG179&lt;2,"Fail",IF(OR($AC179="yes",$AD179="yes"),IF($AG179&gt;=3,"A","B"),"C")))</f>
        <v/>
      </c>
    </row>
    <row r="180">
      <c r="AG180" s="11">
        <f>IF(COUNTA(AB180:AF180)=0,"",COUNTIF(AB180:AF180,"yes"))</f>
        <v/>
      </c>
      <c r="AH180" s="11">
        <f>IF($AG180="","",IF($AG180&lt;2,"Fail",IF(OR($AC180="yes",$AD180="yes"),IF($AG180&gt;=3,"A","B"),"C")))</f>
        <v/>
      </c>
    </row>
    <row r="181">
      <c r="AG181" s="11">
        <f>IF(COUNTA(AB181:AF181)=0,"",COUNTIF(AB181:AF181,"yes"))</f>
        <v/>
      </c>
      <c r="AH181" s="11">
        <f>IF($AG181="","",IF($AG181&lt;2,"Fail",IF(OR($AC181="yes",$AD181="yes"),IF($AG181&gt;=3,"A","B"),"C")))</f>
        <v/>
      </c>
    </row>
    <row r="182">
      <c r="AG182" s="11">
        <f>IF(COUNTA(AB182:AF182)=0,"",COUNTIF(AB182:AF182,"yes"))</f>
        <v/>
      </c>
      <c r="AH182" s="11">
        <f>IF($AG182="","",IF($AG182&lt;2,"Fail",IF(OR($AC182="yes",$AD182="yes"),IF($AG182&gt;=3,"A","B"),"C")))</f>
        <v/>
      </c>
    </row>
    <row r="183">
      <c r="AG183" s="11">
        <f>IF(COUNTA(AB183:AF183)=0,"",COUNTIF(AB183:AF183,"yes"))</f>
        <v/>
      </c>
      <c r="AH183" s="11">
        <f>IF($AG183="","",IF($AG183&lt;2,"Fail",IF(OR($AC183="yes",$AD183="yes"),IF($AG183&gt;=3,"A","B"),"C")))</f>
        <v/>
      </c>
    </row>
    <row r="184">
      <c r="AG184" s="11">
        <f>IF(COUNTA(AB184:AF184)=0,"",COUNTIF(AB184:AF184,"yes"))</f>
        <v/>
      </c>
      <c r="AH184" s="11">
        <f>IF($AG184="","",IF($AG184&lt;2,"Fail",IF(OR($AC184="yes",$AD184="yes"),IF($AG184&gt;=3,"A","B"),"C")))</f>
        <v/>
      </c>
    </row>
    <row r="185">
      <c r="AG185" s="11">
        <f>IF(COUNTA(AB185:AF185)=0,"",COUNTIF(AB185:AF185,"yes"))</f>
        <v/>
      </c>
      <c r="AH185" s="11">
        <f>IF($AG185="","",IF($AG185&lt;2,"Fail",IF(OR($AC185="yes",$AD185="yes"),IF($AG185&gt;=3,"A","B"),"C")))</f>
        <v/>
      </c>
    </row>
    <row r="186">
      <c r="AG186" s="11">
        <f>IF(COUNTA(AB186:AF186)=0,"",COUNTIF(AB186:AF186,"yes"))</f>
        <v/>
      </c>
      <c r="AH186" s="11">
        <f>IF($AG186="","",IF($AG186&lt;2,"Fail",IF(OR($AC186="yes",$AD186="yes"),IF($AG186&gt;=3,"A","B"),"C")))</f>
        <v/>
      </c>
    </row>
    <row r="187">
      <c r="AG187" s="11">
        <f>IF(COUNTA(AB187:AF187)=0,"",COUNTIF(AB187:AF187,"yes"))</f>
        <v/>
      </c>
      <c r="AH187" s="11">
        <f>IF($AG187="","",IF($AG187&lt;2,"Fail",IF(OR($AC187="yes",$AD187="yes"),IF($AG187&gt;=3,"A","B"),"C")))</f>
        <v/>
      </c>
    </row>
    <row r="188">
      <c r="AG188" s="11">
        <f>IF(COUNTA(AB188:AF188)=0,"",COUNTIF(AB188:AF188,"yes"))</f>
        <v/>
      </c>
      <c r="AH188" s="11">
        <f>IF($AG188="","",IF($AG188&lt;2,"Fail",IF(OR($AC188="yes",$AD188="yes"),IF($AG188&gt;=3,"A","B"),"C")))</f>
        <v/>
      </c>
    </row>
    <row r="189">
      <c r="AG189" s="11">
        <f>IF(COUNTA(AB189:AF189)=0,"",COUNTIF(AB189:AF189,"yes"))</f>
        <v/>
      </c>
      <c r="AH189" s="11">
        <f>IF($AG189="","",IF($AG189&lt;2,"Fail",IF(OR($AC189="yes",$AD189="yes"),IF($AG189&gt;=3,"A","B"),"C")))</f>
        <v/>
      </c>
    </row>
    <row r="190">
      <c r="AG190" s="11">
        <f>IF(COUNTA(AB190:AF190)=0,"",COUNTIF(AB190:AF190,"yes"))</f>
        <v/>
      </c>
      <c r="AH190" s="11">
        <f>IF($AG190="","",IF($AG190&lt;2,"Fail",IF(OR($AC190="yes",$AD190="yes"),IF($AG190&gt;=3,"A","B"),"C")))</f>
        <v/>
      </c>
    </row>
    <row r="191">
      <c r="AG191" s="11">
        <f>IF(COUNTA(AB191:AF191)=0,"",COUNTIF(AB191:AF191,"yes"))</f>
        <v/>
      </c>
      <c r="AH191" s="11">
        <f>IF($AG191="","",IF($AG191&lt;2,"Fail",IF(OR($AC191="yes",$AD191="yes"),IF($AG191&gt;=3,"A","B"),"C")))</f>
        <v/>
      </c>
    </row>
    <row r="192">
      <c r="AG192" s="11">
        <f>IF(COUNTA(AB192:AF192)=0,"",COUNTIF(AB192:AF192,"yes"))</f>
        <v/>
      </c>
      <c r="AH192" s="11">
        <f>IF($AG192="","",IF($AG192&lt;2,"Fail",IF(OR($AC192="yes",$AD192="yes"),IF($AG192&gt;=3,"A","B"),"C")))</f>
        <v/>
      </c>
    </row>
    <row r="193">
      <c r="AG193" s="11">
        <f>IF(COUNTA(AB193:AF193)=0,"",COUNTIF(AB193:AF193,"yes"))</f>
        <v/>
      </c>
      <c r="AH193" s="11">
        <f>IF($AG193="","",IF($AG193&lt;2,"Fail",IF(OR($AC193="yes",$AD193="yes"),IF($AG193&gt;=3,"A","B"),"C")))</f>
        <v/>
      </c>
    </row>
    <row r="194">
      <c r="AG194" s="11">
        <f>IF(COUNTA(AB194:AF194)=0,"",COUNTIF(AB194:AF194,"yes"))</f>
        <v/>
      </c>
      <c r="AH194" s="11">
        <f>IF($AG194="","",IF($AG194&lt;2,"Fail",IF(OR($AC194="yes",$AD194="yes"),IF($AG194&gt;=3,"A","B"),"C")))</f>
        <v/>
      </c>
    </row>
    <row r="195">
      <c r="AG195" s="11">
        <f>IF(COUNTA(AB195:AF195)=0,"",COUNTIF(AB195:AF195,"yes"))</f>
        <v/>
      </c>
      <c r="AH195" s="11">
        <f>IF($AG195="","",IF($AG195&lt;2,"Fail",IF(OR($AC195="yes",$AD195="yes"),IF($AG195&gt;=3,"A","B"),"C")))</f>
        <v/>
      </c>
    </row>
    <row r="196">
      <c r="AG196" s="11">
        <f>IF(COUNTA(AB196:AF196)=0,"",COUNTIF(AB196:AF196,"yes"))</f>
        <v/>
      </c>
      <c r="AH196" s="11">
        <f>IF($AG196="","",IF($AG196&lt;2,"Fail",IF(OR($AC196="yes",$AD196="yes"),IF($AG196&gt;=3,"A","B"),"C")))</f>
        <v/>
      </c>
    </row>
    <row r="197">
      <c r="AG197" s="11">
        <f>IF(COUNTA(AB197:AF197)=0,"",COUNTIF(AB197:AF197,"yes"))</f>
        <v/>
      </c>
      <c r="AH197" s="11">
        <f>IF($AG197="","",IF($AG197&lt;2,"Fail",IF(OR($AC197="yes",$AD197="yes"),IF($AG197&gt;=3,"A","B"),"C")))</f>
        <v/>
      </c>
    </row>
    <row r="198">
      <c r="AG198" s="11">
        <f>IF(COUNTA(AB198:AF198)=0,"",COUNTIF(AB198:AF198,"yes"))</f>
        <v/>
      </c>
      <c r="AH198" s="11">
        <f>IF($AG198="","",IF($AG198&lt;2,"Fail",IF(OR($AC198="yes",$AD198="yes"),IF($AG198&gt;=3,"A","B"),"C")))</f>
        <v/>
      </c>
    </row>
    <row r="199">
      <c r="AG199" s="11">
        <f>IF(COUNTA(AB199:AF199)=0,"",COUNTIF(AB199:AF199,"yes"))</f>
        <v/>
      </c>
      <c r="AH199" s="11">
        <f>IF($AG199="","",IF($AG199&lt;2,"Fail",IF(OR($AC199="yes",$AD199="yes"),IF($AG199&gt;=3,"A","B"),"C")))</f>
        <v/>
      </c>
    </row>
    <row r="200">
      <c r="AG200" s="11">
        <f>IF(COUNTA(AB200:AF200)=0,"",COUNTIF(AB200:AF200,"yes"))</f>
        <v/>
      </c>
      <c r="AH200" s="11">
        <f>IF($AG200="","",IF($AG200&lt;2,"Fail",IF(OR($AC200="yes",$AD200="yes"),IF($AG200&gt;=3,"A","B"),"C")))</f>
        <v/>
      </c>
    </row>
    <row r="201">
      <c r="AG201" s="11">
        <f>IF(COUNTA(AB201:AF201)=0,"",COUNTIF(AB201:AF201,"yes"))</f>
        <v/>
      </c>
      <c r="AH201" s="11">
        <f>IF($AG201="","",IF($AG201&lt;2,"Fail",IF(OR($AC201="yes",$AD201="yes"),IF($AG201&gt;=3,"A","B"),"C")))</f>
        <v/>
      </c>
    </row>
    <row r="202">
      <c r="AG202" s="11">
        <f>IF(COUNTA(AB202:AF202)=0,"",COUNTIF(AB202:AF202,"yes"))</f>
        <v/>
      </c>
      <c r="AH202" s="11">
        <f>IF($AG202="","",IF($AG202&lt;2,"Fail",IF(OR($AC202="yes",$AD202="yes"),IF($AG202&gt;=3,"A","B"),"C")))</f>
        <v/>
      </c>
    </row>
    <row r="203">
      <c r="AG203" s="11">
        <f>IF(COUNTA(AB203:AF203)=0,"",COUNTIF(AB203:AF203,"yes"))</f>
        <v/>
      </c>
      <c r="AH203" s="11">
        <f>IF($AG203="","",IF($AG203&lt;2,"Fail",IF(OR($AC203="yes",$AD203="yes"),IF($AG203&gt;=3,"A","B"),"C")))</f>
        <v/>
      </c>
    </row>
    <row r="204">
      <c r="AG204" s="11">
        <f>IF(COUNTA(AB204:AF204)=0,"",COUNTIF(AB204:AF204,"yes"))</f>
        <v/>
      </c>
      <c r="AH204" s="11">
        <f>IF($AG204="","",IF($AG204&lt;2,"Fail",IF(OR($AC204="yes",$AD204="yes"),IF($AG204&gt;=3,"A","B"),"C")))</f>
        <v/>
      </c>
    </row>
    <row r="205">
      <c r="AG205" s="11">
        <f>IF(COUNTA(AB205:AF205)=0,"",COUNTIF(AB205:AF205,"yes"))</f>
        <v/>
      </c>
      <c r="AH205" s="11">
        <f>IF($AG205="","",IF($AG205&lt;2,"Fail",IF(OR($AC205="yes",$AD205="yes"),IF($AG205&gt;=3,"A","B"),"C")))</f>
        <v/>
      </c>
    </row>
    <row r="206">
      <c r="AG206" s="11">
        <f>IF(COUNTA(AB206:AF206)=0,"",COUNTIF(AB206:AF206,"yes"))</f>
        <v/>
      </c>
      <c r="AH206" s="11">
        <f>IF($AG206="","",IF($AG206&lt;2,"Fail",IF(OR($AC206="yes",$AD206="yes"),IF($AG206&gt;=3,"A","B"),"C")))</f>
        <v/>
      </c>
    </row>
    <row r="207">
      <c r="AG207" s="11">
        <f>IF(COUNTA(AB207:AF207)=0,"",COUNTIF(AB207:AF207,"yes"))</f>
        <v/>
      </c>
      <c r="AH207" s="11">
        <f>IF($AG207="","",IF($AG207&lt;2,"Fail",IF(OR($AC207="yes",$AD207="yes"),IF($AG207&gt;=3,"A","B"),"C")))</f>
        <v/>
      </c>
    </row>
    <row r="208">
      <c r="AG208" s="11">
        <f>IF(COUNTA(AB208:AF208)=0,"",COUNTIF(AB208:AF208,"yes"))</f>
        <v/>
      </c>
      <c r="AH208" s="11">
        <f>IF($AG208="","",IF($AG208&lt;2,"Fail",IF(OR($AC208="yes",$AD208="yes"),IF($AG208&gt;=3,"A","B"),"C")))</f>
        <v/>
      </c>
    </row>
    <row r="209">
      <c r="AG209" s="11">
        <f>IF(COUNTA(AB209:AF209)=0,"",COUNTIF(AB209:AF209,"yes"))</f>
        <v/>
      </c>
      <c r="AH209" s="11">
        <f>IF($AG209="","",IF($AG209&lt;2,"Fail",IF(OR($AC209="yes",$AD209="yes"),IF($AG209&gt;=3,"A","B"),"C")))</f>
        <v/>
      </c>
    </row>
    <row r="210">
      <c r="AG210" s="11">
        <f>IF(COUNTA(AB210:AF210)=0,"",COUNTIF(AB210:AF210,"yes"))</f>
        <v/>
      </c>
      <c r="AH210" s="11">
        <f>IF($AG210="","",IF($AG210&lt;2,"Fail",IF(OR($AC210="yes",$AD210="yes"),IF($AG210&gt;=3,"A","B"),"C")))</f>
        <v/>
      </c>
    </row>
    <row r="211">
      <c r="AG211" s="11">
        <f>IF(COUNTA(AB211:AF211)=0,"",COUNTIF(AB211:AF211,"yes"))</f>
        <v/>
      </c>
      <c r="AH211" s="11">
        <f>IF($AG211="","",IF($AG211&lt;2,"Fail",IF(OR($AC211="yes",$AD211="yes"),IF($AG211&gt;=3,"A","B"),"C")))</f>
        <v/>
      </c>
    </row>
    <row r="212">
      <c r="AG212" s="11">
        <f>IF(COUNTA(AB212:AF212)=0,"",COUNTIF(AB212:AF212,"yes"))</f>
        <v/>
      </c>
      <c r="AH212" s="11">
        <f>IF($AG212="","",IF($AG212&lt;2,"Fail",IF(OR($AC212="yes",$AD212="yes"),IF($AG212&gt;=3,"A","B"),"C")))</f>
        <v/>
      </c>
    </row>
    <row r="213">
      <c r="AG213" s="11">
        <f>IF(COUNTA(AB213:AF213)=0,"",COUNTIF(AB213:AF213,"yes"))</f>
        <v/>
      </c>
      <c r="AH213" s="11">
        <f>IF($AG213="","",IF($AG213&lt;2,"Fail",IF(OR($AC213="yes",$AD213="yes"),IF($AG213&gt;=3,"A","B"),"C")))</f>
        <v/>
      </c>
    </row>
    <row r="214">
      <c r="AG214" s="11">
        <f>IF(COUNTA(AB214:AF214)=0,"",COUNTIF(AB214:AF214,"yes"))</f>
        <v/>
      </c>
      <c r="AH214" s="11">
        <f>IF($AG214="","",IF($AG214&lt;2,"Fail",IF(OR($AC214="yes",$AD214="yes"),IF($AG214&gt;=3,"A","B"),"C")))</f>
        <v/>
      </c>
    </row>
    <row r="215">
      <c r="AG215" s="11">
        <f>IF(COUNTA(AB215:AF215)=0,"",COUNTIF(AB215:AF215,"yes"))</f>
        <v/>
      </c>
      <c r="AH215" s="11">
        <f>IF($AG215="","",IF($AG215&lt;2,"Fail",IF(OR($AC215="yes",$AD215="yes"),IF($AG215&gt;=3,"A","B"),"C")))</f>
        <v/>
      </c>
    </row>
    <row r="216">
      <c r="AG216" s="11">
        <f>IF(COUNTA(AB216:AF216)=0,"",COUNTIF(AB216:AF216,"yes"))</f>
        <v/>
      </c>
      <c r="AH216" s="11">
        <f>IF($AG216="","",IF($AG216&lt;2,"Fail",IF(OR($AC216="yes",$AD216="yes"),IF($AG216&gt;=3,"A","B"),"C")))</f>
        <v/>
      </c>
    </row>
    <row r="217">
      <c r="AG217" s="11">
        <f>IF(COUNTA(AB217:AF217)=0,"",COUNTIF(AB217:AF217,"yes"))</f>
        <v/>
      </c>
      <c r="AH217" s="11">
        <f>IF($AG217="","",IF($AG217&lt;2,"Fail",IF(OR($AC217="yes",$AD217="yes"),IF($AG217&gt;=3,"A","B"),"C")))</f>
        <v/>
      </c>
    </row>
    <row r="218">
      <c r="AG218" s="11">
        <f>IF(COUNTA(AB218:AF218)=0,"",COUNTIF(AB218:AF218,"yes"))</f>
        <v/>
      </c>
      <c r="AH218" s="11">
        <f>IF($AG218="","",IF($AG218&lt;2,"Fail",IF(OR($AC218="yes",$AD218="yes"),IF($AG218&gt;=3,"A","B"),"C")))</f>
        <v/>
      </c>
    </row>
    <row r="219">
      <c r="AG219" s="11">
        <f>IF(COUNTA(AB219:AF219)=0,"",COUNTIF(AB219:AF219,"yes"))</f>
        <v/>
      </c>
      <c r="AH219" s="11">
        <f>IF($AG219="","",IF($AG219&lt;2,"Fail",IF(OR($AC219="yes",$AD219="yes"),IF($AG219&gt;=3,"A","B"),"C")))</f>
        <v/>
      </c>
    </row>
    <row r="220">
      <c r="AG220" s="11">
        <f>IF(COUNTA(AB220:AF220)=0,"",COUNTIF(AB220:AF220,"yes"))</f>
        <v/>
      </c>
      <c r="AH220" s="11">
        <f>IF($AG220="","",IF($AG220&lt;2,"Fail",IF(OR($AC220="yes",$AD220="yes"),IF($AG220&gt;=3,"A","B"),"C")))</f>
        <v/>
      </c>
    </row>
    <row r="221">
      <c r="AG221" s="11">
        <f>IF(COUNTA(AB221:AF221)=0,"",COUNTIF(AB221:AF221,"yes"))</f>
        <v/>
      </c>
      <c r="AH221" s="11">
        <f>IF($AG221="","",IF($AG221&lt;2,"Fail",IF(OR($AC221="yes",$AD221="yes"),IF($AG221&gt;=3,"A","B"),"C")))</f>
        <v/>
      </c>
    </row>
    <row r="222">
      <c r="AG222" s="11">
        <f>IF(COUNTA(AB222:AF222)=0,"",COUNTIF(AB222:AF222,"yes"))</f>
        <v/>
      </c>
      <c r="AH222" s="11">
        <f>IF($AG222="","",IF($AG222&lt;2,"Fail",IF(OR($AC222="yes",$AD222="yes"),IF($AG222&gt;=3,"A","B"),"C")))</f>
        <v/>
      </c>
    </row>
    <row r="223">
      <c r="AG223" s="11">
        <f>IF(COUNTA(AB223:AF223)=0,"",COUNTIF(AB223:AF223,"yes"))</f>
        <v/>
      </c>
      <c r="AH223" s="11">
        <f>IF($AG223="","",IF($AG223&lt;2,"Fail",IF(OR($AC223="yes",$AD223="yes"),IF($AG223&gt;=3,"A","B"),"C")))</f>
        <v/>
      </c>
    </row>
    <row r="224">
      <c r="AG224" s="11">
        <f>IF(COUNTA(AB224:AF224)=0,"",COUNTIF(AB224:AF224,"yes"))</f>
        <v/>
      </c>
      <c r="AH224" s="11">
        <f>IF($AG224="","",IF($AG224&lt;2,"Fail",IF(OR($AC224="yes",$AD224="yes"),IF($AG224&gt;=3,"A","B"),"C")))</f>
        <v/>
      </c>
    </row>
    <row r="225">
      <c r="AG225" s="11">
        <f>IF(COUNTA(AB225:AF225)=0,"",COUNTIF(AB225:AF225,"yes"))</f>
        <v/>
      </c>
      <c r="AH225" s="11">
        <f>IF($AG225="","",IF($AG225&lt;2,"Fail",IF(OR($AC225="yes",$AD225="yes"),IF($AG225&gt;=3,"A","B"),"C")))</f>
        <v/>
      </c>
    </row>
    <row r="226">
      <c r="AG226" s="11">
        <f>IF(COUNTA(AB226:AF226)=0,"",COUNTIF(AB226:AF226,"yes"))</f>
        <v/>
      </c>
      <c r="AH226" s="11">
        <f>IF($AG226="","",IF($AG226&lt;2,"Fail",IF(OR($AC226="yes",$AD226="yes"),IF($AG226&gt;=3,"A","B"),"C")))</f>
        <v/>
      </c>
    </row>
    <row r="227">
      <c r="AG227" s="11">
        <f>IF(COUNTA(AB227:AF227)=0,"",COUNTIF(AB227:AF227,"yes"))</f>
        <v/>
      </c>
      <c r="AH227" s="11">
        <f>IF($AG227="","",IF($AG227&lt;2,"Fail",IF(OR($AC227="yes",$AD227="yes"),IF($AG227&gt;=3,"A","B"),"C")))</f>
        <v/>
      </c>
    </row>
    <row r="228">
      <c r="AG228" s="11">
        <f>IF(COUNTA(AB228:AF228)=0,"",COUNTIF(AB228:AF228,"yes"))</f>
        <v/>
      </c>
      <c r="AH228" s="11">
        <f>IF($AG228="","",IF($AG228&lt;2,"Fail",IF(OR($AC228="yes",$AD228="yes"),IF($AG228&gt;=3,"A","B"),"C")))</f>
        <v/>
      </c>
    </row>
    <row r="229">
      <c r="AG229" s="11">
        <f>IF(COUNTA(AB229:AF229)=0,"",COUNTIF(AB229:AF229,"yes"))</f>
        <v/>
      </c>
      <c r="AH229" s="11">
        <f>IF($AG229="","",IF($AG229&lt;2,"Fail",IF(OR($AC229="yes",$AD229="yes"),IF($AG229&gt;=3,"A","B"),"C")))</f>
        <v/>
      </c>
    </row>
    <row r="230">
      <c r="AG230" s="11">
        <f>IF(COUNTA(AB230:AF230)=0,"",COUNTIF(AB230:AF230,"yes"))</f>
        <v/>
      </c>
      <c r="AH230" s="11">
        <f>IF($AG230="","",IF($AG230&lt;2,"Fail",IF(OR($AC230="yes",$AD230="yes"),IF($AG230&gt;=3,"A","B"),"C")))</f>
        <v/>
      </c>
    </row>
    <row r="231">
      <c r="AG231" s="11">
        <f>IF(COUNTA(AB231:AF231)=0,"",COUNTIF(AB231:AF231,"yes"))</f>
        <v/>
      </c>
      <c r="AH231" s="11">
        <f>IF($AG231="","",IF($AG231&lt;2,"Fail",IF(OR($AC231="yes",$AD231="yes"),IF($AG231&gt;=3,"A","B"),"C")))</f>
        <v/>
      </c>
    </row>
    <row r="232">
      <c r="AG232" s="11">
        <f>IF(COUNTA(AB232:AF232)=0,"",COUNTIF(AB232:AF232,"yes"))</f>
        <v/>
      </c>
      <c r="AH232" s="11">
        <f>IF($AG232="","",IF($AG232&lt;2,"Fail",IF(OR($AC232="yes",$AD232="yes"),IF($AG232&gt;=3,"A","B"),"C")))</f>
        <v/>
      </c>
    </row>
    <row r="233">
      <c r="AG233" s="11">
        <f>IF(COUNTA(AB233:AF233)=0,"",COUNTIF(AB233:AF233,"yes"))</f>
        <v/>
      </c>
      <c r="AH233" s="11">
        <f>IF($AG233="","",IF($AG233&lt;2,"Fail",IF(OR($AC233="yes",$AD233="yes"),IF($AG233&gt;=3,"A","B"),"C")))</f>
        <v/>
      </c>
    </row>
    <row r="234">
      <c r="AG234" s="11">
        <f>IF(COUNTA(AB234:AF234)=0,"",COUNTIF(AB234:AF234,"yes"))</f>
        <v/>
      </c>
      <c r="AH234" s="11">
        <f>IF($AG234="","",IF($AG234&lt;2,"Fail",IF(OR($AC234="yes",$AD234="yes"),IF($AG234&gt;=3,"A","B"),"C")))</f>
        <v/>
      </c>
    </row>
    <row r="235">
      <c r="AG235" s="11">
        <f>IF(COUNTA(AB235:AF235)=0,"",COUNTIF(AB235:AF235,"yes"))</f>
        <v/>
      </c>
      <c r="AH235" s="11">
        <f>IF($AG235="","",IF($AG235&lt;2,"Fail",IF(OR($AC235="yes",$AD235="yes"),IF($AG235&gt;=3,"A","B"),"C")))</f>
        <v/>
      </c>
    </row>
    <row r="236">
      <c r="AG236" s="11">
        <f>IF(COUNTA(AB236:AF236)=0,"",COUNTIF(AB236:AF236,"yes"))</f>
        <v/>
      </c>
      <c r="AH236" s="11">
        <f>IF($AG236="","",IF($AG236&lt;2,"Fail",IF(OR($AC236="yes",$AD236="yes"),IF($AG236&gt;=3,"A","B"),"C")))</f>
        <v/>
      </c>
    </row>
    <row r="237">
      <c r="AG237" s="11">
        <f>IF(COUNTA(AB237:AF237)=0,"",COUNTIF(AB237:AF237,"yes"))</f>
        <v/>
      </c>
      <c r="AH237" s="11">
        <f>IF($AG237="","",IF($AG237&lt;2,"Fail",IF(OR($AC237="yes",$AD237="yes"),IF($AG237&gt;=3,"A","B"),"C")))</f>
        <v/>
      </c>
    </row>
    <row r="238">
      <c r="AG238" s="11">
        <f>IF(COUNTA(AB238:AF238)=0,"",COUNTIF(AB238:AF238,"yes"))</f>
        <v/>
      </c>
      <c r="AH238" s="11">
        <f>IF($AG238="","",IF($AG238&lt;2,"Fail",IF(OR($AC238="yes",$AD238="yes"),IF($AG238&gt;=3,"A","B"),"C")))</f>
        <v/>
      </c>
    </row>
    <row r="239">
      <c r="AG239" s="11">
        <f>IF(COUNTA(AB239:AF239)=0,"",COUNTIF(AB239:AF239,"yes"))</f>
        <v/>
      </c>
      <c r="AH239" s="11">
        <f>IF($AG239="","",IF($AG239&lt;2,"Fail",IF(OR($AC239="yes",$AD239="yes"),IF($AG239&gt;=3,"A","B"),"C")))</f>
        <v/>
      </c>
    </row>
    <row r="240">
      <c r="AG240" s="11">
        <f>IF(COUNTA(AB240:AF240)=0,"",COUNTIF(AB240:AF240,"yes"))</f>
        <v/>
      </c>
      <c r="AH240" s="11">
        <f>IF($AG240="","",IF($AG240&lt;2,"Fail",IF(OR($AC240="yes",$AD240="yes"),IF($AG240&gt;=3,"A","B"),"C")))</f>
        <v/>
      </c>
    </row>
    <row r="241">
      <c r="AG241" s="11">
        <f>IF(COUNTA(AB241:AF241)=0,"",COUNTIF(AB241:AF241,"yes"))</f>
        <v/>
      </c>
      <c r="AH241" s="11">
        <f>IF($AG241="","",IF($AG241&lt;2,"Fail",IF(OR($AC241="yes",$AD241="yes"),IF($AG241&gt;=3,"A","B"),"C")))</f>
        <v/>
      </c>
    </row>
    <row r="242">
      <c r="AG242" s="11">
        <f>IF(COUNTA(AB242:AF242)=0,"",COUNTIF(AB242:AF242,"yes"))</f>
        <v/>
      </c>
      <c r="AH242" s="11">
        <f>IF($AG242="","",IF($AG242&lt;2,"Fail",IF(OR($AC242="yes",$AD242="yes"),IF($AG242&gt;=3,"A","B"),"C")))</f>
        <v/>
      </c>
    </row>
    <row r="243">
      <c r="AG243" s="11">
        <f>IF(COUNTA(AB243:AF243)=0,"",COUNTIF(AB243:AF243,"yes"))</f>
        <v/>
      </c>
      <c r="AH243" s="11">
        <f>IF($AG243="","",IF($AG243&lt;2,"Fail",IF(OR($AC243="yes",$AD243="yes"),IF($AG243&gt;=3,"A","B"),"C")))</f>
        <v/>
      </c>
    </row>
    <row r="244">
      <c r="AG244" s="11">
        <f>IF(COUNTA(AB244:AF244)=0,"",COUNTIF(AB244:AF244,"yes"))</f>
        <v/>
      </c>
      <c r="AH244" s="11">
        <f>IF($AG244="","",IF($AG244&lt;2,"Fail",IF(OR($AC244="yes",$AD244="yes"),IF($AG244&gt;=3,"A","B"),"C")))</f>
        <v/>
      </c>
    </row>
    <row r="245">
      <c r="AG245" s="11">
        <f>IF(COUNTA(AB245:AF245)=0,"",COUNTIF(AB245:AF245,"yes"))</f>
        <v/>
      </c>
      <c r="AH245" s="11">
        <f>IF($AG245="","",IF($AG245&lt;2,"Fail",IF(OR($AC245="yes",$AD245="yes"),IF($AG245&gt;=3,"A","B"),"C")))</f>
        <v/>
      </c>
    </row>
    <row r="246">
      <c r="AG246" s="11">
        <f>IF(COUNTA(AB246:AF246)=0,"",COUNTIF(AB246:AF246,"yes"))</f>
        <v/>
      </c>
      <c r="AH246" s="11">
        <f>IF($AG246="","",IF($AG246&lt;2,"Fail",IF(OR($AC246="yes",$AD246="yes"),IF($AG246&gt;=3,"A","B"),"C")))</f>
        <v/>
      </c>
    </row>
    <row r="247">
      <c r="AG247" s="11">
        <f>IF(COUNTA(AB247:AF247)=0,"",COUNTIF(AB247:AF247,"yes"))</f>
        <v/>
      </c>
      <c r="AH247" s="11">
        <f>IF($AG247="","",IF($AG247&lt;2,"Fail",IF(OR($AC247="yes",$AD247="yes"),IF($AG247&gt;=3,"A","B"),"C")))</f>
        <v/>
      </c>
    </row>
    <row r="248">
      <c r="AG248" s="11">
        <f>IF(COUNTA(AB248:AF248)=0,"",COUNTIF(AB248:AF248,"yes"))</f>
        <v/>
      </c>
      <c r="AH248" s="11">
        <f>IF($AG248="","",IF($AG248&lt;2,"Fail",IF(OR($AC248="yes",$AD248="yes"),IF($AG248&gt;=3,"A","B"),"C")))</f>
        <v/>
      </c>
    </row>
    <row r="249">
      <c r="AG249" s="11">
        <f>IF(COUNTA(AB249:AF249)=0,"",COUNTIF(AB249:AF249,"yes"))</f>
        <v/>
      </c>
      <c r="AH249" s="11">
        <f>IF($AG249="","",IF($AG249&lt;2,"Fail",IF(OR($AC249="yes",$AD249="yes"),IF($AG249&gt;=3,"A","B"),"C")))</f>
        <v/>
      </c>
    </row>
    <row r="250">
      <c r="AG250" s="11">
        <f>IF(COUNTA(AB250:AF250)=0,"",COUNTIF(AB250:AF250,"yes"))</f>
        <v/>
      </c>
      <c r="AH250" s="11">
        <f>IF($AG250="","",IF($AG250&lt;2,"Fail",IF(OR($AC250="yes",$AD250="yes"),IF($AG250&gt;=3,"A","B"),"C")))</f>
        <v/>
      </c>
    </row>
    <row r="251">
      <c r="AG251" s="11">
        <f>IF(COUNTA(AB251:AF251)=0,"",COUNTIF(AB251:AF251,"yes"))</f>
        <v/>
      </c>
      <c r="AH251" s="11">
        <f>IF($AG251="","",IF($AG251&lt;2,"Fail",IF(OR($AC251="yes",$AD251="yes"),IF($AG251&gt;=3,"A","B"),"C")))</f>
        <v/>
      </c>
    </row>
    <row r="252">
      <c r="AG252" s="11">
        <f>IF(COUNTA(AB252:AF252)=0,"",COUNTIF(AB252:AF252,"yes"))</f>
        <v/>
      </c>
      <c r="AH252" s="11">
        <f>IF($AG252="","",IF($AG252&lt;2,"Fail",IF(OR($AC252="yes",$AD252="yes"),IF($AG252&gt;=3,"A","B"),"C")))</f>
        <v/>
      </c>
    </row>
    <row r="253">
      <c r="AG253" s="11">
        <f>IF(COUNTA(AB253:AF253)=0,"",COUNTIF(AB253:AF253,"yes"))</f>
        <v/>
      </c>
      <c r="AH253" s="11">
        <f>IF($AG253="","",IF($AG253&lt;2,"Fail",IF(OR($AC253="yes",$AD253="yes"),IF($AG253&gt;=3,"A","B"),"C")))</f>
        <v/>
      </c>
    </row>
    <row r="254">
      <c r="AG254" s="11">
        <f>IF(COUNTA(AB254:AF254)=0,"",COUNTIF(AB254:AF254,"yes"))</f>
        <v/>
      </c>
      <c r="AH254" s="11">
        <f>IF($AG254="","",IF($AG254&lt;2,"Fail",IF(OR($AC254="yes",$AD254="yes"),IF($AG254&gt;=3,"A","B"),"C")))</f>
        <v/>
      </c>
    </row>
    <row r="255">
      <c r="AG255" s="11">
        <f>IF(COUNTA(AB255:AF255)=0,"",COUNTIF(AB255:AF255,"yes"))</f>
        <v/>
      </c>
      <c r="AH255" s="11">
        <f>IF($AG255="","",IF($AG255&lt;2,"Fail",IF(OR($AC255="yes",$AD255="yes"),IF($AG255&gt;=3,"A","B"),"C")))</f>
        <v/>
      </c>
    </row>
    <row r="256">
      <c r="AG256" s="11">
        <f>IF(COUNTA(AB256:AF256)=0,"",COUNTIF(AB256:AF256,"yes"))</f>
        <v/>
      </c>
      <c r="AH256" s="11">
        <f>IF($AG256="","",IF($AG256&lt;2,"Fail",IF(OR($AC256="yes",$AD256="yes"),IF($AG256&gt;=3,"A","B"),"C")))</f>
        <v/>
      </c>
    </row>
    <row r="257">
      <c r="AG257" s="11">
        <f>IF(COUNTA(AB257:AF257)=0,"",COUNTIF(AB257:AF257,"yes"))</f>
        <v/>
      </c>
      <c r="AH257" s="11">
        <f>IF($AG257="","",IF($AG257&lt;2,"Fail",IF(OR($AC257="yes",$AD257="yes"),IF($AG257&gt;=3,"A","B"),"C")))</f>
        <v/>
      </c>
    </row>
    <row r="258">
      <c r="AG258" s="11">
        <f>IF(COUNTA(AB258:AF258)=0,"",COUNTIF(AB258:AF258,"yes"))</f>
        <v/>
      </c>
      <c r="AH258" s="11">
        <f>IF($AG258="","",IF($AG258&lt;2,"Fail",IF(OR($AC258="yes",$AD258="yes"),IF($AG258&gt;=3,"A","B"),"C")))</f>
        <v/>
      </c>
    </row>
    <row r="259">
      <c r="AG259" s="11">
        <f>IF(COUNTA(AB259:AF259)=0,"",COUNTIF(AB259:AF259,"yes"))</f>
        <v/>
      </c>
      <c r="AH259" s="11">
        <f>IF($AG259="","",IF($AG259&lt;2,"Fail",IF(OR($AC259="yes",$AD259="yes"),IF($AG259&gt;=3,"A","B"),"C")))</f>
        <v/>
      </c>
    </row>
    <row r="260">
      <c r="AG260" s="11">
        <f>IF(COUNTA(AB260:AF260)=0,"",COUNTIF(AB260:AF260,"yes"))</f>
        <v/>
      </c>
      <c r="AH260" s="11">
        <f>IF($AG260="","",IF($AG260&lt;2,"Fail",IF(OR($AC260="yes",$AD260="yes"),IF($AG260&gt;=3,"A","B"),"C")))</f>
        <v/>
      </c>
    </row>
    <row r="261">
      <c r="AG261" s="11">
        <f>IF(COUNTA(AB261:AF261)=0,"",COUNTIF(AB261:AF261,"yes"))</f>
        <v/>
      </c>
      <c r="AH261" s="11">
        <f>IF($AG261="","",IF($AG261&lt;2,"Fail",IF(OR($AC261="yes",$AD261="yes"),IF($AG261&gt;=3,"A","B"),"C")))</f>
        <v/>
      </c>
    </row>
    <row r="262">
      <c r="AG262" s="11">
        <f>IF(COUNTA(AB262:AF262)=0,"",COUNTIF(AB262:AF262,"yes"))</f>
        <v/>
      </c>
      <c r="AH262" s="11">
        <f>IF($AG262="","",IF($AG262&lt;2,"Fail",IF(OR($AC262="yes",$AD262="yes"),IF($AG262&gt;=3,"A","B"),"C")))</f>
        <v/>
      </c>
    </row>
    <row r="263">
      <c r="AG263" s="11">
        <f>IF(COUNTA(AB263:AF263)=0,"",COUNTIF(AB263:AF263,"yes"))</f>
        <v/>
      </c>
      <c r="AH263" s="11">
        <f>IF($AG263="","",IF($AG263&lt;2,"Fail",IF(OR($AC263="yes",$AD263="yes"),IF($AG263&gt;=3,"A","B"),"C")))</f>
        <v/>
      </c>
    </row>
    <row r="264">
      <c r="AG264" s="11">
        <f>IF(COUNTA(AB264:AF264)=0,"",COUNTIF(AB264:AF264,"yes"))</f>
        <v/>
      </c>
      <c r="AH264" s="11">
        <f>IF($AG264="","",IF($AG264&lt;2,"Fail",IF(OR($AC264="yes",$AD264="yes"),IF($AG264&gt;=3,"A","B"),"C")))</f>
        <v/>
      </c>
    </row>
    <row r="265">
      <c r="AG265" s="11">
        <f>IF(COUNTA(AB265:AF265)=0,"",COUNTIF(AB265:AF265,"yes"))</f>
        <v/>
      </c>
      <c r="AH265" s="11">
        <f>IF($AG265="","",IF($AG265&lt;2,"Fail",IF(OR($AC265="yes",$AD265="yes"),IF($AG265&gt;=3,"A","B"),"C")))</f>
        <v/>
      </c>
    </row>
    <row r="266">
      <c r="AG266" s="11">
        <f>IF(COUNTA(AB266:AF266)=0,"",COUNTIF(AB266:AF266,"yes"))</f>
        <v/>
      </c>
      <c r="AH266" s="11">
        <f>IF($AG266="","",IF($AG266&lt;2,"Fail",IF(OR($AC266="yes",$AD266="yes"),IF($AG266&gt;=3,"A","B"),"C")))</f>
        <v/>
      </c>
    </row>
    <row r="267">
      <c r="AG267" s="11">
        <f>IF(COUNTA(AB267:AF267)=0,"",COUNTIF(AB267:AF267,"yes"))</f>
        <v/>
      </c>
      <c r="AH267" s="11">
        <f>IF($AG267="","",IF($AG267&lt;2,"Fail",IF(OR($AC267="yes",$AD267="yes"),IF($AG267&gt;=3,"A","B"),"C")))</f>
        <v/>
      </c>
    </row>
    <row r="268">
      <c r="AG268" s="11">
        <f>IF(COUNTA(AB268:AF268)=0,"",COUNTIF(AB268:AF268,"yes"))</f>
        <v/>
      </c>
      <c r="AH268" s="11">
        <f>IF($AG268="","",IF($AG268&lt;2,"Fail",IF(OR($AC268="yes",$AD268="yes"),IF($AG268&gt;=3,"A","B"),"C")))</f>
        <v/>
      </c>
    </row>
    <row r="269">
      <c r="AG269" s="11">
        <f>IF(COUNTA(AB269:AF269)=0,"",COUNTIF(AB269:AF269,"yes"))</f>
        <v/>
      </c>
      <c r="AH269" s="11">
        <f>IF($AG269="","",IF($AG269&lt;2,"Fail",IF(OR($AC269="yes",$AD269="yes"),IF($AG269&gt;=3,"A","B"),"C")))</f>
        <v/>
      </c>
    </row>
    <row r="270">
      <c r="AG270" s="11">
        <f>IF(COUNTA(AB270:AF270)=0,"",COUNTIF(AB270:AF270,"yes"))</f>
        <v/>
      </c>
      <c r="AH270" s="11">
        <f>IF($AG270="","",IF($AG270&lt;2,"Fail",IF(OR($AC270="yes",$AD270="yes"),IF($AG270&gt;=3,"A","B"),"C")))</f>
        <v/>
      </c>
    </row>
    <row r="271">
      <c r="AG271" s="11">
        <f>IF(COUNTA(AB271:AF271)=0,"",COUNTIF(AB271:AF271,"yes"))</f>
        <v/>
      </c>
      <c r="AH271" s="11">
        <f>IF($AG271="","",IF($AG271&lt;2,"Fail",IF(OR($AC271="yes",$AD271="yes"),IF($AG271&gt;=3,"A","B"),"C")))</f>
        <v/>
      </c>
    </row>
    <row r="272">
      <c r="AG272" s="11">
        <f>IF(COUNTA(AB272:AF272)=0,"",COUNTIF(AB272:AF272,"yes"))</f>
        <v/>
      </c>
      <c r="AH272" s="11">
        <f>IF($AG272="","",IF($AG272&lt;2,"Fail",IF(OR($AC272="yes",$AD272="yes"),IF($AG272&gt;=3,"A","B"),"C")))</f>
        <v/>
      </c>
    </row>
    <row r="273">
      <c r="AG273" s="11">
        <f>IF(COUNTA(AB273:AF273)=0,"",COUNTIF(AB273:AF273,"yes"))</f>
        <v/>
      </c>
      <c r="AH273" s="11">
        <f>IF($AG273="","",IF($AG273&lt;2,"Fail",IF(OR($AC273="yes",$AD273="yes"),IF($AG273&gt;=3,"A","B"),"C")))</f>
        <v/>
      </c>
    </row>
    <row r="274">
      <c r="AG274" s="11">
        <f>IF(COUNTA(AB274:AF274)=0,"",COUNTIF(AB274:AF274,"yes"))</f>
        <v/>
      </c>
      <c r="AH274" s="11">
        <f>IF($AG274="","",IF($AG274&lt;2,"Fail",IF(OR($AC274="yes",$AD274="yes"),IF($AG274&gt;=3,"A","B"),"C")))</f>
        <v/>
      </c>
    </row>
    <row r="275">
      <c r="AG275" s="11">
        <f>IF(COUNTA(AB275:AF275)=0,"",COUNTIF(AB275:AF275,"yes"))</f>
        <v/>
      </c>
      <c r="AH275" s="11">
        <f>IF($AG275="","",IF($AG275&lt;2,"Fail",IF(OR($AC275="yes",$AD275="yes"),IF($AG275&gt;=3,"A","B"),"C")))</f>
        <v/>
      </c>
    </row>
    <row r="276">
      <c r="AG276" s="11">
        <f>IF(COUNTA(AB276:AF276)=0,"",COUNTIF(AB276:AF276,"yes"))</f>
        <v/>
      </c>
      <c r="AH276" s="11">
        <f>IF($AG276="","",IF($AG276&lt;2,"Fail",IF(OR($AC276="yes",$AD276="yes"),IF($AG276&gt;=3,"A","B"),"C")))</f>
        <v/>
      </c>
    </row>
    <row r="277">
      <c r="AG277" s="11">
        <f>IF(COUNTA(AB277:AF277)=0,"",COUNTIF(AB277:AF277,"yes"))</f>
        <v/>
      </c>
      <c r="AH277" s="11">
        <f>IF($AG277="","",IF($AG277&lt;2,"Fail",IF(OR($AC277="yes",$AD277="yes"),IF($AG277&gt;=3,"A","B"),"C")))</f>
        <v/>
      </c>
    </row>
    <row r="278">
      <c r="AG278" s="11">
        <f>IF(COUNTA(AB278:AF278)=0,"",COUNTIF(AB278:AF278,"yes"))</f>
        <v/>
      </c>
      <c r="AH278" s="11">
        <f>IF($AG278="","",IF($AG278&lt;2,"Fail",IF(OR($AC278="yes",$AD278="yes"),IF($AG278&gt;=3,"A","B"),"C")))</f>
        <v/>
      </c>
    </row>
    <row r="279">
      <c r="AG279" s="11">
        <f>IF(COUNTA(AB279:AF279)=0,"",COUNTIF(AB279:AF279,"yes"))</f>
        <v/>
      </c>
      <c r="AH279" s="11">
        <f>IF($AG279="","",IF($AG279&lt;2,"Fail",IF(OR($AC279="yes",$AD279="yes"),IF($AG279&gt;=3,"A","B"),"C")))</f>
        <v/>
      </c>
    </row>
    <row r="280">
      <c r="AG280" s="11">
        <f>IF(COUNTA(AB280:AF280)=0,"",COUNTIF(AB280:AF280,"yes"))</f>
        <v/>
      </c>
      <c r="AH280" s="11">
        <f>IF($AG280="","",IF($AG280&lt;2,"Fail",IF(OR($AC280="yes",$AD280="yes"),IF($AG280&gt;=3,"A","B"),"C")))</f>
        <v/>
      </c>
    </row>
    <row r="281">
      <c r="AG281" s="11">
        <f>IF(COUNTA(AB281:AF281)=0,"",COUNTIF(AB281:AF281,"yes"))</f>
        <v/>
      </c>
      <c r="AH281" s="11">
        <f>IF($AG281="","",IF($AG281&lt;2,"Fail",IF(OR($AC281="yes",$AD281="yes"),IF($AG281&gt;=3,"A","B"),"C")))</f>
        <v/>
      </c>
    </row>
    <row r="282">
      <c r="AG282" s="11">
        <f>IF(COUNTA(AB282:AF282)=0,"",COUNTIF(AB282:AF282,"yes"))</f>
        <v/>
      </c>
      <c r="AH282" s="11">
        <f>IF($AG282="","",IF($AG282&lt;2,"Fail",IF(OR($AC282="yes",$AD282="yes"),IF($AG282&gt;=3,"A","B"),"C")))</f>
        <v/>
      </c>
    </row>
    <row r="283">
      <c r="AG283" s="11">
        <f>IF(COUNTA(AB283:AF283)=0,"",COUNTIF(AB283:AF283,"yes"))</f>
        <v/>
      </c>
      <c r="AH283" s="11">
        <f>IF($AG283="","",IF($AG283&lt;2,"Fail",IF(OR($AC283="yes",$AD283="yes"),IF($AG283&gt;=3,"A","B"),"C")))</f>
        <v/>
      </c>
    </row>
    <row r="284">
      <c r="AG284" s="11">
        <f>IF(COUNTA(AB284:AF284)=0,"",COUNTIF(AB284:AF284,"yes"))</f>
        <v/>
      </c>
      <c r="AH284" s="11">
        <f>IF($AG284="","",IF($AG284&lt;2,"Fail",IF(OR($AC284="yes",$AD284="yes"),IF($AG284&gt;=3,"A","B"),"C")))</f>
        <v/>
      </c>
    </row>
    <row r="285">
      <c r="AG285" s="11">
        <f>IF(COUNTA(AB285:AF285)=0,"",COUNTIF(AB285:AF285,"yes"))</f>
        <v/>
      </c>
      <c r="AH285" s="11">
        <f>IF($AG285="","",IF($AG285&lt;2,"Fail",IF(OR($AC285="yes",$AD285="yes"),IF($AG285&gt;=3,"A","B"),"C")))</f>
        <v/>
      </c>
    </row>
    <row r="286">
      <c r="AG286" s="11">
        <f>IF(COUNTA(AB286:AF286)=0,"",COUNTIF(AB286:AF286,"yes"))</f>
        <v/>
      </c>
      <c r="AH286" s="11">
        <f>IF($AG286="","",IF($AG286&lt;2,"Fail",IF(OR($AC286="yes",$AD286="yes"),IF($AG286&gt;=3,"A","B"),"C")))</f>
        <v/>
      </c>
    </row>
    <row r="287">
      <c r="AG287" s="11">
        <f>IF(COUNTA(AB287:AF287)=0,"",COUNTIF(AB287:AF287,"yes"))</f>
        <v/>
      </c>
      <c r="AH287" s="11">
        <f>IF($AG287="","",IF($AG287&lt;2,"Fail",IF(OR($AC287="yes",$AD287="yes"),IF($AG287&gt;=3,"A","B"),"C")))</f>
        <v/>
      </c>
    </row>
    <row r="288">
      <c r="AG288" s="11">
        <f>IF(COUNTA(AB288:AF288)=0,"",COUNTIF(AB288:AF288,"yes"))</f>
        <v/>
      </c>
      <c r="AH288" s="11">
        <f>IF($AG288="","",IF($AG288&lt;2,"Fail",IF(OR($AC288="yes",$AD288="yes"),IF($AG288&gt;=3,"A","B"),"C")))</f>
        <v/>
      </c>
    </row>
    <row r="289">
      <c r="AG289" s="11">
        <f>IF(COUNTA(AB289:AF289)=0,"",COUNTIF(AB289:AF289,"yes"))</f>
        <v/>
      </c>
      <c r="AH289" s="11">
        <f>IF($AG289="","",IF($AG289&lt;2,"Fail",IF(OR($AC289="yes",$AD289="yes"),IF($AG289&gt;=3,"A","B"),"C")))</f>
        <v/>
      </c>
    </row>
    <row r="290">
      <c r="AG290" s="11">
        <f>IF(COUNTA(AB290:AF290)=0,"",COUNTIF(AB290:AF290,"yes"))</f>
        <v/>
      </c>
      <c r="AH290" s="11">
        <f>IF($AG290="","",IF($AG290&lt;2,"Fail",IF(OR($AC290="yes",$AD290="yes"),IF($AG290&gt;=3,"A","B"),"C")))</f>
        <v/>
      </c>
    </row>
    <row r="291">
      <c r="AG291" s="11">
        <f>IF(COUNTA(AB291:AF291)=0,"",COUNTIF(AB291:AF291,"yes"))</f>
        <v/>
      </c>
      <c r="AH291" s="11">
        <f>IF($AG291="","",IF($AG291&lt;2,"Fail",IF(OR($AC291="yes",$AD291="yes"),IF($AG291&gt;=3,"A","B"),"C")))</f>
        <v/>
      </c>
    </row>
    <row r="292">
      <c r="AG292" s="11">
        <f>IF(COUNTA(AB292:AF292)=0,"",COUNTIF(AB292:AF292,"yes"))</f>
        <v/>
      </c>
      <c r="AH292" s="11">
        <f>IF($AG292="","",IF($AG292&lt;2,"Fail",IF(OR($AC292="yes",$AD292="yes"),IF($AG292&gt;=3,"A","B"),"C")))</f>
        <v/>
      </c>
    </row>
    <row r="293">
      <c r="AG293" s="11">
        <f>IF(COUNTA(AB293:AF293)=0,"",COUNTIF(AB293:AF293,"yes"))</f>
        <v/>
      </c>
      <c r="AH293" s="11">
        <f>IF($AG293="","",IF($AG293&lt;2,"Fail",IF(OR($AC293="yes",$AD293="yes"),IF($AG293&gt;=3,"A","B"),"C")))</f>
        <v/>
      </c>
    </row>
    <row r="294">
      <c r="AG294" s="11">
        <f>IF(COUNTA(AB294:AF294)=0,"",COUNTIF(AB294:AF294,"yes"))</f>
        <v/>
      </c>
      <c r="AH294" s="11">
        <f>IF($AG294="","",IF($AG294&lt;2,"Fail",IF(OR($AC294="yes",$AD294="yes"),IF($AG294&gt;=3,"A","B"),"C")))</f>
        <v/>
      </c>
    </row>
    <row r="295">
      <c r="AG295" s="11">
        <f>IF(COUNTA(AB295:AF295)=0,"",COUNTIF(AB295:AF295,"yes"))</f>
        <v/>
      </c>
      <c r="AH295" s="11">
        <f>IF($AG295="","",IF($AG295&lt;2,"Fail",IF(OR($AC295="yes",$AD295="yes"),IF($AG295&gt;=3,"A","B"),"C")))</f>
        <v/>
      </c>
    </row>
    <row r="296">
      <c r="AG296" s="11">
        <f>IF(COUNTA(AB296:AF296)=0,"",COUNTIF(AB296:AF296,"yes"))</f>
        <v/>
      </c>
      <c r="AH296" s="11">
        <f>IF($AG296="","",IF($AG296&lt;2,"Fail",IF(OR($AC296="yes",$AD296="yes"),IF($AG296&gt;=3,"A","B"),"C")))</f>
        <v/>
      </c>
    </row>
    <row r="297">
      <c r="AG297" s="11">
        <f>IF(COUNTA(AB297:AF297)=0,"",COUNTIF(AB297:AF297,"yes"))</f>
        <v/>
      </c>
      <c r="AH297" s="11">
        <f>IF($AG297="","",IF($AG297&lt;2,"Fail",IF(OR($AC297="yes",$AD297="yes"),IF($AG297&gt;=3,"A","B"),"C")))</f>
        <v/>
      </c>
    </row>
    <row r="298">
      <c r="AG298" s="11">
        <f>IF(COUNTA(AB298:AF298)=0,"",COUNTIF(AB298:AF298,"yes"))</f>
        <v/>
      </c>
      <c r="AH298" s="11">
        <f>IF($AG298="","",IF($AG298&lt;2,"Fail",IF(OR($AC298="yes",$AD298="yes"),IF($AG298&gt;=3,"A","B"),"C")))</f>
        <v/>
      </c>
    </row>
    <row r="299">
      <c r="AG299" s="11">
        <f>IF(COUNTA(AB299:AF299)=0,"",COUNTIF(AB299:AF299,"yes"))</f>
        <v/>
      </c>
      <c r="AH299" s="11">
        <f>IF($AG299="","",IF($AG299&lt;2,"Fail",IF(OR($AC299="yes",$AD299="yes"),IF($AG299&gt;=3,"A","B"),"C")))</f>
        <v/>
      </c>
    </row>
    <row r="300">
      <c r="AG300" s="11">
        <f>IF(COUNTA(AB300:AF300)=0,"",COUNTIF(AB300:AF300,"yes"))</f>
        <v/>
      </c>
      <c r="AH300" s="11">
        <f>IF($AG300="","",IF($AG300&lt;2,"Fail",IF(OR($AC300="yes",$AD300="yes"),IF($AG300&gt;=3,"A","B"),"C")))</f>
        <v/>
      </c>
    </row>
    <row r="301">
      <c r="AG301" s="11">
        <f>IF(COUNTA(AB301:AF301)=0,"",COUNTIF(AB301:AF301,"yes"))</f>
        <v/>
      </c>
      <c r="AH301" s="11">
        <f>IF($AG301="","",IF($AG301&lt;2,"Fail",IF(OR($AC301="yes",$AD301="yes"),IF($AG301&gt;=3,"A","B"),"C")))</f>
        <v/>
      </c>
    </row>
    <row r="302">
      <c r="AG302" s="11">
        <f>IF(COUNTA(AB302:AF302)=0,"",COUNTIF(AB302:AF302,"yes"))</f>
        <v/>
      </c>
      <c r="AH302" s="11">
        <f>IF($AG302="","",IF($AG302&lt;2,"Fail",IF(OR($AC302="yes",$AD302="yes"),IF($AG302&gt;=3,"A","B"),"C")))</f>
        <v/>
      </c>
    </row>
    <row r="303">
      <c r="AG303" s="11">
        <f>IF(COUNTA(AB303:AF303)=0,"",COUNTIF(AB303:AF303,"yes"))</f>
        <v/>
      </c>
      <c r="AH303" s="11">
        <f>IF($AG303="","",IF($AG303&lt;2,"Fail",IF(OR($AC303="yes",$AD303="yes"),IF($AG303&gt;=3,"A","B"),"C")))</f>
        <v/>
      </c>
    </row>
    <row r="304">
      <c r="AG304" s="11">
        <f>IF(COUNTA(AB304:AF304)=0,"",COUNTIF(AB304:AF304,"yes"))</f>
        <v/>
      </c>
      <c r="AH304" s="11">
        <f>IF($AG304="","",IF($AG304&lt;2,"Fail",IF(OR($AC304="yes",$AD304="yes"),IF($AG304&gt;=3,"A","B"),"C")))</f>
        <v/>
      </c>
    </row>
    <row r="305">
      <c r="AG305" s="11">
        <f>IF(COUNTA(AB305:AF305)=0,"",COUNTIF(AB305:AF305,"yes"))</f>
        <v/>
      </c>
      <c r="AH305" s="11">
        <f>IF($AG305="","",IF($AG305&lt;2,"Fail",IF(OR($AC305="yes",$AD305="yes"),IF($AG305&gt;=3,"A","B"),"C")))</f>
        <v/>
      </c>
    </row>
    <row r="306">
      <c r="AG306" s="11">
        <f>IF(COUNTA(AB306:AF306)=0,"",COUNTIF(AB306:AF306,"yes"))</f>
        <v/>
      </c>
      <c r="AH306" s="11">
        <f>IF($AG306="","",IF($AG306&lt;2,"Fail",IF(OR($AC306="yes",$AD306="yes"),IF($AG306&gt;=3,"A","B"),"C")))</f>
        <v/>
      </c>
    </row>
    <row r="307">
      <c r="AG307" s="11">
        <f>IF(COUNTA(AB307:AF307)=0,"",COUNTIF(AB307:AF307,"yes"))</f>
        <v/>
      </c>
      <c r="AH307" s="11">
        <f>IF($AG307="","",IF($AG307&lt;2,"Fail",IF(OR($AC307="yes",$AD307="yes"),IF($AG307&gt;=3,"A","B"),"C")))</f>
        <v/>
      </c>
    </row>
    <row r="308">
      <c r="AG308" s="11">
        <f>IF(COUNTA(AB308:AF308)=0,"",COUNTIF(AB308:AF308,"yes"))</f>
        <v/>
      </c>
      <c r="AH308" s="11">
        <f>IF($AG308="","",IF($AG308&lt;2,"Fail",IF(OR($AC308="yes",$AD308="yes"),IF($AG308&gt;=3,"A","B"),"C")))</f>
        <v/>
      </c>
    </row>
    <row r="309">
      <c r="AG309" s="11">
        <f>IF(COUNTA(AB309:AF309)=0,"",COUNTIF(AB309:AF309,"yes"))</f>
        <v/>
      </c>
      <c r="AH309" s="11">
        <f>IF($AG309="","",IF($AG309&lt;2,"Fail",IF(OR($AC309="yes",$AD309="yes"),IF($AG309&gt;=3,"A","B"),"C")))</f>
        <v/>
      </c>
    </row>
    <row r="310">
      <c r="AG310" s="11">
        <f>IF(COUNTA(AB310:AF310)=0,"",COUNTIF(AB310:AF310,"yes"))</f>
        <v/>
      </c>
      <c r="AH310" s="11">
        <f>IF($AG310="","",IF($AG310&lt;2,"Fail",IF(OR($AC310="yes",$AD310="yes"),IF($AG310&gt;=3,"A","B"),"C")))</f>
        <v/>
      </c>
    </row>
    <row r="311">
      <c r="AG311" s="11">
        <f>IF(COUNTA(AB311:AF311)=0,"",COUNTIF(AB311:AF311,"yes"))</f>
        <v/>
      </c>
      <c r="AH311" s="11">
        <f>IF($AG311="","",IF($AG311&lt;2,"Fail",IF(OR($AC311="yes",$AD311="yes"),IF($AG311&gt;=3,"A","B"),"C")))</f>
        <v/>
      </c>
    </row>
    <row r="312">
      <c r="AG312" s="11">
        <f>IF(COUNTA(AB312:AF312)=0,"",COUNTIF(AB312:AF312,"yes"))</f>
        <v/>
      </c>
      <c r="AH312" s="11">
        <f>IF($AG312="","",IF($AG312&lt;2,"Fail",IF(OR($AC312="yes",$AD312="yes"),IF($AG312&gt;=3,"A","B"),"C")))</f>
        <v/>
      </c>
    </row>
    <row r="313">
      <c r="AG313" s="11">
        <f>IF(COUNTA(AB313:AF313)=0,"",COUNTIF(AB313:AF313,"yes"))</f>
        <v/>
      </c>
      <c r="AH313" s="11">
        <f>IF($AG313="","",IF($AG313&lt;2,"Fail",IF(OR($AC313="yes",$AD313="yes"),IF($AG313&gt;=3,"A","B"),"C")))</f>
        <v/>
      </c>
    </row>
    <row r="314">
      <c r="AG314" s="11">
        <f>IF(COUNTA(AB314:AF314)=0,"",COUNTIF(AB314:AF314,"yes"))</f>
        <v/>
      </c>
      <c r="AH314" s="11">
        <f>IF($AG314="","",IF($AG314&lt;2,"Fail",IF(OR($AC314="yes",$AD314="yes"),IF($AG314&gt;=3,"A","B"),"C")))</f>
        <v/>
      </c>
    </row>
    <row r="315">
      <c r="AG315" s="11">
        <f>IF(COUNTA(AB315:AF315)=0,"",COUNTIF(AB315:AF315,"yes"))</f>
        <v/>
      </c>
      <c r="AH315" s="11">
        <f>IF($AG315="","",IF($AG315&lt;2,"Fail",IF(OR($AC315="yes",$AD315="yes"),IF($AG315&gt;=3,"A","B"),"C")))</f>
        <v/>
      </c>
    </row>
    <row r="316">
      <c r="AG316" s="11">
        <f>IF(COUNTA(AB316:AF316)=0,"",COUNTIF(AB316:AF316,"yes"))</f>
        <v/>
      </c>
      <c r="AH316" s="11">
        <f>IF($AG316="","",IF($AG316&lt;2,"Fail",IF(OR($AC316="yes",$AD316="yes"),IF($AG316&gt;=3,"A","B"),"C")))</f>
        <v/>
      </c>
    </row>
    <row r="317">
      <c r="AG317" s="11">
        <f>IF(COUNTA(AB317:AF317)=0,"",COUNTIF(AB317:AF317,"yes"))</f>
        <v/>
      </c>
      <c r="AH317" s="11">
        <f>IF($AG317="","",IF($AG317&lt;2,"Fail",IF(OR($AC317="yes",$AD317="yes"),IF($AG317&gt;=3,"A","B"),"C")))</f>
        <v/>
      </c>
    </row>
    <row r="318">
      <c r="AG318" s="11">
        <f>IF(COUNTA(AB318:AF318)=0,"",COUNTIF(AB318:AF318,"yes"))</f>
        <v/>
      </c>
      <c r="AH318" s="11">
        <f>IF($AG318="","",IF($AG318&lt;2,"Fail",IF(OR($AC318="yes",$AD318="yes"),IF($AG318&gt;=3,"A","B"),"C")))</f>
        <v/>
      </c>
    </row>
    <row r="319">
      <c r="AG319" s="11">
        <f>IF(COUNTA(AB319:AF319)=0,"",COUNTIF(AB319:AF319,"yes"))</f>
        <v/>
      </c>
      <c r="AH319" s="11">
        <f>IF($AG319="","",IF($AG319&lt;2,"Fail",IF(OR($AC319="yes",$AD319="yes"),IF($AG319&gt;=3,"A","B"),"C")))</f>
        <v/>
      </c>
    </row>
    <row r="320">
      <c r="AG320" s="11">
        <f>IF(COUNTA(AB320:AF320)=0,"",COUNTIF(AB320:AF320,"yes"))</f>
        <v/>
      </c>
      <c r="AH320" s="11">
        <f>IF($AG320="","",IF($AG320&lt;2,"Fail",IF(OR($AC320="yes",$AD320="yes"),IF($AG320&gt;=3,"A","B"),"C")))</f>
        <v/>
      </c>
    </row>
    <row r="321">
      <c r="AG321" s="11">
        <f>IF(COUNTA(AB321:AF321)=0,"",COUNTIF(AB321:AF321,"yes"))</f>
        <v/>
      </c>
      <c r="AH321" s="11">
        <f>IF($AG321="","",IF($AG321&lt;2,"Fail",IF(OR($AC321="yes",$AD321="yes"),IF($AG321&gt;=3,"A","B"),"C")))</f>
        <v/>
      </c>
    </row>
    <row r="322">
      <c r="AG322" s="11">
        <f>IF(COUNTA(AB322:AF322)=0,"",COUNTIF(AB322:AF322,"yes"))</f>
        <v/>
      </c>
      <c r="AH322" s="11">
        <f>IF($AG322="","",IF($AG322&lt;2,"Fail",IF(OR($AC322="yes",$AD322="yes"),IF($AG322&gt;=3,"A","B"),"C")))</f>
        <v/>
      </c>
    </row>
    <row r="323">
      <c r="AG323" s="11">
        <f>IF(COUNTA(AB323:AF323)=0,"",COUNTIF(AB323:AF323,"yes"))</f>
        <v/>
      </c>
      <c r="AH323" s="11">
        <f>IF($AG323="","",IF($AG323&lt;2,"Fail",IF(OR($AC323="yes",$AD323="yes"),IF($AG323&gt;=3,"A","B"),"C")))</f>
        <v/>
      </c>
    </row>
    <row r="324">
      <c r="AG324" s="11">
        <f>IF(COUNTA(AB324:AF324)=0,"",COUNTIF(AB324:AF324,"yes"))</f>
        <v/>
      </c>
      <c r="AH324" s="11">
        <f>IF($AG324="","",IF($AG324&lt;2,"Fail",IF(OR($AC324="yes",$AD324="yes"),IF($AG324&gt;=3,"A","B"),"C")))</f>
        <v/>
      </c>
    </row>
    <row r="325">
      <c r="AG325" s="11">
        <f>IF(COUNTA(AB325:AF325)=0,"",COUNTIF(AB325:AF325,"yes"))</f>
        <v/>
      </c>
      <c r="AH325" s="11">
        <f>IF($AG325="","",IF($AG325&lt;2,"Fail",IF(OR($AC325="yes",$AD325="yes"),IF($AG325&gt;=3,"A","B"),"C")))</f>
        <v/>
      </c>
    </row>
    <row r="326">
      <c r="AG326" s="11">
        <f>IF(COUNTA(AB326:AF326)=0,"",COUNTIF(AB326:AF326,"yes"))</f>
        <v/>
      </c>
      <c r="AH326" s="11">
        <f>IF($AG326="","",IF($AG326&lt;2,"Fail",IF(OR($AC326="yes",$AD326="yes"),IF($AG326&gt;=3,"A","B"),"C")))</f>
        <v/>
      </c>
    </row>
    <row r="327">
      <c r="AG327" s="11">
        <f>IF(COUNTA(AB327:AF327)=0,"",COUNTIF(AB327:AF327,"yes"))</f>
        <v/>
      </c>
      <c r="AH327" s="11">
        <f>IF($AG327="","",IF($AG327&lt;2,"Fail",IF(OR($AC327="yes",$AD327="yes"),IF($AG327&gt;=3,"A","B"),"C")))</f>
        <v/>
      </c>
    </row>
    <row r="328">
      <c r="AG328" s="11">
        <f>IF(COUNTA(AB328:AF328)=0,"",COUNTIF(AB328:AF328,"yes"))</f>
        <v/>
      </c>
      <c r="AH328" s="11">
        <f>IF($AG328="","",IF($AG328&lt;2,"Fail",IF(OR($AC328="yes",$AD328="yes"),IF($AG328&gt;=3,"A","B"),"C")))</f>
        <v/>
      </c>
    </row>
    <row r="329">
      <c r="AG329" s="11">
        <f>IF(COUNTA(AB329:AF329)=0,"",COUNTIF(AB329:AF329,"yes"))</f>
        <v/>
      </c>
      <c r="AH329" s="11">
        <f>IF($AG329="","",IF($AG329&lt;2,"Fail",IF(OR($AC329="yes",$AD329="yes"),IF($AG329&gt;=3,"A","B"),"C")))</f>
        <v/>
      </c>
    </row>
    <row r="330">
      <c r="AG330" s="11">
        <f>IF(COUNTA(AB330:AF330)=0,"",COUNTIF(AB330:AF330,"yes"))</f>
        <v/>
      </c>
      <c r="AH330" s="11">
        <f>IF($AG330="","",IF($AG330&lt;2,"Fail",IF(OR($AC330="yes",$AD330="yes"),IF($AG330&gt;=3,"A","B"),"C")))</f>
        <v/>
      </c>
    </row>
    <row r="331">
      <c r="AG331" s="11">
        <f>IF(COUNTA(AB331:AF331)=0,"",COUNTIF(AB331:AF331,"yes"))</f>
        <v/>
      </c>
      <c r="AH331" s="11">
        <f>IF($AG331="","",IF($AG331&lt;2,"Fail",IF(OR($AC331="yes",$AD331="yes"),IF($AG331&gt;=3,"A","B"),"C")))</f>
        <v/>
      </c>
    </row>
    <row r="332">
      <c r="AG332" s="11">
        <f>IF(COUNTA(AB332:AF332)=0,"",COUNTIF(AB332:AF332,"yes"))</f>
        <v/>
      </c>
      <c r="AH332" s="11">
        <f>IF($AG332="","",IF($AG332&lt;2,"Fail",IF(OR($AC332="yes",$AD332="yes"),IF($AG332&gt;=3,"A","B"),"C")))</f>
        <v/>
      </c>
    </row>
    <row r="333">
      <c r="AG333" s="11">
        <f>IF(COUNTA(AB333:AF333)=0,"",COUNTIF(AB333:AF333,"yes"))</f>
        <v/>
      </c>
      <c r="AH333" s="11">
        <f>IF($AG333="","",IF($AG333&lt;2,"Fail",IF(OR($AC333="yes",$AD333="yes"),IF($AG333&gt;=3,"A","B"),"C")))</f>
        <v/>
      </c>
    </row>
    <row r="334">
      <c r="AG334" s="11">
        <f>IF(COUNTA(AB334:AF334)=0,"",COUNTIF(AB334:AF334,"yes"))</f>
        <v/>
      </c>
      <c r="AH334" s="11">
        <f>IF($AG334="","",IF($AG334&lt;2,"Fail",IF(OR($AC334="yes",$AD334="yes"),IF($AG334&gt;=3,"A","B"),"C")))</f>
        <v/>
      </c>
    </row>
    <row r="335">
      <c r="AG335" s="11">
        <f>IF(COUNTA(AB335:AF335)=0,"",COUNTIF(AB335:AF335,"yes"))</f>
        <v/>
      </c>
      <c r="AH335" s="11">
        <f>IF($AG335="","",IF($AG335&lt;2,"Fail",IF(OR($AC335="yes",$AD335="yes"),IF($AG335&gt;=3,"A","B"),"C")))</f>
        <v/>
      </c>
    </row>
    <row r="336">
      <c r="AG336" s="11">
        <f>IF(COUNTA(AB336:AF336)=0,"",COUNTIF(AB336:AF336,"yes"))</f>
        <v/>
      </c>
      <c r="AH336" s="11">
        <f>IF($AG336="","",IF($AG336&lt;2,"Fail",IF(OR($AC336="yes",$AD336="yes"),IF($AG336&gt;=3,"A","B"),"C")))</f>
        <v/>
      </c>
    </row>
    <row r="337">
      <c r="AG337" s="11">
        <f>IF(COUNTA(AB337:AF337)=0,"",COUNTIF(AB337:AF337,"yes"))</f>
        <v/>
      </c>
      <c r="AH337" s="11">
        <f>IF($AG337="","",IF($AG337&lt;2,"Fail",IF(OR($AC337="yes",$AD337="yes"),IF($AG337&gt;=3,"A","B"),"C")))</f>
        <v/>
      </c>
    </row>
    <row r="338">
      <c r="AG338" s="11">
        <f>IF(COUNTA(AB338:AF338)=0,"",COUNTIF(AB338:AF338,"yes"))</f>
        <v/>
      </c>
      <c r="AH338" s="11">
        <f>IF($AG338="","",IF($AG338&lt;2,"Fail",IF(OR($AC338="yes",$AD338="yes"),IF($AG338&gt;=3,"A","B"),"C")))</f>
        <v/>
      </c>
    </row>
    <row r="339">
      <c r="AG339" s="11">
        <f>IF(COUNTA(AB339:AF339)=0,"",COUNTIF(AB339:AF339,"yes"))</f>
        <v/>
      </c>
      <c r="AH339" s="11">
        <f>IF($AG339="","",IF($AG339&lt;2,"Fail",IF(OR($AC339="yes",$AD339="yes"),IF($AG339&gt;=3,"A","B"),"C")))</f>
        <v/>
      </c>
    </row>
    <row r="340">
      <c r="AG340" s="11">
        <f>IF(COUNTA(AB340:AF340)=0,"",COUNTIF(AB340:AF340,"yes"))</f>
        <v/>
      </c>
      <c r="AH340" s="11">
        <f>IF($AG340="","",IF($AG340&lt;2,"Fail",IF(OR($AC340="yes",$AD340="yes"),IF($AG340&gt;=3,"A","B"),"C")))</f>
        <v/>
      </c>
    </row>
    <row r="341">
      <c r="AG341" s="11">
        <f>IF(COUNTA(AB341:AF341)=0,"",COUNTIF(AB341:AF341,"yes"))</f>
        <v/>
      </c>
      <c r="AH341" s="11">
        <f>IF($AG341="","",IF($AG341&lt;2,"Fail",IF(OR($AC341="yes",$AD341="yes"),IF($AG341&gt;=3,"A","B"),"C")))</f>
        <v/>
      </c>
    </row>
    <row r="342">
      <c r="AG342" s="11">
        <f>IF(COUNTA(AB342:AF342)=0,"",COUNTIF(AB342:AF342,"yes"))</f>
        <v/>
      </c>
      <c r="AH342" s="11">
        <f>IF($AG342="","",IF($AG342&lt;2,"Fail",IF(OR($AC342="yes",$AD342="yes"),IF($AG342&gt;=3,"A","B"),"C")))</f>
        <v/>
      </c>
    </row>
    <row r="343">
      <c r="AG343" s="11">
        <f>IF(COUNTA(AB343:AF343)=0,"",COUNTIF(AB343:AF343,"yes"))</f>
        <v/>
      </c>
      <c r="AH343" s="11">
        <f>IF($AG343="","",IF($AG343&lt;2,"Fail",IF(OR($AC343="yes",$AD343="yes"),IF($AG343&gt;=3,"A","B"),"C")))</f>
        <v/>
      </c>
    </row>
    <row r="344">
      <c r="AG344" s="11">
        <f>IF(COUNTA(AB344:AF344)=0,"",COUNTIF(AB344:AF344,"yes"))</f>
        <v/>
      </c>
      <c r="AH344" s="11">
        <f>IF($AG344="","",IF($AG344&lt;2,"Fail",IF(OR($AC344="yes",$AD344="yes"),IF($AG344&gt;=3,"A","B"),"C")))</f>
        <v/>
      </c>
    </row>
    <row r="345">
      <c r="AG345" s="11">
        <f>IF(COUNTA(AB345:AF345)=0,"",COUNTIF(AB345:AF345,"yes"))</f>
        <v/>
      </c>
      <c r="AH345" s="11">
        <f>IF($AG345="","",IF($AG345&lt;2,"Fail",IF(OR($AC345="yes",$AD345="yes"),IF($AG345&gt;=3,"A","B"),"C")))</f>
        <v/>
      </c>
    </row>
    <row r="346">
      <c r="AG346" s="11">
        <f>IF(COUNTA(AB346:AF346)=0,"",COUNTIF(AB346:AF346,"yes"))</f>
        <v/>
      </c>
      <c r="AH346" s="11">
        <f>IF($AG346="","",IF($AG346&lt;2,"Fail",IF(OR($AC346="yes",$AD346="yes"),IF($AG346&gt;=3,"A","B"),"C")))</f>
        <v/>
      </c>
    </row>
    <row r="347">
      <c r="AG347" s="11">
        <f>IF(COUNTA(AB347:AF347)=0,"",COUNTIF(AB347:AF347,"yes"))</f>
        <v/>
      </c>
      <c r="AH347" s="11">
        <f>IF($AG347="","",IF($AG347&lt;2,"Fail",IF(OR($AC347="yes",$AD347="yes"),IF($AG347&gt;=3,"A","B"),"C")))</f>
        <v/>
      </c>
    </row>
    <row r="348">
      <c r="AG348" s="11">
        <f>IF(COUNTA(AB348:AF348)=0,"",COUNTIF(AB348:AF348,"yes"))</f>
        <v/>
      </c>
      <c r="AH348" s="11">
        <f>IF($AG348="","",IF($AG348&lt;2,"Fail",IF(OR($AC348="yes",$AD348="yes"),IF($AG348&gt;=3,"A","B"),"C")))</f>
        <v/>
      </c>
    </row>
    <row r="349">
      <c r="AG349" s="11">
        <f>IF(COUNTA(AB349:AF349)=0,"",COUNTIF(AB349:AF349,"yes"))</f>
        <v/>
      </c>
      <c r="AH349" s="11">
        <f>IF($AG349="","",IF($AG349&lt;2,"Fail",IF(OR($AC349="yes",$AD349="yes"),IF($AG349&gt;=3,"A","B"),"C")))</f>
        <v/>
      </c>
    </row>
    <row r="350">
      <c r="AG350" s="11">
        <f>IF(COUNTA(AB350:AF350)=0,"",COUNTIF(AB350:AF350,"yes"))</f>
        <v/>
      </c>
      <c r="AH350" s="11">
        <f>IF($AG350="","",IF($AG350&lt;2,"Fail",IF(OR($AC350="yes",$AD350="yes"),IF($AG350&gt;=3,"A","B"),"C")))</f>
        <v/>
      </c>
    </row>
    <row r="351">
      <c r="AG351" s="11">
        <f>IF(COUNTA(AB351:AF351)=0,"",COUNTIF(AB351:AF351,"yes"))</f>
        <v/>
      </c>
      <c r="AH351" s="11">
        <f>IF($AG351="","",IF($AG351&lt;2,"Fail",IF(OR($AC351="yes",$AD351="yes"),IF($AG351&gt;=3,"A","B"),"C")))</f>
        <v/>
      </c>
    </row>
    <row r="352">
      <c r="AG352" s="11">
        <f>IF(COUNTA(AB352:AF352)=0,"",COUNTIF(AB352:AF352,"yes"))</f>
        <v/>
      </c>
      <c r="AH352" s="11">
        <f>IF($AG352="","",IF($AG352&lt;2,"Fail",IF(OR($AC352="yes",$AD352="yes"),IF($AG352&gt;=3,"A","B"),"C")))</f>
        <v/>
      </c>
    </row>
    <row r="353">
      <c r="AG353" s="11">
        <f>IF(COUNTA(AB353:AF353)=0,"",COUNTIF(AB353:AF353,"yes"))</f>
        <v/>
      </c>
      <c r="AH353" s="11">
        <f>IF($AG353="","",IF($AG353&lt;2,"Fail",IF(OR($AC353="yes",$AD353="yes"),IF($AG353&gt;=3,"A","B"),"C")))</f>
        <v/>
      </c>
    </row>
    <row r="354">
      <c r="AG354" s="11">
        <f>IF(COUNTA(AB354:AF354)=0,"",COUNTIF(AB354:AF354,"yes"))</f>
        <v/>
      </c>
      <c r="AH354" s="11">
        <f>IF($AG354="","",IF($AG354&lt;2,"Fail",IF(OR($AC354="yes",$AD354="yes"),IF($AG354&gt;=3,"A","B"),"C")))</f>
        <v/>
      </c>
    </row>
    <row r="355">
      <c r="AG355" s="11">
        <f>IF(COUNTA(AB355:AF355)=0,"",COUNTIF(AB355:AF355,"yes"))</f>
        <v/>
      </c>
      <c r="AH355" s="11">
        <f>IF($AG355="","",IF($AG355&lt;2,"Fail",IF(OR($AC355="yes",$AD355="yes"),IF($AG355&gt;=3,"A","B"),"C")))</f>
        <v/>
      </c>
    </row>
    <row r="356">
      <c r="AG356" s="11">
        <f>IF(COUNTA(AB356:AF356)=0,"",COUNTIF(AB356:AF356,"yes"))</f>
        <v/>
      </c>
      <c r="AH356" s="11">
        <f>IF($AG356="","",IF($AG356&lt;2,"Fail",IF(OR($AC356="yes",$AD356="yes"),IF($AG356&gt;=3,"A","B"),"C")))</f>
        <v/>
      </c>
    </row>
    <row r="357">
      <c r="AG357" s="11">
        <f>IF(COUNTA(AB357:AF357)=0,"",COUNTIF(AB357:AF357,"yes"))</f>
        <v/>
      </c>
      <c r="AH357" s="11">
        <f>IF($AG357="","",IF($AG357&lt;2,"Fail",IF(OR($AC357="yes",$AD357="yes"),IF($AG357&gt;=3,"A","B"),"C")))</f>
        <v/>
      </c>
    </row>
    <row r="358">
      <c r="AG358" s="11">
        <f>IF(COUNTA(AB358:AF358)=0,"",COUNTIF(AB358:AF358,"yes"))</f>
        <v/>
      </c>
      <c r="AH358" s="11">
        <f>IF($AG358="","",IF($AG358&lt;2,"Fail",IF(OR($AC358="yes",$AD358="yes"),IF($AG358&gt;=3,"A","B"),"C")))</f>
        <v/>
      </c>
    </row>
    <row r="359">
      <c r="AG359" s="11">
        <f>IF(COUNTA(AB359:AF359)=0,"",COUNTIF(AB359:AF359,"yes"))</f>
        <v/>
      </c>
      <c r="AH359" s="11">
        <f>IF($AG359="","",IF($AG359&lt;2,"Fail",IF(OR($AC359="yes",$AD359="yes"),IF($AG359&gt;=3,"A","B"),"C")))</f>
        <v/>
      </c>
    </row>
    <row r="360">
      <c r="AG360" s="11">
        <f>IF(COUNTA(AB360:AF360)=0,"",COUNTIF(AB360:AF360,"yes"))</f>
        <v/>
      </c>
      <c r="AH360" s="11">
        <f>IF($AG360="","",IF($AG360&lt;2,"Fail",IF(OR($AC360="yes",$AD360="yes"),IF($AG360&gt;=3,"A","B"),"C")))</f>
        <v/>
      </c>
    </row>
    <row r="361">
      <c r="AG361" s="11">
        <f>IF(COUNTA(AB361:AF361)=0,"",COUNTIF(AB361:AF361,"yes"))</f>
        <v/>
      </c>
      <c r="AH361" s="11">
        <f>IF($AG361="","",IF($AG361&lt;2,"Fail",IF(OR($AC361="yes",$AD361="yes"),IF($AG361&gt;=3,"A","B"),"C")))</f>
        <v/>
      </c>
    </row>
    <row r="362">
      <c r="AG362" s="11">
        <f>IF(COUNTA(AB362:AF362)=0,"",COUNTIF(AB362:AF362,"yes"))</f>
        <v/>
      </c>
      <c r="AH362" s="11">
        <f>IF($AG362="","",IF($AG362&lt;2,"Fail",IF(OR($AC362="yes",$AD362="yes"),IF($AG362&gt;=3,"A","B"),"C")))</f>
        <v/>
      </c>
    </row>
    <row r="363">
      <c r="AG363" s="11">
        <f>IF(COUNTA(AB363:AF363)=0,"",COUNTIF(AB363:AF363,"yes"))</f>
        <v/>
      </c>
      <c r="AH363" s="11">
        <f>IF($AG363="","",IF($AG363&lt;2,"Fail",IF(OR($AC363="yes",$AD363="yes"),IF($AG363&gt;=3,"A","B"),"C")))</f>
        <v/>
      </c>
    </row>
    <row r="364">
      <c r="AG364" s="11">
        <f>IF(COUNTA(AB364:AF364)=0,"",COUNTIF(AB364:AF364,"yes"))</f>
        <v/>
      </c>
      <c r="AH364" s="11">
        <f>IF($AG364="","",IF($AG364&lt;2,"Fail",IF(OR($AC364="yes",$AD364="yes"),IF($AG364&gt;=3,"A","B"),"C")))</f>
        <v/>
      </c>
    </row>
    <row r="365">
      <c r="AG365" s="11">
        <f>IF(COUNTA(AB365:AF365)=0,"",COUNTIF(AB365:AF365,"yes"))</f>
        <v/>
      </c>
      <c r="AH365" s="11">
        <f>IF($AG365="","",IF($AG365&lt;2,"Fail",IF(OR($AC365="yes",$AD365="yes"),IF($AG365&gt;=3,"A","B"),"C")))</f>
        <v/>
      </c>
    </row>
    <row r="366">
      <c r="AG366" s="11">
        <f>IF(COUNTA(AB366:AF366)=0,"",COUNTIF(AB366:AF366,"yes"))</f>
        <v/>
      </c>
      <c r="AH366" s="11">
        <f>IF($AG366="","",IF($AG366&lt;2,"Fail",IF(OR($AC366="yes",$AD366="yes"),IF($AG366&gt;=3,"A","B"),"C")))</f>
        <v/>
      </c>
    </row>
    <row r="367">
      <c r="AG367" s="11">
        <f>IF(COUNTA(AB367:AF367)=0,"",COUNTIF(AB367:AF367,"yes"))</f>
        <v/>
      </c>
      <c r="AH367" s="11">
        <f>IF($AG367="","",IF($AG367&lt;2,"Fail",IF(OR($AC367="yes",$AD367="yes"),IF($AG367&gt;=3,"A","B"),"C")))</f>
        <v/>
      </c>
    </row>
    <row r="368">
      <c r="AG368" s="11">
        <f>IF(COUNTA(AB368:AF368)=0,"",COUNTIF(AB368:AF368,"yes"))</f>
        <v/>
      </c>
      <c r="AH368" s="11">
        <f>IF($AG368="","",IF($AG368&lt;2,"Fail",IF(OR($AC368="yes",$AD368="yes"),IF($AG368&gt;=3,"A","B"),"C")))</f>
        <v/>
      </c>
    </row>
    <row r="369">
      <c r="AG369" s="11">
        <f>IF(COUNTA(AB369:AF369)=0,"",COUNTIF(AB369:AF369,"yes"))</f>
        <v/>
      </c>
      <c r="AH369" s="11">
        <f>IF($AG369="","",IF($AG369&lt;2,"Fail",IF(OR($AC369="yes",$AD369="yes"),IF($AG369&gt;=3,"A","B"),"C")))</f>
        <v/>
      </c>
    </row>
    <row r="370">
      <c r="AG370" s="11">
        <f>IF(COUNTA(AB370:AF370)=0,"",COUNTIF(AB370:AF370,"yes"))</f>
        <v/>
      </c>
      <c r="AH370" s="11">
        <f>IF($AG370="","",IF($AG370&lt;2,"Fail",IF(OR($AC370="yes",$AD370="yes"),IF($AG370&gt;=3,"A","B"),"C")))</f>
        <v/>
      </c>
    </row>
    <row r="371">
      <c r="AG371" s="11">
        <f>IF(COUNTA(AB371:AF371)=0,"",COUNTIF(AB371:AF371,"yes"))</f>
        <v/>
      </c>
      <c r="AH371" s="11">
        <f>IF($AG371="","",IF($AG371&lt;2,"Fail",IF(OR($AC371="yes",$AD371="yes"),IF($AG371&gt;=3,"A","B"),"C")))</f>
        <v/>
      </c>
    </row>
    <row r="372">
      <c r="AG372" s="11">
        <f>IF(COUNTA(AB372:AF372)=0,"",COUNTIF(AB372:AF372,"yes"))</f>
        <v/>
      </c>
      <c r="AH372" s="11">
        <f>IF($AG372="","",IF($AG372&lt;2,"Fail",IF(OR($AC372="yes",$AD372="yes"),IF($AG372&gt;=3,"A","B"),"C")))</f>
        <v/>
      </c>
    </row>
    <row r="373">
      <c r="AG373" s="11">
        <f>IF(COUNTA(AB373:AF373)=0,"",COUNTIF(AB373:AF373,"yes"))</f>
        <v/>
      </c>
      <c r="AH373" s="11">
        <f>IF($AG373="","",IF($AG373&lt;2,"Fail",IF(OR($AC373="yes",$AD373="yes"),IF($AG373&gt;=3,"A","B"),"C")))</f>
        <v/>
      </c>
    </row>
    <row r="374">
      <c r="AG374" s="11">
        <f>IF(COUNTA(AB374:AF374)=0,"",COUNTIF(AB374:AF374,"yes"))</f>
        <v/>
      </c>
      <c r="AH374" s="11">
        <f>IF($AG374="","",IF($AG374&lt;2,"Fail",IF(OR($AC374="yes",$AD374="yes"),IF($AG374&gt;=3,"A","B"),"C")))</f>
        <v/>
      </c>
    </row>
    <row r="375">
      <c r="AG375" s="11">
        <f>IF(COUNTA(AB375:AF375)=0,"",COUNTIF(AB375:AF375,"yes"))</f>
        <v/>
      </c>
      <c r="AH375" s="11">
        <f>IF($AG375="","",IF($AG375&lt;2,"Fail",IF(OR($AC375="yes",$AD375="yes"),IF($AG375&gt;=3,"A","B"),"C")))</f>
        <v/>
      </c>
    </row>
    <row r="376">
      <c r="AG376" s="11">
        <f>IF(COUNTA(AB376:AF376)=0,"",COUNTIF(AB376:AF376,"yes"))</f>
        <v/>
      </c>
      <c r="AH376" s="11">
        <f>IF($AG376="","",IF($AG376&lt;2,"Fail",IF(OR($AC376="yes",$AD376="yes"),IF($AG376&gt;=3,"A","B"),"C")))</f>
        <v/>
      </c>
    </row>
    <row r="377">
      <c r="AG377" s="11">
        <f>IF(COUNTA(AB377:AF377)=0,"",COUNTIF(AB377:AF377,"yes"))</f>
        <v/>
      </c>
      <c r="AH377" s="11">
        <f>IF($AG377="","",IF($AG377&lt;2,"Fail",IF(OR($AC377="yes",$AD377="yes"),IF($AG377&gt;=3,"A","B"),"C")))</f>
        <v/>
      </c>
    </row>
    <row r="378">
      <c r="AG378" s="11">
        <f>IF(COUNTA(AB378:AF378)=0,"",COUNTIF(AB378:AF378,"yes"))</f>
        <v/>
      </c>
      <c r="AH378" s="11">
        <f>IF($AG378="","",IF($AG378&lt;2,"Fail",IF(OR($AC378="yes",$AD378="yes"),IF($AG378&gt;=3,"A","B"),"C")))</f>
        <v/>
      </c>
    </row>
    <row r="379">
      <c r="AG379" s="11">
        <f>IF(COUNTA(AB379:AF379)=0,"",COUNTIF(AB379:AF379,"yes"))</f>
        <v/>
      </c>
      <c r="AH379" s="11">
        <f>IF($AG379="","",IF($AG379&lt;2,"Fail",IF(OR($AC379="yes",$AD379="yes"),IF($AG379&gt;=3,"A","B"),"C")))</f>
        <v/>
      </c>
    </row>
    <row r="380">
      <c r="AG380" s="11">
        <f>IF(COUNTA(AB380:AF380)=0,"",COUNTIF(AB380:AF380,"yes"))</f>
        <v/>
      </c>
      <c r="AH380" s="11">
        <f>IF($AG380="","",IF($AG380&lt;2,"Fail",IF(OR($AC380="yes",$AD380="yes"),IF($AG380&gt;=3,"A","B"),"C")))</f>
        <v/>
      </c>
    </row>
    <row r="381">
      <c r="AG381" s="11">
        <f>IF(COUNTA(AB381:AF381)=0,"",COUNTIF(AB381:AF381,"yes"))</f>
        <v/>
      </c>
      <c r="AH381" s="11">
        <f>IF($AG381="","",IF($AG381&lt;2,"Fail",IF(OR($AC381="yes",$AD381="yes"),IF($AG381&gt;=3,"A","B"),"C")))</f>
        <v/>
      </c>
    </row>
    <row r="382">
      <c r="AG382" s="11">
        <f>IF(COUNTA(AB382:AF382)=0,"",COUNTIF(AB382:AF382,"yes"))</f>
        <v/>
      </c>
      <c r="AH382" s="11">
        <f>IF($AG382="","",IF($AG382&lt;2,"Fail",IF(OR($AC382="yes",$AD382="yes"),IF($AG382&gt;=3,"A","B"),"C")))</f>
        <v/>
      </c>
    </row>
    <row r="383">
      <c r="AG383" s="11">
        <f>IF(COUNTA(AB383:AF383)=0,"",COUNTIF(AB383:AF383,"yes"))</f>
        <v/>
      </c>
      <c r="AH383" s="11">
        <f>IF($AG383="","",IF($AG383&lt;2,"Fail",IF(OR($AC383="yes",$AD383="yes"),IF($AG383&gt;=3,"A","B"),"C")))</f>
        <v/>
      </c>
    </row>
    <row r="384">
      <c r="AG384" s="11">
        <f>IF(COUNTA(AB384:AF384)=0,"",COUNTIF(AB384:AF384,"yes"))</f>
        <v/>
      </c>
      <c r="AH384" s="11">
        <f>IF($AG384="","",IF($AG384&lt;2,"Fail",IF(OR($AC384="yes",$AD384="yes"),IF($AG384&gt;=3,"A","B"),"C")))</f>
        <v/>
      </c>
    </row>
    <row r="385">
      <c r="AG385" s="11">
        <f>IF(COUNTA(AB385:AF385)=0,"",COUNTIF(AB385:AF385,"yes"))</f>
        <v/>
      </c>
      <c r="AH385" s="11">
        <f>IF($AG385="","",IF($AG385&lt;2,"Fail",IF(OR($AC385="yes",$AD385="yes"),IF($AG385&gt;=3,"A","B"),"C")))</f>
        <v/>
      </c>
    </row>
    <row r="386">
      <c r="AG386" s="11">
        <f>IF(COUNTA(AB386:AF386)=0,"",COUNTIF(AB386:AF386,"yes"))</f>
        <v/>
      </c>
      <c r="AH386" s="11">
        <f>IF($AG386="","",IF($AG386&lt;2,"Fail",IF(OR($AC386="yes",$AD386="yes"),IF($AG386&gt;=3,"A","B"),"C")))</f>
        <v/>
      </c>
    </row>
    <row r="387">
      <c r="AG387" s="11">
        <f>IF(COUNTA(AB387:AF387)=0,"",COUNTIF(AB387:AF387,"yes"))</f>
        <v/>
      </c>
      <c r="AH387" s="11">
        <f>IF($AG387="","",IF($AG387&lt;2,"Fail",IF(OR($AC387="yes",$AD387="yes"),IF($AG387&gt;=3,"A","B"),"C")))</f>
        <v/>
      </c>
    </row>
    <row r="388">
      <c r="AG388" s="11">
        <f>IF(COUNTA(AB388:AF388)=0,"",COUNTIF(AB388:AF388,"yes"))</f>
        <v/>
      </c>
      <c r="AH388" s="11">
        <f>IF($AG388="","",IF($AG388&lt;2,"Fail",IF(OR($AC388="yes",$AD388="yes"),IF($AG388&gt;=3,"A","B"),"C")))</f>
        <v/>
      </c>
    </row>
    <row r="389">
      <c r="AG389" s="11">
        <f>IF(COUNTA(AB389:AF389)=0,"",COUNTIF(AB389:AF389,"yes"))</f>
        <v/>
      </c>
      <c r="AH389" s="11">
        <f>IF($AG389="","",IF($AG389&lt;2,"Fail",IF(OR($AC389="yes",$AD389="yes"),IF($AG389&gt;=3,"A","B"),"C")))</f>
        <v/>
      </c>
    </row>
    <row r="390">
      <c r="AG390" s="11">
        <f>IF(COUNTA(AB390:AF390)=0,"",COUNTIF(AB390:AF390,"yes"))</f>
        <v/>
      </c>
      <c r="AH390" s="11">
        <f>IF($AG390="","",IF($AG390&lt;2,"Fail",IF(OR($AC390="yes",$AD390="yes"),IF($AG390&gt;=3,"A","B"),"C")))</f>
        <v/>
      </c>
    </row>
    <row r="391">
      <c r="AG391" s="11">
        <f>IF(COUNTA(AB391:AF391)=0,"",COUNTIF(AB391:AF391,"yes"))</f>
        <v/>
      </c>
      <c r="AH391" s="11">
        <f>IF($AG391="","",IF($AG391&lt;2,"Fail",IF(OR($AC391="yes",$AD391="yes"),IF($AG391&gt;=3,"A","B"),"C")))</f>
        <v/>
      </c>
    </row>
    <row r="392">
      <c r="AG392" s="11">
        <f>IF(COUNTA(AB392:AF392)=0,"",COUNTIF(AB392:AF392,"yes"))</f>
        <v/>
      </c>
      <c r="AH392" s="11">
        <f>IF($AG392="","",IF($AG392&lt;2,"Fail",IF(OR($AC392="yes",$AD392="yes"),IF($AG392&gt;=3,"A","B"),"C")))</f>
        <v/>
      </c>
    </row>
    <row r="393">
      <c r="AG393" s="11">
        <f>IF(COUNTA(AB393:AF393)=0,"",COUNTIF(AB393:AF393,"yes"))</f>
        <v/>
      </c>
      <c r="AH393" s="11">
        <f>IF($AG393="","",IF($AG393&lt;2,"Fail",IF(OR($AC393="yes",$AD393="yes"),IF($AG393&gt;=3,"A","B"),"C")))</f>
        <v/>
      </c>
    </row>
    <row r="394">
      <c r="AG394" s="11">
        <f>IF(COUNTA(AB394:AF394)=0,"",COUNTIF(AB394:AF394,"yes"))</f>
        <v/>
      </c>
      <c r="AH394" s="11">
        <f>IF($AG394="","",IF($AG394&lt;2,"Fail",IF(OR($AC394="yes",$AD394="yes"),IF($AG394&gt;=3,"A","B"),"C")))</f>
        <v/>
      </c>
    </row>
    <row r="395">
      <c r="AG395" s="11">
        <f>IF(COUNTA(AB395:AF395)=0,"",COUNTIF(AB395:AF395,"yes"))</f>
        <v/>
      </c>
      <c r="AH395" s="11">
        <f>IF($AG395="","",IF($AG395&lt;2,"Fail",IF(OR($AC395="yes",$AD395="yes"),IF($AG395&gt;=3,"A","B"),"C")))</f>
        <v/>
      </c>
    </row>
    <row r="396">
      <c r="AG396" s="11">
        <f>IF(COUNTA(AB396:AF396)=0,"",COUNTIF(AB396:AF396,"yes"))</f>
        <v/>
      </c>
      <c r="AH396" s="11">
        <f>IF($AG396="","",IF($AG396&lt;2,"Fail",IF(OR($AC396="yes",$AD396="yes"),IF($AG396&gt;=3,"A","B"),"C")))</f>
        <v/>
      </c>
    </row>
    <row r="397">
      <c r="AG397" s="11">
        <f>IF(COUNTA(AB397:AF397)=0,"",COUNTIF(AB397:AF397,"yes"))</f>
        <v/>
      </c>
      <c r="AH397" s="11">
        <f>IF($AG397="","",IF($AG397&lt;2,"Fail",IF(OR($AC397="yes",$AD397="yes"),IF($AG397&gt;=3,"A","B"),"C")))</f>
        <v/>
      </c>
    </row>
    <row r="398">
      <c r="AG398" s="11">
        <f>IF(COUNTA(AB398:AF398)=0,"",COUNTIF(AB398:AF398,"yes"))</f>
        <v/>
      </c>
      <c r="AH398" s="11">
        <f>IF($AG398="","",IF($AG398&lt;2,"Fail",IF(OR($AC398="yes",$AD398="yes"),IF($AG398&gt;=3,"A","B"),"C")))</f>
        <v/>
      </c>
    </row>
    <row r="399">
      <c r="AG399" s="11">
        <f>IF(COUNTA(AB399:AF399)=0,"",COUNTIF(AB399:AF399,"yes"))</f>
        <v/>
      </c>
      <c r="AH399" s="11">
        <f>IF($AG399="","",IF($AG399&lt;2,"Fail",IF(OR($AC399="yes",$AD399="yes"),IF($AG399&gt;=3,"A","B"),"C")))</f>
        <v/>
      </c>
    </row>
    <row r="400">
      <c r="AG400" s="11">
        <f>IF(COUNTA(AB400:AF400)=0,"",COUNTIF(AB400:AF400,"yes"))</f>
        <v/>
      </c>
      <c r="AH400" s="11">
        <f>IF($AG400="","",IF($AG400&lt;2,"Fail",IF(OR($AC400="yes",$AD400="yes"),IF($AG400&gt;=3,"A","B"),"C")))</f>
        <v/>
      </c>
    </row>
    <row r="401">
      <c r="AG401" s="11">
        <f>IF(COUNTA(AB401:AF401)=0,"",COUNTIF(AB401:AF401,"yes"))</f>
        <v/>
      </c>
      <c r="AH401" s="11">
        <f>IF($AG401="","",IF($AG401&lt;2,"Fail",IF(OR($AC401="yes",$AD401="yes"),IF($AG401&gt;=3,"A","B"),"C")))</f>
        <v/>
      </c>
    </row>
    <row r="402">
      <c r="AG402" s="11">
        <f>IF(COUNTA(AB402:AF402)=0,"",COUNTIF(AB402:AF402,"yes"))</f>
        <v/>
      </c>
      <c r="AH402" s="11">
        <f>IF($AG402="","",IF($AG402&lt;2,"Fail",IF(OR($AC402="yes",$AD402="yes"),IF($AG402&gt;=3,"A","B"),"C")))</f>
        <v/>
      </c>
    </row>
  </sheetData>
  <autoFilter ref="A1:BC1"/>
  <dataValidations count="14">
    <dataValidation sqref="H2:H402" showDropDown="0" showInputMessage="0" showErrorMessage="0" allowBlank="1" errorTitle="Value not in the controlled vocabulary" error="Use the dropdown. Free-typed variants corrupt every count." type="list">
      <formula1>"agrees,differs,no published location"</formula1>
    </dataValidation>
    <dataValidation sqref="J2:J402" showDropDown="0" showInputMessage="0" showErrorMessage="0" allowBlank="1" errorTitle="Value not in the controlled vocabulary" error="Use the dropdown. Free-typed variants corrupt every count." type="list">
      <formula1>"network/directory listing,independent self-identification,both"</formula1>
    </dataValidation>
    <dataValidation sqref="L2:L402" showDropDown="0" showInputMessage="0" showErrorMessage="0" allowBlank="1" errorTitle="Value not in the controlled vocabulary" error="Use the dropdown. Free-typed variants corrupt every count." type="list">
      <formula1>"village-scale permanent residence,retreat centre,campus,business,single household,urban co-housing,unclear"</formula1>
    </dataValidation>
    <dataValidation sqref="N2:N402" showDropDown="0" showInputMessage="0" showErrorMessage="0" allowBlank="1" errorTitle="Value not in the controlled vocabulary" error="Use the dropdown. Free-typed variants corrupt every count." type="list">
      <formula1>"rural,peri-urban,urban,unclear"</formula1>
    </dataValidation>
    <dataValidation sqref="V2:V402" showDropDown="0" showInputMessage="0" showErrorMessage="0" allowBlank="1" errorTitle="Value not in the controlled vocabulary" error="Use the dropdown. Free-typed variants corrupt every count." type="list">
      <formula1>"measured,stated,inferred,not found"</formula1>
    </dataValidation>
    <dataValidation sqref="W2:W402" showDropDown="0" showInputMessage="0" showErrorMessage="0" allowBlank="1" errorTitle="Value not in the controlled vocabulary" error="Use the dropdown. Free-typed variants corrupt every count." type="list">
      <formula1>"S1,S2,S3,S4,S5,S6,S7,S8"</formula1>
    </dataValidation>
    <dataValidation sqref="Z2:Z402" showDropDown="0" showInputMessage="0" showErrorMessage="0" allowBlank="1" errorTitle="Value not in the controlled vocabulary" error="Use the dropdown. Free-typed variants corrupt every count." type="list">
      <formula1>"actively managed,total holding only,both recorded,not stated"</formula1>
    </dataValidation>
    <dataValidation sqref="AA2:AA402" showDropDown="0" showInputMessage="0" showErrorMessage="0" allowBlank="1" errorTitle="Value not in the controlled vocabulary" error="Use the dropdown. Free-typed variants corrupt every count." type="list">
      <formula1>"contiguous,non-contiguous,unknown"</formula1>
    </dataValidation>
    <dataValidation sqref="AB2:AB402 AC2:AC402 AD2:AD402 AE2:AE402 AF2:AF402" showDropDown="0" showInputMessage="0" showErrorMessage="0" allowBlank="1" errorTitle="Value not in the controlled vocabulary" error="Use the dropdown. Free-typed variants corrupt every count." type="list">
      <formula1>"yes,no"</formula1>
    </dataValidation>
    <dataValidation sqref="AI2:AI402" showDropDown="0" showInputMessage="0" showErrorMessage="0" allowBlank="1" errorTitle="Value not in the controlled vocabulary" error="Use the dropdown. Free-typed variants corrupt every count." type="list">
      <formula1>"active,dormant,transformed,relocated,dissolved,unknown"</formula1>
    </dataValidation>
    <dataValidation sqref="AM2:AM402" showDropDown="0" showInputMessage="0" showErrorMessage="0" allowBlank="1" errorTitle="Value not in the controlled vocabulary" error="Use the dropdown. Free-typed variants corrupt every count." type="list">
      <formula1>"dissolution,relocation,changed network,administrative removal,lost contact,unknown,n/a"</formula1>
    </dataValidation>
    <dataValidation sqref="AO2:AO402" showDropDown="0" showInputMessage="0" showErrorMessage="0" allowBlank="1" errorTitle="Value not in the controlled vocabulary" error="Use the dropdown. Free-typed variants corrupt every count." type="list">
      <formula1>"inside,adjacent,no,unclear"</formula1>
    </dataValidation>
    <dataValidation sqref="AX2:AX402" showDropDown="0" showInputMessage="0" showErrorMessage="0" allowBlank="1" errorTitle="Value not in the controlled vocabulary" error="Use the dropdown. Free-typed variants corrupt every count." type="list">
      <formula1>"yes,no"</formula1>
    </dataValidation>
    <dataValidation sqref="BA2:BA402" showDropDown="0" showInputMessage="0" showErrorMessage="0" allowBlank="1" errorTitle="Value not in the controlled vocabulary" error="Use the dropdown. Free-typed variants corrupt every count."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4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38" customWidth="1" min="11" max="11"/>
    <col width="34" customWidth="1" min="12" max="12"/>
    <col width="34"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34" customWidth="1" min="21" max="21"/>
    <col width="96" customWidth="1" min="23" max="23"/>
  </cols>
  <sheetData>
    <row r="1" ht="30" customHeight="1">
      <c r="A1" s="9" t="inlineStr">
        <is>
          <t>site_id</t>
        </is>
      </c>
      <c r="B1" s="9" t="inlineStr">
        <is>
          <t>community_name</t>
        </is>
      </c>
      <c r="C1" s="9" t="inlineStr">
        <is>
          <t>date_formal_founding</t>
        </is>
      </c>
      <c r="D1" s="9" t="inlineStr">
        <is>
          <t>founding_decade</t>
        </is>
      </c>
      <c r="E1" s="9" t="inlineStr">
        <is>
          <t>date_land_acquisition</t>
        </is>
      </c>
      <c r="F1" s="9" t="inlineStr">
        <is>
          <t>date_intervention_onset</t>
        </is>
      </c>
      <c r="G1" s="9" t="inlineStr">
        <is>
          <t>onset_lower_bound</t>
        </is>
      </c>
      <c r="H1" s="9" t="inlineStr">
        <is>
          <t>onset_upper_bound</t>
        </is>
      </c>
      <c r="I1" s="9" t="inlineStr">
        <is>
          <t>onset_band_width_years</t>
        </is>
      </c>
      <c r="J1" s="9" t="inlineStr">
        <is>
          <t>onset_evidence_rank</t>
        </is>
      </c>
      <c r="K1" s="9" t="inlineStr">
        <is>
          <t>onset_evidence_description</t>
        </is>
      </c>
      <c r="L1" s="9" t="inlineStr">
        <is>
          <t>onset_conflicting_sources</t>
        </is>
      </c>
      <c r="M1" s="9" t="inlineStr">
        <is>
          <t>resolution_rule</t>
        </is>
      </c>
      <c r="N1" s="9" t="inlineStr">
        <is>
          <t>onset_proxy_flag</t>
        </is>
      </c>
      <c r="O1" s="9" t="inlineStr">
        <is>
          <t>onset_confidence_tier</t>
        </is>
      </c>
      <c r="P1" s="9" t="inlineStr">
        <is>
          <t>onset_first_or_major</t>
        </is>
      </c>
      <c r="Q1" s="9" t="inlineStr">
        <is>
          <t>cohort_candidate</t>
        </is>
      </c>
      <c r="R1" s="9" t="inlineStr">
        <is>
          <t>source_ids</t>
        </is>
      </c>
      <c r="S1" s="9" t="inlineStr">
        <is>
          <t>coder_id</t>
        </is>
      </c>
      <c r="T1" s="9" t="inlineStr">
        <is>
          <t>coding_date</t>
        </is>
      </c>
      <c r="U1" s="9" t="inlineStr">
        <is>
          <t>notes</t>
        </is>
      </c>
      <c r="W1" s="10" t="inlineStr">
        <is>
          <t>THE PRIORITY BLOCK. More analyses depend on onset than on any other documentary field, and it is the hardest field to establish.</t>
        </is>
      </c>
    </row>
    <row r="2">
      <c r="B2" s="11">
        <f>IF($A2="","",IFERROR(IF(INDEX(Community_Register!$B$2:$B$402,MATCH($A2,Community_Register!$A$2:$A$402,0))="","",INDEX(Community_Register!$B$2:$B$402,MATCH($A2,Community_Register!$A$2:$A$402,0))),""))</f>
        <v/>
      </c>
      <c r="D2" s="11">
        <f>IF(OR($C2="",NOT(ISNUMBER($C2))),"",FLOOR($C2,10))</f>
        <v/>
      </c>
      <c r="I2" s="11">
        <f>IF(OR($G2="",$H2="",NOT(ISNUMBER($G2)),NOT(ISNUMBER($H2))),"",$H2-$G2)</f>
        <v/>
      </c>
      <c r="W2" s="12" t="inlineStr"/>
    </row>
    <row r="3">
      <c r="B3" s="11">
        <f>IF($A3="","",IFERROR(IF(INDEX(Community_Register!$B$2:$B$402,MATCH($A3,Community_Register!$A$2:$A$402,0))="","",INDEX(Community_Register!$B$2:$B$402,MATCH($A3,Community_Register!$A$2:$A$402,0))),""))</f>
        <v/>
      </c>
      <c r="D3" s="11">
        <f>IF(OR($C3="",NOT(ISNUMBER($C3))),"",FLOOR($C3,10))</f>
        <v/>
      </c>
      <c r="I3" s="11">
        <f>IF(OR($G3="",$H3="",NOT(ISNUMBER($G3)),NOT(ISNUMBER($H3))),"",$H3-$G3)</f>
        <v/>
      </c>
      <c r="W3" s="12" t="inlineStr">
        <is>
          <t>Three candidate dates are retained and only ONE of them is the study's onset. date_formal_founding distinguishes founding from onset — the study's central dating rule. date_land_acquisition is the hardest available LOWER bound: a community cannot intervene on land it does not hold. date_intervention_onset is the onset.</t>
        </is>
      </c>
    </row>
    <row r="4">
      <c r="B4" s="11">
        <f>IF($A4="","",IFERROR(IF(INDEX(Community_Register!$B$2:$B$402,MATCH($A4,Community_Register!$A$2:$A$402,0))="","",INDEX(Community_Register!$B$2:$B$402,MATCH($A4,Community_Register!$A$2:$A$402,0))),""))</f>
        <v/>
      </c>
      <c r="D4" s="11">
        <f>IF(OR($C4="",NOT(ISNUMBER($C4))),"",FLOOR($C4,10))</f>
        <v/>
      </c>
      <c r="I4" s="11">
        <f>IF(OR($G4="",$H4="",NOT(ISNUMBER($G4)),NOT(ISNUMBER($H4))),"",$H4-$G4)</f>
        <v/>
      </c>
      <c r="W4" s="12" t="inlineStr"/>
    </row>
    <row r="5">
      <c r="B5" s="11">
        <f>IF($A5="","",IFERROR(IF(INDEX(Community_Register!$B$2:$B$402,MATCH($A5,Community_Register!$A$2:$A$402,0))="","",INDEX(Community_Register!$B$2:$B$402,MATCH($A5,Community_Register!$A$2:$A$402,0))),""))</f>
        <v/>
      </c>
      <c r="D5" s="11">
        <f>IF(OR($C5="",NOT(ISNUMBER($C5))),"",FLOOR($C5,10))</f>
        <v/>
      </c>
      <c r="I5" s="11">
        <f>IF(OR($G5="",$H5="",NOT(ISNUMBER($G5)),NOT(ISNUMBER($H5))),"",$H5-$G5)</f>
        <v/>
      </c>
      <c r="W5" s="12" t="inlineStr">
        <is>
          <t>date_first_residence and domain_onsets were dropped in v4.0. Neither had a downstream consumer: habitation neither bounds nor dates the intervention, and with practice codes removed there is no per-domain analysis for a per-domain onset to feed. The onset is the EARLIEST deliberate ecological intervention of any kind.</t>
        </is>
      </c>
    </row>
    <row r="6">
      <c r="B6" s="11">
        <f>IF($A6="","",IFERROR(IF(INDEX(Community_Register!$B$2:$B$402,MATCH($A6,Community_Register!$A$2:$A$402,0))="","",INDEX(Community_Register!$B$2:$B$402,MATCH($A6,Community_Register!$A$2:$A$402,0))),""))</f>
        <v/>
      </c>
      <c r="D6" s="11">
        <f>IF(OR($C6="",NOT(ISNUMBER($C6))),"",FLOOR($C6,10))</f>
        <v/>
      </c>
      <c r="I6" s="11">
        <f>IF(OR($G6="",$H6="",NOT(ISNUMBER($G6)),NOT(ISNUMBER($H6))),"",$H6-$G6)</f>
        <v/>
      </c>
      <c r="W6" s="12" t="inlineStr"/>
    </row>
    <row r="7">
      <c r="B7" s="11">
        <f>IF($A7="","",IFERROR(IF(INDEX(Community_Register!$B$2:$B$402,MATCH($A7,Community_Register!$A$2:$A$402,0))="","",INDEX(Community_Register!$B$2:$B$402,MATCH($A7,Community_Register!$A$2:$A$402,0))),""))</f>
        <v/>
      </c>
      <c r="D7" s="11">
        <f>IF(OR($C7="",NOT(ISNUMBER($C7))),"",FLOOR($C7,10))</f>
        <v/>
      </c>
      <c r="I7" s="11">
        <f>IF(OR($G7="",$H7="",NOT(ISNUMBER($G7)),NOT(ISNUMBER($H7))),"",$H7-$G7)</f>
        <v/>
      </c>
      <c r="W7" s="12" t="inlineStr">
        <is>
          <t>Where sources of equal rank disagree, take the EARLIER year as the value and let the gap become the lower and upper bounds. Record the disagreement in onset_conflicting_sources whatever you do with it, and the rule you applied in resolution_rule. A conflict is never resolved silently.</t>
        </is>
      </c>
    </row>
    <row r="8">
      <c r="B8" s="11">
        <f>IF($A8="","",IFERROR(IF(INDEX(Community_Register!$B$2:$B$402,MATCH($A8,Community_Register!$A$2:$A$402,0))="","",INDEX(Community_Register!$B$2:$B$402,MATCH($A8,Community_Register!$A$2:$A$402,0))),""))</f>
        <v/>
      </c>
      <c r="D8" s="11">
        <f>IF(OR($C8="",NOT(ISNUMBER($C8))),"",FLOOR($C8,10))</f>
        <v/>
      </c>
      <c r="I8" s="11">
        <f>IF(OR($G8="",$H8="",NOT(ISNUMBER($G8)),NOT(ISNUMBER($H8))),"",$H8-$G8)</f>
        <v/>
      </c>
      <c r="W8" s="12" t="inlineStr"/>
    </row>
    <row r="9">
      <c r="B9" s="11">
        <f>IF($A9="","",IFERROR(IF(INDEX(Community_Register!$B$2:$B$402,MATCH($A9,Community_Register!$A$2:$A$402,0))="","",INDEX(Community_Register!$B$2:$B$402,MATCH($A9,Community_Register!$A$2:$A$402,0))),""))</f>
        <v/>
      </c>
      <c r="D9" s="11">
        <f>IF(OR($C9="",NOT(ISNUMBER($C9))),"",FLOOR($C9,10))</f>
        <v/>
      </c>
      <c r="I9" s="11">
        <f>IF(OR($G9="",$H9="",NOT(ISNUMBER($G9)),NOT(ISNUMBER($H9))),"",$H9-$G9)</f>
        <v/>
      </c>
      <c r="W9" s="12" t="inlineStr">
        <is>
          <t>onset_proxy_flag = yes means a founding year was used as a substitute. Those sites leave analysis A4 and stay in every other analysis.</t>
        </is>
      </c>
    </row>
    <row r="10">
      <c r="B10" s="11">
        <f>IF($A10="","",IFERROR(IF(INDEX(Community_Register!$B$2:$B$402,MATCH($A10,Community_Register!$A$2:$A$402,0))="","",INDEX(Community_Register!$B$2:$B$402,MATCH($A10,Community_Register!$A$2:$A$402,0))),""))</f>
        <v/>
      </c>
      <c r="D10" s="11">
        <f>IF(OR($C10="",NOT(ISNUMBER($C10))),"",FLOOR($C10,10))</f>
        <v/>
      </c>
      <c r="I10" s="11">
        <f>IF(OR($G10="",$H10="",NOT(ISNUMBER($G10)),NOT(ISNUMBER($H10))),"",$H10-$G10)</f>
        <v/>
      </c>
      <c r="W10" s="12" t="inlineStr"/>
    </row>
    <row r="11">
      <c r="B11" s="11">
        <f>IF($A11="","",IFERROR(IF(INDEX(Community_Register!$B$2:$B$402,MATCH($A11,Community_Register!$A$2:$A$402,0))="","",INDEX(Community_Register!$B$2:$B$402,MATCH($A11,Community_Register!$A$2:$A$402,0))),""))</f>
        <v/>
      </c>
      <c r="D11" s="11">
        <f>IF(OR($C11="",NOT(ISNUMBER($C11))),"",FLOOR($C11,10))</f>
        <v/>
      </c>
      <c r="I11" s="11">
        <f>IF(OR($G11="",$H11="",NOT(ISNUMBER($G11)),NOT(ISNUMBER($H11))),"",$H11-$G11)</f>
        <v/>
      </c>
      <c r="W11" s="12" t="inlineStr">
        <is>
          <t>onset_confidence_tier gates cohort admission: A7 admits tier A and B only.</t>
        </is>
      </c>
    </row>
    <row r="12">
      <c r="B12" s="11">
        <f>IF($A12="","",IFERROR(IF(INDEX(Community_Register!$B$2:$B$402,MATCH($A12,Community_Register!$A$2:$A$402,0))="","",INDEX(Community_Register!$B$2:$B$402,MATCH($A12,Community_Register!$A$2:$A$402,0))),""))</f>
        <v/>
      </c>
      <c r="D12" s="11">
        <f>IF(OR($C12="",NOT(ISNUMBER($C12))),"",FLOOR($C12,10))</f>
        <v/>
      </c>
      <c r="I12" s="11">
        <f>IF(OR($G12="",$H12="",NOT(ISNUMBER($G12)),NOT(ISNUMBER($H12))),"",$H12-$G12)</f>
        <v/>
      </c>
    </row>
    <row r="13">
      <c r="B13" s="11">
        <f>IF($A13="","",IFERROR(IF(INDEX(Community_Register!$B$2:$B$402,MATCH($A13,Community_Register!$A$2:$A$402,0))="","",INDEX(Community_Register!$B$2:$B$402,MATCH($A13,Community_Register!$A$2:$A$402,0))),""))</f>
        <v/>
      </c>
      <c r="D13" s="11">
        <f>IF(OR($C13="",NOT(ISNUMBER($C13))),"",FLOOR($C13,10))</f>
        <v/>
      </c>
      <c r="I13" s="11">
        <f>IF(OR($G13="",$H13="",NOT(ISNUMBER($G13)),NOT(ISNUMBER($H13))),"",$H13-$G13)</f>
        <v/>
      </c>
    </row>
    <row r="14">
      <c r="B14" s="11">
        <f>IF($A14="","",IFERROR(IF(INDEX(Community_Register!$B$2:$B$402,MATCH($A14,Community_Register!$A$2:$A$402,0))="","",INDEX(Community_Register!$B$2:$B$402,MATCH($A14,Community_Register!$A$2:$A$402,0))),""))</f>
        <v/>
      </c>
      <c r="D14" s="11">
        <f>IF(OR($C14="",NOT(ISNUMBER($C14))),"",FLOOR($C14,10))</f>
        <v/>
      </c>
      <c r="I14" s="11">
        <f>IF(OR($G14="",$H14="",NOT(ISNUMBER($G14)),NOT(ISNUMBER($H14))),"",$H14-$G14)</f>
        <v/>
      </c>
    </row>
    <row r="15">
      <c r="B15" s="11">
        <f>IF($A15="","",IFERROR(IF(INDEX(Community_Register!$B$2:$B$402,MATCH($A15,Community_Register!$A$2:$A$402,0))="","",INDEX(Community_Register!$B$2:$B$402,MATCH($A15,Community_Register!$A$2:$A$402,0))),""))</f>
        <v/>
      </c>
      <c r="D15" s="11">
        <f>IF(OR($C15="",NOT(ISNUMBER($C15))),"",FLOOR($C15,10))</f>
        <v/>
      </c>
      <c r="I15" s="11">
        <f>IF(OR($G15="",$H15="",NOT(ISNUMBER($G15)),NOT(ISNUMBER($H15))),"",$H15-$G15)</f>
        <v/>
      </c>
    </row>
    <row r="16">
      <c r="B16" s="11">
        <f>IF($A16="","",IFERROR(IF(INDEX(Community_Register!$B$2:$B$402,MATCH($A16,Community_Register!$A$2:$A$402,0))="","",INDEX(Community_Register!$B$2:$B$402,MATCH($A16,Community_Register!$A$2:$A$402,0))),""))</f>
        <v/>
      </c>
      <c r="D16" s="11">
        <f>IF(OR($C16="",NOT(ISNUMBER($C16))),"",FLOOR($C16,10))</f>
        <v/>
      </c>
      <c r="I16" s="11">
        <f>IF(OR($G16="",$H16="",NOT(ISNUMBER($G16)),NOT(ISNUMBER($H16))),"",$H16-$G16)</f>
        <v/>
      </c>
    </row>
    <row r="17">
      <c r="B17" s="11">
        <f>IF($A17="","",IFERROR(IF(INDEX(Community_Register!$B$2:$B$402,MATCH($A17,Community_Register!$A$2:$A$402,0))="","",INDEX(Community_Register!$B$2:$B$402,MATCH($A17,Community_Register!$A$2:$A$402,0))),""))</f>
        <v/>
      </c>
      <c r="D17" s="11">
        <f>IF(OR($C17="",NOT(ISNUMBER($C17))),"",FLOOR($C17,10))</f>
        <v/>
      </c>
      <c r="I17" s="11">
        <f>IF(OR($G17="",$H17="",NOT(ISNUMBER($G17)),NOT(ISNUMBER($H17))),"",$H17-$G17)</f>
        <v/>
      </c>
    </row>
    <row r="18">
      <c r="B18" s="11">
        <f>IF($A18="","",IFERROR(IF(INDEX(Community_Register!$B$2:$B$402,MATCH($A18,Community_Register!$A$2:$A$402,0))="","",INDEX(Community_Register!$B$2:$B$402,MATCH($A18,Community_Register!$A$2:$A$402,0))),""))</f>
        <v/>
      </c>
      <c r="D18" s="11">
        <f>IF(OR($C18="",NOT(ISNUMBER($C18))),"",FLOOR($C18,10))</f>
        <v/>
      </c>
      <c r="I18" s="11">
        <f>IF(OR($G18="",$H18="",NOT(ISNUMBER($G18)),NOT(ISNUMBER($H18))),"",$H18-$G18)</f>
        <v/>
      </c>
    </row>
    <row r="19">
      <c r="B19" s="11">
        <f>IF($A19="","",IFERROR(IF(INDEX(Community_Register!$B$2:$B$402,MATCH($A19,Community_Register!$A$2:$A$402,0))="","",INDEX(Community_Register!$B$2:$B$402,MATCH($A19,Community_Register!$A$2:$A$402,0))),""))</f>
        <v/>
      </c>
      <c r="D19" s="11">
        <f>IF(OR($C19="",NOT(ISNUMBER($C19))),"",FLOOR($C19,10))</f>
        <v/>
      </c>
      <c r="I19" s="11">
        <f>IF(OR($G19="",$H19="",NOT(ISNUMBER($G19)),NOT(ISNUMBER($H19))),"",$H19-$G19)</f>
        <v/>
      </c>
    </row>
    <row r="20">
      <c r="B20" s="11">
        <f>IF($A20="","",IFERROR(IF(INDEX(Community_Register!$B$2:$B$402,MATCH($A20,Community_Register!$A$2:$A$402,0))="","",INDEX(Community_Register!$B$2:$B$402,MATCH($A20,Community_Register!$A$2:$A$402,0))),""))</f>
        <v/>
      </c>
      <c r="D20" s="11">
        <f>IF(OR($C20="",NOT(ISNUMBER($C20))),"",FLOOR($C20,10))</f>
        <v/>
      </c>
      <c r="I20" s="11">
        <f>IF(OR($G20="",$H20="",NOT(ISNUMBER($G20)),NOT(ISNUMBER($H20))),"",$H20-$G20)</f>
        <v/>
      </c>
    </row>
    <row r="21">
      <c r="B21" s="11">
        <f>IF($A21="","",IFERROR(IF(INDEX(Community_Register!$B$2:$B$402,MATCH($A21,Community_Register!$A$2:$A$402,0))="","",INDEX(Community_Register!$B$2:$B$402,MATCH($A21,Community_Register!$A$2:$A$402,0))),""))</f>
        <v/>
      </c>
      <c r="D21" s="11">
        <f>IF(OR($C21="",NOT(ISNUMBER($C21))),"",FLOOR($C21,10))</f>
        <v/>
      </c>
      <c r="I21" s="11">
        <f>IF(OR($G21="",$H21="",NOT(ISNUMBER($G21)),NOT(ISNUMBER($H21))),"",$H21-$G21)</f>
        <v/>
      </c>
    </row>
    <row r="22">
      <c r="B22" s="11">
        <f>IF($A22="","",IFERROR(IF(INDEX(Community_Register!$B$2:$B$402,MATCH($A22,Community_Register!$A$2:$A$402,0))="","",INDEX(Community_Register!$B$2:$B$402,MATCH($A22,Community_Register!$A$2:$A$402,0))),""))</f>
        <v/>
      </c>
      <c r="D22" s="11">
        <f>IF(OR($C22="",NOT(ISNUMBER($C22))),"",FLOOR($C22,10))</f>
        <v/>
      </c>
      <c r="I22" s="11">
        <f>IF(OR($G22="",$H22="",NOT(ISNUMBER($G22)),NOT(ISNUMBER($H22))),"",$H22-$G22)</f>
        <v/>
      </c>
    </row>
    <row r="23">
      <c r="B23" s="11">
        <f>IF($A23="","",IFERROR(IF(INDEX(Community_Register!$B$2:$B$402,MATCH($A23,Community_Register!$A$2:$A$402,0))="","",INDEX(Community_Register!$B$2:$B$402,MATCH($A23,Community_Register!$A$2:$A$402,0))),""))</f>
        <v/>
      </c>
      <c r="D23" s="11">
        <f>IF(OR($C23="",NOT(ISNUMBER($C23))),"",FLOOR($C23,10))</f>
        <v/>
      </c>
      <c r="I23" s="11">
        <f>IF(OR($G23="",$H23="",NOT(ISNUMBER($G23)),NOT(ISNUMBER($H23))),"",$H23-$G23)</f>
        <v/>
      </c>
    </row>
    <row r="24">
      <c r="B24" s="11">
        <f>IF($A24="","",IFERROR(IF(INDEX(Community_Register!$B$2:$B$402,MATCH($A24,Community_Register!$A$2:$A$402,0))="","",INDEX(Community_Register!$B$2:$B$402,MATCH($A24,Community_Register!$A$2:$A$402,0))),""))</f>
        <v/>
      </c>
      <c r="D24" s="11">
        <f>IF(OR($C24="",NOT(ISNUMBER($C24))),"",FLOOR($C24,10))</f>
        <v/>
      </c>
      <c r="I24" s="11">
        <f>IF(OR($G24="",$H24="",NOT(ISNUMBER($G24)),NOT(ISNUMBER($H24))),"",$H24-$G24)</f>
        <v/>
      </c>
    </row>
    <row r="25">
      <c r="B25" s="11">
        <f>IF($A25="","",IFERROR(IF(INDEX(Community_Register!$B$2:$B$402,MATCH($A25,Community_Register!$A$2:$A$402,0))="","",INDEX(Community_Register!$B$2:$B$402,MATCH($A25,Community_Register!$A$2:$A$402,0))),""))</f>
        <v/>
      </c>
      <c r="D25" s="11">
        <f>IF(OR($C25="",NOT(ISNUMBER($C25))),"",FLOOR($C25,10))</f>
        <v/>
      </c>
      <c r="I25" s="11">
        <f>IF(OR($G25="",$H25="",NOT(ISNUMBER($G25)),NOT(ISNUMBER($H25))),"",$H25-$G25)</f>
        <v/>
      </c>
    </row>
    <row r="26">
      <c r="B26" s="11">
        <f>IF($A26="","",IFERROR(IF(INDEX(Community_Register!$B$2:$B$402,MATCH($A26,Community_Register!$A$2:$A$402,0))="","",INDEX(Community_Register!$B$2:$B$402,MATCH($A26,Community_Register!$A$2:$A$402,0))),""))</f>
        <v/>
      </c>
      <c r="D26" s="11">
        <f>IF(OR($C26="",NOT(ISNUMBER($C26))),"",FLOOR($C26,10))</f>
        <v/>
      </c>
      <c r="I26" s="11">
        <f>IF(OR($G26="",$H26="",NOT(ISNUMBER($G26)),NOT(ISNUMBER($H26))),"",$H26-$G26)</f>
        <v/>
      </c>
    </row>
    <row r="27">
      <c r="B27" s="11">
        <f>IF($A27="","",IFERROR(IF(INDEX(Community_Register!$B$2:$B$402,MATCH($A27,Community_Register!$A$2:$A$402,0))="","",INDEX(Community_Register!$B$2:$B$402,MATCH($A27,Community_Register!$A$2:$A$402,0))),""))</f>
        <v/>
      </c>
      <c r="D27" s="11">
        <f>IF(OR($C27="",NOT(ISNUMBER($C27))),"",FLOOR($C27,10))</f>
        <v/>
      </c>
      <c r="I27" s="11">
        <f>IF(OR($G27="",$H27="",NOT(ISNUMBER($G27)),NOT(ISNUMBER($H27))),"",$H27-$G27)</f>
        <v/>
      </c>
    </row>
    <row r="28">
      <c r="B28" s="11">
        <f>IF($A28="","",IFERROR(IF(INDEX(Community_Register!$B$2:$B$402,MATCH($A28,Community_Register!$A$2:$A$402,0))="","",INDEX(Community_Register!$B$2:$B$402,MATCH($A28,Community_Register!$A$2:$A$402,0))),""))</f>
        <v/>
      </c>
      <c r="D28" s="11">
        <f>IF(OR($C28="",NOT(ISNUMBER($C28))),"",FLOOR($C28,10))</f>
        <v/>
      </c>
      <c r="I28" s="11">
        <f>IF(OR($G28="",$H28="",NOT(ISNUMBER($G28)),NOT(ISNUMBER($H28))),"",$H28-$G28)</f>
        <v/>
      </c>
    </row>
    <row r="29">
      <c r="B29" s="11">
        <f>IF($A29="","",IFERROR(IF(INDEX(Community_Register!$B$2:$B$402,MATCH($A29,Community_Register!$A$2:$A$402,0))="","",INDEX(Community_Register!$B$2:$B$402,MATCH($A29,Community_Register!$A$2:$A$402,0))),""))</f>
        <v/>
      </c>
      <c r="D29" s="11">
        <f>IF(OR($C29="",NOT(ISNUMBER($C29))),"",FLOOR($C29,10))</f>
        <v/>
      </c>
      <c r="I29" s="11">
        <f>IF(OR($G29="",$H29="",NOT(ISNUMBER($G29)),NOT(ISNUMBER($H29))),"",$H29-$G29)</f>
        <v/>
      </c>
    </row>
    <row r="30">
      <c r="B30" s="11">
        <f>IF($A30="","",IFERROR(IF(INDEX(Community_Register!$B$2:$B$402,MATCH($A30,Community_Register!$A$2:$A$402,0))="","",INDEX(Community_Register!$B$2:$B$402,MATCH($A30,Community_Register!$A$2:$A$402,0))),""))</f>
        <v/>
      </c>
      <c r="D30" s="11">
        <f>IF(OR($C30="",NOT(ISNUMBER($C30))),"",FLOOR($C30,10))</f>
        <v/>
      </c>
      <c r="I30" s="11">
        <f>IF(OR($G30="",$H30="",NOT(ISNUMBER($G30)),NOT(ISNUMBER($H30))),"",$H30-$G30)</f>
        <v/>
      </c>
    </row>
    <row r="31">
      <c r="B31" s="11">
        <f>IF($A31="","",IFERROR(IF(INDEX(Community_Register!$B$2:$B$402,MATCH($A31,Community_Register!$A$2:$A$402,0))="","",INDEX(Community_Register!$B$2:$B$402,MATCH($A31,Community_Register!$A$2:$A$402,0))),""))</f>
        <v/>
      </c>
      <c r="D31" s="11">
        <f>IF(OR($C31="",NOT(ISNUMBER($C31))),"",FLOOR($C31,10))</f>
        <v/>
      </c>
      <c r="I31" s="11">
        <f>IF(OR($G31="",$H31="",NOT(ISNUMBER($G31)),NOT(ISNUMBER($H31))),"",$H31-$G31)</f>
        <v/>
      </c>
    </row>
    <row r="32">
      <c r="B32" s="11">
        <f>IF($A32="","",IFERROR(IF(INDEX(Community_Register!$B$2:$B$402,MATCH($A32,Community_Register!$A$2:$A$402,0))="","",INDEX(Community_Register!$B$2:$B$402,MATCH($A32,Community_Register!$A$2:$A$402,0))),""))</f>
        <v/>
      </c>
      <c r="D32" s="11">
        <f>IF(OR($C32="",NOT(ISNUMBER($C32))),"",FLOOR($C32,10))</f>
        <v/>
      </c>
      <c r="I32" s="11">
        <f>IF(OR($G32="",$H32="",NOT(ISNUMBER($G32)),NOT(ISNUMBER($H32))),"",$H32-$G32)</f>
        <v/>
      </c>
    </row>
    <row r="33">
      <c r="B33" s="11">
        <f>IF($A33="","",IFERROR(IF(INDEX(Community_Register!$B$2:$B$402,MATCH($A33,Community_Register!$A$2:$A$402,0))="","",INDEX(Community_Register!$B$2:$B$402,MATCH($A33,Community_Register!$A$2:$A$402,0))),""))</f>
        <v/>
      </c>
      <c r="D33" s="11">
        <f>IF(OR($C33="",NOT(ISNUMBER($C33))),"",FLOOR($C33,10))</f>
        <v/>
      </c>
      <c r="I33" s="11">
        <f>IF(OR($G33="",$H33="",NOT(ISNUMBER($G33)),NOT(ISNUMBER($H33))),"",$H33-$G33)</f>
        <v/>
      </c>
    </row>
    <row r="34">
      <c r="B34" s="11">
        <f>IF($A34="","",IFERROR(IF(INDEX(Community_Register!$B$2:$B$402,MATCH($A34,Community_Register!$A$2:$A$402,0))="","",INDEX(Community_Register!$B$2:$B$402,MATCH($A34,Community_Register!$A$2:$A$402,0))),""))</f>
        <v/>
      </c>
      <c r="D34" s="11">
        <f>IF(OR($C34="",NOT(ISNUMBER($C34))),"",FLOOR($C34,10))</f>
        <v/>
      </c>
      <c r="I34" s="11">
        <f>IF(OR($G34="",$H34="",NOT(ISNUMBER($G34)),NOT(ISNUMBER($H34))),"",$H34-$G34)</f>
        <v/>
      </c>
    </row>
    <row r="35">
      <c r="B35" s="11">
        <f>IF($A35="","",IFERROR(IF(INDEX(Community_Register!$B$2:$B$402,MATCH($A35,Community_Register!$A$2:$A$402,0))="","",INDEX(Community_Register!$B$2:$B$402,MATCH($A35,Community_Register!$A$2:$A$402,0))),""))</f>
        <v/>
      </c>
      <c r="D35" s="11">
        <f>IF(OR($C35="",NOT(ISNUMBER($C35))),"",FLOOR($C35,10))</f>
        <v/>
      </c>
      <c r="I35" s="11">
        <f>IF(OR($G35="",$H35="",NOT(ISNUMBER($G35)),NOT(ISNUMBER($H35))),"",$H35-$G35)</f>
        <v/>
      </c>
    </row>
    <row r="36">
      <c r="B36" s="11">
        <f>IF($A36="","",IFERROR(IF(INDEX(Community_Register!$B$2:$B$402,MATCH($A36,Community_Register!$A$2:$A$402,0))="","",INDEX(Community_Register!$B$2:$B$402,MATCH($A36,Community_Register!$A$2:$A$402,0))),""))</f>
        <v/>
      </c>
      <c r="D36" s="11">
        <f>IF(OR($C36="",NOT(ISNUMBER($C36))),"",FLOOR($C36,10))</f>
        <v/>
      </c>
      <c r="I36" s="11">
        <f>IF(OR($G36="",$H36="",NOT(ISNUMBER($G36)),NOT(ISNUMBER($H36))),"",$H36-$G36)</f>
        <v/>
      </c>
    </row>
    <row r="37">
      <c r="B37" s="11">
        <f>IF($A37="","",IFERROR(IF(INDEX(Community_Register!$B$2:$B$402,MATCH($A37,Community_Register!$A$2:$A$402,0))="","",INDEX(Community_Register!$B$2:$B$402,MATCH($A37,Community_Register!$A$2:$A$402,0))),""))</f>
        <v/>
      </c>
      <c r="D37" s="11">
        <f>IF(OR($C37="",NOT(ISNUMBER($C37))),"",FLOOR($C37,10))</f>
        <v/>
      </c>
      <c r="I37" s="11">
        <f>IF(OR($G37="",$H37="",NOT(ISNUMBER($G37)),NOT(ISNUMBER($H37))),"",$H37-$G37)</f>
        <v/>
      </c>
    </row>
    <row r="38">
      <c r="B38" s="11">
        <f>IF($A38="","",IFERROR(IF(INDEX(Community_Register!$B$2:$B$402,MATCH($A38,Community_Register!$A$2:$A$402,0))="","",INDEX(Community_Register!$B$2:$B$402,MATCH($A38,Community_Register!$A$2:$A$402,0))),""))</f>
        <v/>
      </c>
      <c r="D38" s="11">
        <f>IF(OR($C38="",NOT(ISNUMBER($C38))),"",FLOOR($C38,10))</f>
        <v/>
      </c>
      <c r="I38" s="11">
        <f>IF(OR($G38="",$H38="",NOT(ISNUMBER($G38)),NOT(ISNUMBER($H38))),"",$H38-$G38)</f>
        <v/>
      </c>
    </row>
    <row r="39">
      <c r="B39" s="11">
        <f>IF($A39="","",IFERROR(IF(INDEX(Community_Register!$B$2:$B$402,MATCH($A39,Community_Register!$A$2:$A$402,0))="","",INDEX(Community_Register!$B$2:$B$402,MATCH($A39,Community_Register!$A$2:$A$402,0))),""))</f>
        <v/>
      </c>
      <c r="D39" s="11">
        <f>IF(OR($C39="",NOT(ISNUMBER($C39))),"",FLOOR($C39,10))</f>
        <v/>
      </c>
      <c r="I39" s="11">
        <f>IF(OR($G39="",$H39="",NOT(ISNUMBER($G39)),NOT(ISNUMBER($H39))),"",$H39-$G39)</f>
        <v/>
      </c>
    </row>
    <row r="40">
      <c r="B40" s="11">
        <f>IF($A40="","",IFERROR(IF(INDEX(Community_Register!$B$2:$B$402,MATCH($A40,Community_Register!$A$2:$A$402,0))="","",INDEX(Community_Register!$B$2:$B$402,MATCH($A40,Community_Register!$A$2:$A$402,0))),""))</f>
        <v/>
      </c>
      <c r="D40" s="11">
        <f>IF(OR($C40="",NOT(ISNUMBER($C40))),"",FLOOR($C40,10))</f>
        <v/>
      </c>
      <c r="I40" s="11">
        <f>IF(OR($G40="",$H40="",NOT(ISNUMBER($G40)),NOT(ISNUMBER($H40))),"",$H40-$G40)</f>
        <v/>
      </c>
    </row>
    <row r="41">
      <c r="B41" s="11">
        <f>IF($A41="","",IFERROR(IF(INDEX(Community_Register!$B$2:$B$402,MATCH($A41,Community_Register!$A$2:$A$402,0))="","",INDEX(Community_Register!$B$2:$B$402,MATCH($A41,Community_Register!$A$2:$A$402,0))),""))</f>
        <v/>
      </c>
      <c r="D41" s="11">
        <f>IF(OR($C41="",NOT(ISNUMBER($C41))),"",FLOOR($C41,10))</f>
        <v/>
      </c>
      <c r="I41" s="11">
        <f>IF(OR($G41="",$H41="",NOT(ISNUMBER($G41)),NOT(ISNUMBER($H41))),"",$H41-$G41)</f>
        <v/>
      </c>
    </row>
    <row r="42">
      <c r="B42" s="11">
        <f>IF($A42="","",IFERROR(IF(INDEX(Community_Register!$B$2:$B$402,MATCH($A42,Community_Register!$A$2:$A$402,0))="","",INDEX(Community_Register!$B$2:$B$402,MATCH($A42,Community_Register!$A$2:$A$402,0))),""))</f>
        <v/>
      </c>
      <c r="D42" s="11">
        <f>IF(OR($C42="",NOT(ISNUMBER($C42))),"",FLOOR($C42,10))</f>
        <v/>
      </c>
      <c r="I42" s="11">
        <f>IF(OR($G42="",$H42="",NOT(ISNUMBER($G42)),NOT(ISNUMBER($H42))),"",$H42-$G42)</f>
        <v/>
      </c>
    </row>
    <row r="43">
      <c r="B43" s="11">
        <f>IF($A43="","",IFERROR(IF(INDEX(Community_Register!$B$2:$B$402,MATCH($A43,Community_Register!$A$2:$A$402,0))="","",INDEX(Community_Register!$B$2:$B$402,MATCH($A43,Community_Register!$A$2:$A$402,0))),""))</f>
        <v/>
      </c>
      <c r="D43" s="11">
        <f>IF(OR($C43="",NOT(ISNUMBER($C43))),"",FLOOR($C43,10))</f>
        <v/>
      </c>
      <c r="I43" s="11">
        <f>IF(OR($G43="",$H43="",NOT(ISNUMBER($G43)),NOT(ISNUMBER($H43))),"",$H43-$G43)</f>
        <v/>
      </c>
    </row>
    <row r="44">
      <c r="B44" s="11">
        <f>IF($A44="","",IFERROR(IF(INDEX(Community_Register!$B$2:$B$402,MATCH($A44,Community_Register!$A$2:$A$402,0))="","",INDEX(Community_Register!$B$2:$B$402,MATCH($A44,Community_Register!$A$2:$A$402,0))),""))</f>
        <v/>
      </c>
      <c r="D44" s="11">
        <f>IF(OR($C44="",NOT(ISNUMBER($C44))),"",FLOOR($C44,10))</f>
        <v/>
      </c>
      <c r="I44" s="11">
        <f>IF(OR($G44="",$H44="",NOT(ISNUMBER($G44)),NOT(ISNUMBER($H44))),"",$H44-$G44)</f>
        <v/>
      </c>
    </row>
    <row r="45">
      <c r="B45" s="11">
        <f>IF($A45="","",IFERROR(IF(INDEX(Community_Register!$B$2:$B$402,MATCH($A45,Community_Register!$A$2:$A$402,0))="","",INDEX(Community_Register!$B$2:$B$402,MATCH($A45,Community_Register!$A$2:$A$402,0))),""))</f>
        <v/>
      </c>
      <c r="D45" s="11">
        <f>IF(OR($C45="",NOT(ISNUMBER($C45))),"",FLOOR($C45,10))</f>
        <v/>
      </c>
      <c r="I45" s="11">
        <f>IF(OR($G45="",$H45="",NOT(ISNUMBER($G45)),NOT(ISNUMBER($H45))),"",$H45-$G45)</f>
        <v/>
      </c>
    </row>
    <row r="46">
      <c r="B46" s="11">
        <f>IF($A46="","",IFERROR(IF(INDEX(Community_Register!$B$2:$B$402,MATCH($A46,Community_Register!$A$2:$A$402,0))="","",INDEX(Community_Register!$B$2:$B$402,MATCH($A46,Community_Register!$A$2:$A$402,0))),""))</f>
        <v/>
      </c>
      <c r="D46" s="11">
        <f>IF(OR($C46="",NOT(ISNUMBER($C46))),"",FLOOR($C46,10))</f>
        <v/>
      </c>
      <c r="I46" s="11">
        <f>IF(OR($G46="",$H46="",NOT(ISNUMBER($G46)),NOT(ISNUMBER($H46))),"",$H46-$G46)</f>
        <v/>
      </c>
    </row>
    <row r="47">
      <c r="B47" s="11">
        <f>IF($A47="","",IFERROR(IF(INDEX(Community_Register!$B$2:$B$402,MATCH($A47,Community_Register!$A$2:$A$402,0))="","",INDEX(Community_Register!$B$2:$B$402,MATCH($A47,Community_Register!$A$2:$A$402,0))),""))</f>
        <v/>
      </c>
      <c r="D47" s="11">
        <f>IF(OR($C47="",NOT(ISNUMBER($C47))),"",FLOOR($C47,10))</f>
        <v/>
      </c>
      <c r="I47" s="11">
        <f>IF(OR($G47="",$H47="",NOT(ISNUMBER($G47)),NOT(ISNUMBER($H47))),"",$H47-$G47)</f>
        <v/>
      </c>
    </row>
    <row r="48">
      <c r="B48" s="11">
        <f>IF($A48="","",IFERROR(IF(INDEX(Community_Register!$B$2:$B$402,MATCH($A48,Community_Register!$A$2:$A$402,0))="","",INDEX(Community_Register!$B$2:$B$402,MATCH($A48,Community_Register!$A$2:$A$402,0))),""))</f>
        <v/>
      </c>
      <c r="D48" s="11">
        <f>IF(OR($C48="",NOT(ISNUMBER($C48))),"",FLOOR($C48,10))</f>
        <v/>
      </c>
      <c r="I48" s="11">
        <f>IF(OR($G48="",$H48="",NOT(ISNUMBER($G48)),NOT(ISNUMBER($H48))),"",$H48-$G48)</f>
        <v/>
      </c>
    </row>
    <row r="49">
      <c r="B49" s="11">
        <f>IF($A49="","",IFERROR(IF(INDEX(Community_Register!$B$2:$B$402,MATCH($A49,Community_Register!$A$2:$A$402,0))="","",INDEX(Community_Register!$B$2:$B$402,MATCH($A49,Community_Register!$A$2:$A$402,0))),""))</f>
        <v/>
      </c>
      <c r="D49" s="11">
        <f>IF(OR($C49="",NOT(ISNUMBER($C49))),"",FLOOR($C49,10))</f>
        <v/>
      </c>
      <c r="I49" s="11">
        <f>IF(OR($G49="",$H49="",NOT(ISNUMBER($G49)),NOT(ISNUMBER($H49))),"",$H49-$G49)</f>
        <v/>
      </c>
    </row>
    <row r="50">
      <c r="B50" s="11">
        <f>IF($A50="","",IFERROR(IF(INDEX(Community_Register!$B$2:$B$402,MATCH($A50,Community_Register!$A$2:$A$402,0))="","",INDEX(Community_Register!$B$2:$B$402,MATCH($A50,Community_Register!$A$2:$A$402,0))),""))</f>
        <v/>
      </c>
      <c r="D50" s="11">
        <f>IF(OR($C50="",NOT(ISNUMBER($C50))),"",FLOOR($C50,10))</f>
        <v/>
      </c>
      <c r="I50" s="11">
        <f>IF(OR($G50="",$H50="",NOT(ISNUMBER($G50)),NOT(ISNUMBER($H50))),"",$H50-$G50)</f>
        <v/>
      </c>
    </row>
    <row r="51">
      <c r="B51" s="11">
        <f>IF($A51="","",IFERROR(IF(INDEX(Community_Register!$B$2:$B$402,MATCH($A51,Community_Register!$A$2:$A$402,0))="","",INDEX(Community_Register!$B$2:$B$402,MATCH($A51,Community_Register!$A$2:$A$402,0))),""))</f>
        <v/>
      </c>
      <c r="D51" s="11">
        <f>IF(OR($C51="",NOT(ISNUMBER($C51))),"",FLOOR($C51,10))</f>
        <v/>
      </c>
      <c r="I51" s="11">
        <f>IF(OR($G51="",$H51="",NOT(ISNUMBER($G51)),NOT(ISNUMBER($H51))),"",$H51-$G51)</f>
        <v/>
      </c>
    </row>
    <row r="52">
      <c r="B52" s="11">
        <f>IF($A52="","",IFERROR(IF(INDEX(Community_Register!$B$2:$B$402,MATCH($A52,Community_Register!$A$2:$A$402,0))="","",INDEX(Community_Register!$B$2:$B$402,MATCH($A52,Community_Register!$A$2:$A$402,0))),""))</f>
        <v/>
      </c>
      <c r="D52" s="11">
        <f>IF(OR($C52="",NOT(ISNUMBER($C52))),"",FLOOR($C52,10))</f>
        <v/>
      </c>
      <c r="I52" s="11">
        <f>IF(OR($G52="",$H52="",NOT(ISNUMBER($G52)),NOT(ISNUMBER($H52))),"",$H52-$G52)</f>
        <v/>
      </c>
    </row>
    <row r="53">
      <c r="B53" s="11">
        <f>IF($A53="","",IFERROR(IF(INDEX(Community_Register!$B$2:$B$402,MATCH($A53,Community_Register!$A$2:$A$402,0))="","",INDEX(Community_Register!$B$2:$B$402,MATCH($A53,Community_Register!$A$2:$A$402,0))),""))</f>
        <v/>
      </c>
      <c r="D53" s="11">
        <f>IF(OR($C53="",NOT(ISNUMBER($C53))),"",FLOOR($C53,10))</f>
        <v/>
      </c>
      <c r="I53" s="11">
        <f>IF(OR($G53="",$H53="",NOT(ISNUMBER($G53)),NOT(ISNUMBER($H53))),"",$H53-$G53)</f>
        <v/>
      </c>
    </row>
    <row r="54">
      <c r="B54" s="11">
        <f>IF($A54="","",IFERROR(IF(INDEX(Community_Register!$B$2:$B$402,MATCH($A54,Community_Register!$A$2:$A$402,0))="","",INDEX(Community_Register!$B$2:$B$402,MATCH($A54,Community_Register!$A$2:$A$402,0))),""))</f>
        <v/>
      </c>
      <c r="D54" s="11">
        <f>IF(OR($C54="",NOT(ISNUMBER($C54))),"",FLOOR($C54,10))</f>
        <v/>
      </c>
      <c r="I54" s="11">
        <f>IF(OR($G54="",$H54="",NOT(ISNUMBER($G54)),NOT(ISNUMBER($H54))),"",$H54-$G54)</f>
        <v/>
      </c>
    </row>
    <row r="55">
      <c r="B55" s="11">
        <f>IF($A55="","",IFERROR(IF(INDEX(Community_Register!$B$2:$B$402,MATCH($A55,Community_Register!$A$2:$A$402,0))="","",INDEX(Community_Register!$B$2:$B$402,MATCH($A55,Community_Register!$A$2:$A$402,0))),""))</f>
        <v/>
      </c>
      <c r="D55" s="11">
        <f>IF(OR($C55="",NOT(ISNUMBER($C55))),"",FLOOR($C55,10))</f>
        <v/>
      </c>
      <c r="I55" s="11">
        <f>IF(OR($G55="",$H55="",NOT(ISNUMBER($G55)),NOT(ISNUMBER($H55))),"",$H55-$G55)</f>
        <v/>
      </c>
    </row>
    <row r="56">
      <c r="B56" s="11">
        <f>IF($A56="","",IFERROR(IF(INDEX(Community_Register!$B$2:$B$402,MATCH($A56,Community_Register!$A$2:$A$402,0))="","",INDEX(Community_Register!$B$2:$B$402,MATCH($A56,Community_Register!$A$2:$A$402,0))),""))</f>
        <v/>
      </c>
      <c r="D56" s="11">
        <f>IF(OR($C56="",NOT(ISNUMBER($C56))),"",FLOOR($C56,10))</f>
        <v/>
      </c>
      <c r="I56" s="11">
        <f>IF(OR($G56="",$H56="",NOT(ISNUMBER($G56)),NOT(ISNUMBER($H56))),"",$H56-$G56)</f>
        <v/>
      </c>
    </row>
    <row r="57">
      <c r="B57" s="11">
        <f>IF($A57="","",IFERROR(IF(INDEX(Community_Register!$B$2:$B$402,MATCH($A57,Community_Register!$A$2:$A$402,0))="","",INDEX(Community_Register!$B$2:$B$402,MATCH($A57,Community_Register!$A$2:$A$402,0))),""))</f>
        <v/>
      </c>
      <c r="D57" s="11">
        <f>IF(OR($C57="",NOT(ISNUMBER($C57))),"",FLOOR($C57,10))</f>
        <v/>
      </c>
      <c r="I57" s="11">
        <f>IF(OR($G57="",$H57="",NOT(ISNUMBER($G57)),NOT(ISNUMBER($H57))),"",$H57-$G57)</f>
        <v/>
      </c>
    </row>
    <row r="58">
      <c r="B58" s="11">
        <f>IF($A58="","",IFERROR(IF(INDEX(Community_Register!$B$2:$B$402,MATCH($A58,Community_Register!$A$2:$A$402,0))="","",INDEX(Community_Register!$B$2:$B$402,MATCH($A58,Community_Register!$A$2:$A$402,0))),""))</f>
        <v/>
      </c>
      <c r="D58" s="11">
        <f>IF(OR($C58="",NOT(ISNUMBER($C58))),"",FLOOR($C58,10))</f>
        <v/>
      </c>
      <c r="I58" s="11">
        <f>IF(OR($G58="",$H58="",NOT(ISNUMBER($G58)),NOT(ISNUMBER($H58))),"",$H58-$G58)</f>
        <v/>
      </c>
    </row>
    <row r="59">
      <c r="B59" s="11">
        <f>IF($A59="","",IFERROR(IF(INDEX(Community_Register!$B$2:$B$402,MATCH($A59,Community_Register!$A$2:$A$402,0))="","",INDEX(Community_Register!$B$2:$B$402,MATCH($A59,Community_Register!$A$2:$A$402,0))),""))</f>
        <v/>
      </c>
      <c r="D59" s="11">
        <f>IF(OR($C59="",NOT(ISNUMBER($C59))),"",FLOOR($C59,10))</f>
        <v/>
      </c>
      <c r="I59" s="11">
        <f>IF(OR($G59="",$H59="",NOT(ISNUMBER($G59)),NOT(ISNUMBER($H59))),"",$H59-$G59)</f>
        <v/>
      </c>
    </row>
    <row r="60">
      <c r="B60" s="11">
        <f>IF($A60="","",IFERROR(IF(INDEX(Community_Register!$B$2:$B$402,MATCH($A60,Community_Register!$A$2:$A$402,0))="","",INDEX(Community_Register!$B$2:$B$402,MATCH($A60,Community_Register!$A$2:$A$402,0))),""))</f>
        <v/>
      </c>
      <c r="D60" s="11">
        <f>IF(OR($C60="",NOT(ISNUMBER($C60))),"",FLOOR($C60,10))</f>
        <v/>
      </c>
      <c r="I60" s="11">
        <f>IF(OR($G60="",$H60="",NOT(ISNUMBER($G60)),NOT(ISNUMBER($H60))),"",$H60-$G60)</f>
        <v/>
      </c>
    </row>
    <row r="61">
      <c r="B61" s="11">
        <f>IF($A61="","",IFERROR(IF(INDEX(Community_Register!$B$2:$B$402,MATCH($A61,Community_Register!$A$2:$A$402,0))="","",INDEX(Community_Register!$B$2:$B$402,MATCH($A61,Community_Register!$A$2:$A$402,0))),""))</f>
        <v/>
      </c>
      <c r="D61" s="11">
        <f>IF(OR($C61="",NOT(ISNUMBER($C61))),"",FLOOR($C61,10))</f>
        <v/>
      </c>
      <c r="I61" s="11">
        <f>IF(OR($G61="",$H61="",NOT(ISNUMBER($G61)),NOT(ISNUMBER($H61))),"",$H61-$G61)</f>
        <v/>
      </c>
    </row>
    <row r="62">
      <c r="B62" s="11">
        <f>IF($A62="","",IFERROR(IF(INDEX(Community_Register!$B$2:$B$402,MATCH($A62,Community_Register!$A$2:$A$402,0))="","",INDEX(Community_Register!$B$2:$B$402,MATCH($A62,Community_Register!$A$2:$A$402,0))),""))</f>
        <v/>
      </c>
      <c r="D62" s="11">
        <f>IF(OR($C62="",NOT(ISNUMBER($C62))),"",FLOOR($C62,10))</f>
        <v/>
      </c>
      <c r="I62" s="11">
        <f>IF(OR($G62="",$H62="",NOT(ISNUMBER($G62)),NOT(ISNUMBER($H62))),"",$H62-$G62)</f>
        <v/>
      </c>
    </row>
    <row r="63">
      <c r="B63" s="11">
        <f>IF($A63="","",IFERROR(IF(INDEX(Community_Register!$B$2:$B$402,MATCH($A63,Community_Register!$A$2:$A$402,0))="","",INDEX(Community_Register!$B$2:$B$402,MATCH($A63,Community_Register!$A$2:$A$402,0))),""))</f>
        <v/>
      </c>
      <c r="D63" s="11">
        <f>IF(OR($C63="",NOT(ISNUMBER($C63))),"",FLOOR($C63,10))</f>
        <v/>
      </c>
      <c r="I63" s="11">
        <f>IF(OR($G63="",$H63="",NOT(ISNUMBER($G63)),NOT(ISNUMBER($H63))),"",$H63-$G63)</f>
        <v/>
      </c>
    </row>
    <row r="64">
      <c r="B64" s="11">
        <f>IF($A64="","",IFERROR(IF(INDEX(Community_Register!$B$2:$B$402,MATCH($A64,Community_Register!$A$2:$A$402,0))="","",INDEX(Community_Register!$B$2:$B$402,MATCH($A64,Community_Register!$A$2:$A$402,0))),""))</f>
        <v/>
      </c>
      <c r="D64" s="11">
        <f>IF(OR($C64="",NOT(ISNUMBER($C64))),"",FLOOR($C64,10))</f>
        <v/>
      </c>
      <c r="I64" s="11">
        <f>IF(OR($G64="",$H64="",NOT(ISNUMBER($G64)),NOT(ISNUMBER($H64))),"",$H64-$G64)</f>
        <v/>
      </c>
    </row>
    <row r="65">
      <c r="B65" s="11">
        <f>IF($A65="","",IFERROR(IF(INDEX(Community_Register!$B$2:$B$402,MATCH($A65,Community_Register!$A$2:$A$402,0))="","",INDEX(Community_Register!$B$2:$B$402,MATCH($A65,Community_Register!$A$2:$A$402,0))),""))</f>
        <v/>
      </c>
      <c r="D65" s="11">
        <f>IF(OR($C65="",NOT(ISNUMBER($C65))),"",FLOOR($C65,10))</f>
        <v/>
      </c>
      <c r="I65" s="11">
        <f>IF(OR($G65="",$H65="",NOT(ISNUMBER($G65)),NOT(ISNUMBER($H65))),"",$H65-$G65)</f>
        <v/>
      </c>
    </row>
    <row r="66">
      <c r="B66" s="11">
        <f>IF($A66="","",IFERROR(IF(INDEX(Community_Register!$B$2:$B$402,MATCH($A66,Community_Register!$A$2:$A$402,0))="","",INDEX(Community_Register!$B$2:$B$402,MATCH($A66,Community_Register!$A$2:$A$402,0))),""))</f>
        <v/>
      </c>
      <c r="D66" s="11">
        <f>IF(OR($C66="",NOT(ISNUMBER($C66))),"",FLOOR($C66,10))</f>
        <v/>
      </c>
      <c r="I66" s="11">
        <f>IF(OR($G66="",$H66="",NOT(ISNUMBER($G66)),NOT(ISNUMBER($H66))),"",$H66-$G66)</f>
        <v/>
      </c>
    </row>
    <row r="67">
      <c r="B67" s="11">
        <f>IF($A67="","",IFERROR(IF(INDEX(Community_Register!$B$2:$B$402,MATCH($A67,Community_Register!$A$2:$A$402,0))="","",INDEX(Community_Register!$B$2:$B$402,MATCH($A67,Community_Register!$A$2:$A$402,0))),""))</f>
        <v/>
      </c>
      <c r="D67" s="11">
        <f>IF(OR($C67="",NOT(ISNUMBER($C67))),"",FLOOR($C67,10))</f>
        <v/>
      </c>
      <c r="I67" s="11">
        <f>IF(OR($G67="",$H67="",NOT(ISNUMBER($G67)),NOT(ISNUMBER($H67))),"",$H67-$G67)</f>
        <v/>
      </c>
    </row>
    <row r="68">
      <c r="B68" s="11">
        <f>IF($A68="","",IFERROR(IF(INDEX(Community_Register!$B$2:$B$402,MATCH($A68,Community_Register!$A$2:$A$402,0))="","",INDEX(Community_Register!$B$2:$B$402,MATCH($A68,Community_Register!$A$2:$A$402,0))),""))</f>
        <v/>
      </c>
      <c r="D68" s="11">
        <f>IF(OR($C68="",NOT(ISNUMBER($C68))),"",FLOOR($C68,10))</f>
        <v/>
      </c>
      <c r="I68" s="11">
        <f>IF(OR($G68="",$H68="",NOT(ISNUMBER($G68)),NOT(ISNUMBER($H68))),"",$H68-$G68)</f>
        <v/>
      </c>
    </row>
    <row r="69">
      <c r="B69" s="11">
        <f>IF($A69="","",IFERROR(IF(INDEX(Community_Register!$B$2:$B$402,MATCH($A69,Community_Register!$A$2:$A$402,0))="","",INDEX(Community_Register!$B$2:$B$402,MATCH($A69,Community_Register!$A$2:$A$402,0))),""))</f>
        <v/>
      </c>
      <c r="D69" s="11">
        <f>IF(OR($C69="",NOT(ISNUMBER($C69))),"",FLOOR($C69,10))</f>
        <v/>
      </c>
      <c r="I69" s="11">
        <f>IF(OR($G69="",$H69="",NOT(ISNUMBER($G69)),NOT(ISNUMBER($H69))),"",$H69-$G69)</f>
        <v/>
      </c>
    </row>
    <row r="70">
      <c r="B70" s="11">
        <f>IF($A70="","",IFERROR(IF(INDEX(Community_Register!$B$2:$B$402,MATCH($A70,Community_Register!$A$2:$A$402,0))="","",INDEX(Community_Register!$B$2:$B$402,MATCH($A70,Community_Register!$A$2:$A$402,0))),""))</f>
        <v/>
      </c>
      <c r="D70" s="11">
        <f>IF(OR($C70="",NOT(ISNUMBER($C70))),"",FLOOR($C70,10))</f>
        <v/>
      </c>
      <c r="I70" s="11">
        <f>IF(OR($G70="",$H70="",NOT(ISNUMBER($G70)),NOT(ISNUMBER($H70))),"",$H70-$G70)</f>
        <v/>
      </c>
    </row>
    <row r="71">
      <c r="B71" s="11">
        <f>IF($A71="","",IFERROR(IF(INDEX(Community_Register!$B$2:$B$402,MATCH($A71,Community_Register!$A$2:$A$402,0))="","",INDEX(Community_Register!$B$2:$B$402,MATCH($A71,Community_Register!$A$2:$A$402,0))),""))</f>
        <v/>
      </c>
      <c r="D71" s="11">
        <f>IF(OR($C71="",NOT(ISNUMBER($C71))),"",FLOOR($C71,10))</f>
        <v/>
      </c>
      <c r="I71" s="11">
        <f>IF(OR($G71="",$H71="",NOT(ISNUMBER($G71)),NOT(ISNUMBER($H71))),"",$H71-$G71)</f>
        <v/>
      </c>
    </row>
    <row r="72">
      <c r="B72" s="11">
        <f>IF($A72="","",IFERROR(IF(INDEX(Community_Register!$B$2:$B$402,MATCH($A72,Community_Register!$A$2:$A$402,0))="","",INDEX(Community_Register!$B$2:$B$402,MATCH($A72,Community_Register!$A$2:$A$402,0))),""))</f>
        <v/>
      </c>
      <c r="D72" s="11">
        <f>IF(OR($C72="",NOT(ISNUMBER($C72))),"",FLOOR($C72,10))</f>
        <v/>
      </c>
      <c r="I72" s="11">
        <f>IF(OR($G72="",$H72="",NOT(ISNUMBER($G72)),NOT(ISNUMBER($H72))),"",$H72-$G72)</f>
        <v/>
      </c>
    </row>
    <row r="73">
      <c r="B73" s="11">
        <f>IF($A73="","",IFERROR(IF(INDEX(Community_Register!$B$2:$B$402,MATCH($A73,Community_Register!$A$2:$A$402,0))="","",INDEX(Community_Register!$B$2:$B$402,MATCH($A73,Community_Register!$A$2:$A$402,0))),""))</f>
        <v/>
      </c>
      <c r="D73" s="11">
        <f>IF(OR($C73="",NOT(ISNUMBER($C73))),"",FLOOR($C73,10))</f>
        <v/>
      </c>
      <c r="I73" s="11">
        <f>IF(OR($G73="",$H73="",NOT(ISNUMBER($G73)),NOT(ISNUMBER($H73))),"",$H73-$G73)</f>
        <v/>
      </c>
    </row>
    <row r="74">
      <c r="B74" s="11">
        <f>IF($A74="","",IFERROR(IF(INDEX(Community_Register!$B$2:$B$402,MATCH($A74,Community_Register!$A$2:$A$402,0))="","",INDEX(Community_Register!$B$2:$B$402,MATCH($A74,Community_Register!$A$2:$A$402,0))),""))</f>
        <v/>
      </c>
      <c r="D74" s="11">
        <f>IF(OR($C74="",NOT(ISNUMBER($C74))),"",FLOOR($C74,10))</f>
        <v/>
      </c>
      <c r="I74" s="11">
        <f>IF(OR($G74="",$H74="",NOT(ISNUMBER($G74)),NOT(ISNUMBER($H74))),"",$H74-$G74)</f>
        <v/>
      </c>
    </row>
    <row r="75">
      <c r="B75" s="11">
        <f>IF($A75="","",IFERROR(IF(INDEX(Community_Register!$B$2:$B$402,MATCH($A75,Community_Register!$A$2:$A$402,0))="","",INDEX(Community_Register!$B$2:$B$402,MATCH($A75,Community_Register!$A$2:$A$402,0))),""))</f>
        <v/>
      </c>
      <c r="D75" s="11">
        <f>IF(OR($C75="",NOT(ISNUMBER($C75))),"",FLOOR($C75,10))</f>
        <v/>
      </c>
      <c r="I75" s="11">
        <f>IF(OR($G75="",$H75="",NOT(ISNUMBER($G75)),NOT(ISNUMBER($H75))),"",$H75-$G75)</f>
        <v/>
      </c>
    </row>
    <row r="76">
      <c r="B76" s="11">
        <f>IF($A76="","",IFERROR(IF(INDEX(Community_Register!$B$2:$B$402,MATCH($A76,Community_Register!$A$2:$A$402,0))="","",INDEX(Community_Register!$B$2:$B$402,MATCH($A76,Community_Register!$A$2:$A$402,0))),""))</f>
        <v/>
      </c>
      <c r="D76" s="11">
        <f>IF(OR($C76="",NOT(ISNUMBER($C76))),"",FLOOR($C76,10))</f>
        <v/>
      </c>
      <c r="I76" s="11">
        <f>IF(OR($G76="",$H76="",NOT(ISNUMBER($G76)),NOT(ISNUMBER($H76))),"",$H76-$G76)</f>
        <v/>
      </c>
    </row>
    <row r="77">
      <c r="B77" s="11">
        <f>IF($A77="","",IFERROR(IF(INDEX(Community_Register!$B$2:$B$402,MATCH($A77,Community_Register!$A$2:$A$402,0))="","",INDEX(Community_Register!$B$2:$B$402,MATCH($A77,Community_Register!$A$2:$A$402,0))),""))</f>
        <v/>
      </c>
      <c r="D77" s="11">
        <f>IF(OR($C77="",NOT(ISNUMBER($C77))),"",FLOOR($C77,10))</f>
        <v/>
      </c>
      <c r="I77" s="11">
        <f>IF(OR($G77="",$H77="",NOT(ISNUMBER($G77)),NOT(ISNUMBER($H77))),"",$H77-$G77)</f>
        <v/>
      </c>
    </row>
    <row r="78">
      <c r="B78" s="11">
        <f>IF($A78="","",IFERROR(IF(INDEX(Community_Register!$B$2:$B$402,MATCH($A78,Community_Register!$A$2:$A$402,0))="","",INDEX(Community_Register!$B$2:$B$402,MATCH($A78,Community_Register!$A$2:$A$402,0))),""))</f>
        <v/>
      </c>
      <c r="D78" s="11">
        <f>IF(OR($C78="",NOT(ISNUMBER($C78))),"",FLOOR($C78,10))</f>
        <v/>
      </c>
      <c r="I78" s="11">
        <f>IF(OR($G78="",$H78="",NOT(ISNUMBER($G78)),NOT(ISNUMBER($H78))),"",$H78-$G78)</f>
        <v/>
      </c>
    </row>
    <row r="79">
      <c r="B79" s="11">
        <f>IF($A79="","",IFERROR(IF(INDEX(Community_Register!$B$2:$B$402,MATCH($A79,Community_Register!$A$2:$A$402,0))="","",INDEX(Community_Register!$B$2:$B$402,MATCH($A79,Community_Register!$A$2:$A$402,0))),""))</f>
        <v/>
      </c>
      <c r="D79" s="11">
        <f>IF(OR($C79="",NOT(ISNUMBER($C79))),"",FLOOR($C79,10))</f>
        <v/>
      </c>
      <c r="I79" s="11">
        <f>IF(OR($G79="",$H79="",NOT(ISNUMBER($G79)),NOT(ISNUMBER($H79))),"",$H79-$G79)</f>
        <v/>
      </c>
    </row>
    <row r="80">
      <c r="B80" s="11">
        <f>IF($A80="","",IFERROR(IF(INDEX(Community_Register!$B$2:$B$402,MATCH($A80,Community_Register!$A$2:$A$402,0))="","",INDEX(Community_Register!$B$2:$B$402,MATCH($A80,Community_Register!$A$2:$A$402,0))),""))</f>
        <v/>
      </c>
      <c r="D80" s="11">
        <f>IF(OR($C80="",NOT(ISNUMBER($C80))),"",FLOOR($C80,10))</f>
        <v/>
      </c>
      <c r="I80" s="11">
        <f>IF(OR($G80="",$H80="",NOT(ISNUMBER($G80)),NOT(ISNUMBER($H80))),"",$H80-$G80)</f>
        <v/>
      </c>
    </row>
    <row r="81">
      <c r="B81" s="11">
        <f>IF($A81="","",IFERROR(IF(INDEX(Community_Register!$B$2:$B$402,MATCH($A81,Community_Register!$A$2:$A$402,0))="","",INDEX(Community_Register!$B$2:$B$402,MATCH($A81,Community_Register!$A$2:$A$402,0))),""))</f>
        <v/>
      </c>
      <c r="D81" s="11">
        <f>IF(OR($C81="",NOT(ISNUMBER($C81))),"",FLOOR($C81,10))</f>
        <v/>
      </c>
      <c r="I81" s="11">
        <f>IF(OR($G81="",$H81="",NOT(ISNUMBER($G81)),NOT(ISNUMBER($H81))),"",$H81-$G81)</f>
        <v/>
      </c>
    </row>
    <row r="82">
      <c r="B82" s="11">
        <f>IF($A82="","",IFERROR(IF(INDEX(Community_Register!$B$2:$B$402,MATCH($A82,Community_Register!$A$2:$A$402,0))="","",INDEX(Community_Register!$B$2:$B$402,MATCH($A82,Community_Register!$A$2:$A$402,0))),""))</f>
        <v/>
      </c>
      <c r="D82" s="11">
        <f>IF(OR($C82="",NOT(ISNUMBER($C82))),"",FLOOR($C82,10))</f>
        <v/>
      </c>
      <c r="I82" s="11">
        <f>IF(OR($G82="",$H82="",NOT(ISNUMBER($G82)),NOT(ISNUMBER($H82))),"",$H82-$G82)</f>
        <v/>
      </c>
    </row>
    <row r="83">
      <c r="B83" s="11">
        <f>IF($A83="","",IFERROR(IF(INDEX(Community_Register!$B$2:$B$402,MATCH($A83,Community_Register!$A$2:$A$402,0))="","",INDEX(Community_Register!$B$2:$B$402,MATCH($A83,Community_Register!$A$2:$A$402,0))),""))</f>
        <v/>
      </c>
      <c r="D83" s="11">
        <f>IF(OR($C83="",NOT(ISNUMBER($C83))),"",FLOOR($C83,10))</f>
        <v/>
      </c>
      <c r="I83" s="11">
        <f>IF(OR($G83="",$H83="",NOT(ISNUMBER($G83)),NOT(ISNUMBER($H83))),"",$H83-$G83)</f>
        <v/>
      </c>
    </row>
    <row r="84">
      <c r="B84" s="11">
        <f>IF($A84="","",IFERROR(IF(INDEX(Community_Register!$B$2:$B$402,MATCH($A84,Community_Register!$A$2:$A$402,0))="","",INDEX(Community_Register!$B$2:$B$402,MATCH($A84,Community_Register!$A$2:$A$402,0))),""))</f>
        <v/>
      </c>
      <c r="D84" s="11">
        <f>IF(OR($C84="",NOT(ISNUMBER($C84))),"",FLOOR($C84,10))</f>
        <v/>
      </c>
      <c r="I84" s="11">
        <f>IF(OR($G84="",$H84="",NOT(ISNUMBER($G84)),NOT(ISNUMBER($H84))),"",$H84-$G84)</f>
        <v/>
      </c>
    </row>
    <row r="85">
      <c r="B85" s="11">
        <f>IF($A85="","",IFERROR(IF(INDEX(Community_Register!$B$2:$B$402,MATCH($A85,Community_Register!$A$2:$A$402,0))="","",INDEX(Community_Register!$B$2:$B$402,MATCH($A85,Community_Register!$A$2:$A$402,0))),""))</f>
        <v/>
      </c>
      <c r="D85" s="11">
        <f>IF(OR($C85="",NOT(ISNUMBER($C85))),"",FLOOR($C85,10))</f>
        <v/>
      </c>
      <c r="I85" s="11">
        <f>IF(OR($G85="",$H85="",NOT(ISNUMBER($G85)),NOT(ISNUMBER($H85))),"",$H85-$G85)</f>
        <v/>
      </c>
    </row>
    <row r="86">
      <c r="B86" s="11">
        <f>IF($A86="","",IFERROR(IF(INDEX(Community_Register!$B$2:$B$402,MATCH($A86,Community_Register!$A$2:$A$402,0))="","",INDEX(Community_Register!$B$2:$B$402,MATCH($A86,Community_Register!$A$2:$A$402,0))),""))</f>
        <v/>
      </c>
      <c r="D86" s="11">
        <f>IF(OR($C86="",NOT(ISNUMBER($C86))),"",FLOOR($C86,10))</f>
        <v/>
      </c>
      <c r="I86" s="11">
        <f>IF(OR($G86="",$H86="",NOT(ISNUMBER($G86)),NOT(ISNUMBER($H86))),"",$H86-$G86)</f>
        <v/>
      </c>
    </row>
    <row r="87">
      <c r="B87" s="11">
        <f>IF($A87="","",IFERROR(IF(INDEX(Community_Register!$B$2:$B$402,MATCH($A87,Community_Register!$A$2:$A$402,0))="","",INDEX(Community_Register!$B$2:$B$402,MATCH($A87,Community_Register!$A$2:$A$402,0))),""))</f>
        <v/>
      </c>
      <c r="D87" s="11">
        <f>IF(OR($C87="",NOT(ISNUMBER($C87))),"",FLOOR($C87,10))</f>
        <v/>
      </c>
      <c r="I87" s="11">
        <f>IF(OR($G87="",$H87="",NOT(ISNUMBER($G87)),NOT(ISNUMBER($H87))),"",$H87-$G87)</f>
        <v/>
      </c>
    </row>
    <row r="88">
      <c r="B88" s="11">
        <f>IF($A88="","",IFERROR(IF(INDEX(Community_Register!$B$2:$B$402,MATCH($A88,Community_Register!$A$2:$A$402,0))="","",INDEX(Community_Register!$B$2:$B$402,MATCH($A88,Community_Register!$A$2:$A$402,0))),""))</f>
        <v/>
      </c>
      <c r="D88" s="11">
        <f>IF(OR($C88="",NOT(ISNUMBER($C88))),"",FLOOR($C88,10))</f>
        <v/>
      </c>
      <c r="I88" s="11">
        <f>IF(OR($G88="",$H88="",NOT(ISNUMBER($G88)),NOT(ISNUMBER($H88))),"",$H88-$G88)</f>
        <v/>
      </c>
    </row>
    <row r="89">
      <c r="B89" s="11">
        <f>IF($A89="","",IFERROR(IF(INDEX(Community_Register!$B$2:$B$402,MATCH($A89,Community_Register!$A$2:$A$402,0))="","",INDEX(Community_Register!$B$2:$B$402,MATCH($A89,Community_Register!$A$2:$A$402,0))),""))</f>
        <v/>
      </c>
      <c r="D89" s="11">
        <f>IF(OR($C89="",NOT(ISNUMBER($C89))),"",FLOOR($C89,10))</f>
        <v/>
      </c>
      <c r="I89" s="11">
        <f>IF(OR($G89="",$H89="",NOT(ISNUMBER($G89)),NOT(ISNUMBER($H89))),"",$H89-$G89)</f>
        <v/>
      </c>
    </row>
    <row r="90">
      <c r="B90" s="11">
        <f>IF($A90="","",IFERROR(IF(INDEX(Community_Register!$B$2:$B$402,MATCH($A90,Community_Register!$A$2:$A$402,0))="","",INDEX(Community_Register!$B$2:$B$402,MATCH($A90,Community_Register!$A$2:$A$402,0))),""))</f>
        <v/>
      </c>
      <c r="D90" s="11">
        <f>IF(OR($C90="",NOT(ISNUMBER($C90))),"",FLOOR($C90,10))</f>
        <v/>
      </c>
      <c r="I90" s="11">
        <f>IF(OR($G90="",$H90="",NOT(ISNUMBER($G90)),NOT(ISNUMBER($H90))),"",$H90-$G90)</f>
        <v/>
      </c>
    </row>
    <row r="91">
      <c r="B91" s="11">
        <f>IF($A91="","",IFERROR(IF(INDEX(Community_Register!$B$2:$B$402,MATCH($A91,Community_Register!$A$2:$A$402,0))="","",INDEX(Community_Register!$B$2:$B$402,MATCH($A91,Community_Register!$A$2:$A$402,0))),""))</f>
        <v/>
      </c>
      <c r="D91" s="11">
        <f>IF(OR($C91="",NOT(ISNUMBER($C91))),"",FLOOR($C91,10))</f>
        <v/>
      </c>
      <c r="I91" s="11">
        <f>IF(OR($G91="",$H91="",NOT(ISNUMBER($G91)),NOT(ISNUMBER($H91))),"",$H91-$G91)</f>
        <v/>
      </c>
    </row>
    <row r="92">
      <c r="B92" s="11">
        <f>IF($A92="","",IFERROR(IF(INDEX(Community_Register!$B$2:$B$402,MATCH($A92,Community_Register!$A$2:$A$402,0))="","",INDEX(Community_Register!$B$2:$B$402,MATCH($A92,Community_Register!$A$2:$A$402,0))),""))</f>
        <v/>
      </c>
      <c r="D92" s="11">
        <f>IF(OR($C92="",NOT(ISNUMBER($C92))),"",FLOOR($C92,10))</f>
        <v/>
      </c>
      <c r="I92" s="11">
        <f>IF(OR($G92="",$H92="",NOT(ISNUMBER($G92)),NOT(ISNUMBER($H92))),"",$H92-$G92)</f>
        <v/>
      </c>
    </row>
    <row r="93">
      <c r="B93" s="11">
        <f>IF($A93="","",IFERROR(IF(INDEX(Community_Register!$B$2:$B$402,MATCH($A93,Community_Register!$A$2:$A$402,0))="","",INDEX(Community_Register!$B$2:$B$402,MATCH($A93,Community_Register!$A$2:$A$402,0))),""))</f>
        <v/>
      </c>
      <c r="D93" s="11">
        <f>IF(OR($C93="",NOT(ISNUMBER($C93))),"",FLOOR($C93,10))</f>
        <v/>
      </c>
      <c r="I93" s="11">
        <f>IF(OR($G93="",$H93="",NOT(ISNUMBER($G93)),NOT(ISNUMBER($H93))),"",$H93-$G93)</f>
        <v/>
      </c>
    </row>
    <row r="94">
      <c r="B94" s="11">
        <f>IF($A94="","",IFERROR(IF(INDEX(Community_Register!$B$2:$B$402,MATCH($A94,Community_Register!$A$2:$A$402,0))="","",INDEX(Community_Register!$B$2:$B$402,MATCH($A94,Community_Register!$A$2:$A$402,0))),""))</f>
        <v/>
      </c>
      <c r="D94" s="11">
        <f>IF(OR($C94="",NOT(ISNUMBER($C94))),"",FLOOR($C94,10))</f>
        <v/>
      </c>
      <c r="I94" s="11">
        <f>IF(OR($G94="",$H94="",NOT(ISNUMBER($G94)),NOT(ISNUMBER($H94))),"",$H94-$G94)</f>
        <v/>
      </c>
    </row>
    <row r="95">
      <c r="B95" s="11">
        <f>IF($A95="","",IFERROR(IF(INDEX(Community_Register!$B$2:$B$402,MATCH($A95,Community_Register!$A$2:$A$402,0))="","",INDEX(Community_Register!$B$2:$B$402,MATCH($A95,Community_Register!$A$2:$A$402,0))),""))</f>
        <v/>
      </c>
      <c r="D95" s="11">
        <f>IF(OR($C95="",NOT(ISNUMBER($C95))),"",FLOOR($C95,10))</f>
        <v/>
      </c>
      <c r="I95" s="11">
        <f>IF(OR($G95="",$H95="",NOT(ISNUMBER($G95)),NOT(ISNUMBER($H95))),"",$H95-$G95)</f>
        <v/>
      </c>
    </row>
    <row r="96">
      <c r="B96" s="11">
        <f>IF($A96="","",IFERROR(IF(INDEX(Community_Register!$B$2:$B$402,MATCH($A96,Community_Register!$A$2:$A$402,0))="","",INDEX(Community_Register!$B$2:$B$402,MATCH($A96,Community_Register!$A$2:$A$402,0))),""))</f>
        <v/>
      </c>
      <c r="D96" s="11">
        <f>IF(OR($C96="",NOT(ISNUMBER($C96))),"",FLOOR($C96,10))</f>
        <v/>
      </c>
      <c r="I96" s="11">
        <f>IF(OR($G96="",$H96="",NOT(ISNUMBER($G96)),NOT(ISNUMBER($H96))),"",$H96-$G96)</f>
        <v/>
      </c>
    </row>
    <row r="97">
      <c r="B97" s="11">
        <f>IF($A97="","",IFERROR(IF(INDEX(Community_Register!$B$2:$B$402,MATCH($A97,Community_Register!$A$2:$A$402,0))="","",INDEX(Community_Register!$B$2:$B$402,MATCH($A97,Community_Register!$A$2:$A$402,0))),""))</f>
        <v/>
      </c>
      <c r="D97" s="11">
        <f>IF(OR($C97="",NOT(ISNUMBER($C97))),"",FLOOR($C97,10))</f>
        <v/>
      </c>
      <c r="I97" s="11">
        <f>IF(OR($G97="",$H97="",NOT(ISNUMBER($G97)),NOT(ISNUMBER($H97))),"",$H97-$G97)</f>
        <v/>
      </c>
    </row>
    <row r="98">
      <c r="B98" s="11">
        <f>IF($A98="","",IFERROR(IF(INDEX(Community_Register!$B$2:$B$402,MATCH($A98,Community_Register!$A$2:$A$402,0))="","",INDEX(Community_Register!$B$2:$B$402,MATCH($A98,Community_Register!$A$2:$A$402,0))),""))</f>
        <v/>
      </c>
      <c r="D98" s="11">
        <f>IF(OR($C98="",NOT(ISNUMBER($C98))),"",FLOOR($C98,10))</f>
        <v/>
      </c>
      <c r="I98" s="11">
        <f>IF(OR($G98="",$H98="",NOT(ISNUMBER($G98)),NOT(ISNUMBER($H98))),"",$H98-$G98)</f>
        <v/>
      </c>
    </row>
    <row r="99">
      <c r="B99" s="11">
        <f>IF($A99="","",IFERROR(IF(INDEX(Community_Register!$B$2:$B$402,MATCH($A99,Community_Register!$A$2:$A$402,0))="","",INDEX(Community_Register!$B$2:$B$402,MATCH($A99,Community_Register!$A$2:$A$402,0))),""))</f>
        <v/>
      </c>
      <c r="D99" s="11">
        <f>IF(OR($C99="",NOT(ISNUMBER($C99))),"",FLOOR($C99,10))</f>
        <v/>
      </c>
      <c r="I99" s="11">
        <f>IF(OR($G99="",$H99="",NOT(ISNUMBER($G99)),NOT(ISNUMBER($H99))),"",$H99-$G99)</f>
        <v/>
      </c>
    </row>
    <row r="100">
      <c r="B100" s="11">
        <f>IF($A100="","",IFERROR(IF(INDEX(Community_Register!$B$2:$B$402,MATCH($A100,Community_Register!$A$2:$A$402,0))="","",INDEX(Community_Register!$B$2:$B$402,MATCH($A100,Community_Register!$A$2:$A$402,0))),""))</f>
        <v/>
      </c>
      <c r="D100" s="11">
        <f>IF(OR($C100="",NOT(ISNUMBER($C100))),"",FLOOR($C100,10))</f>
        <v/>
      </c>
      <c r="I100" s="11">
        <f>IF(OR($G100="",$H100="",NOT(ISNUMBER($G100)),NOT(ISNUMBER($H100))),"",$H100-$G100)</f>
        <v/>
      </c>
    </row>
    <row r="101">
      <c r="B101" s="11">
        <f>IF($A101="","",IFERROR(IF(INDEX(Community_Register!$B$2:$B$402,MATCH($A101,Community_Register!$A$2:$A$402,0))="","",INDEX(Community_Register!$B$2:$B$402,MATCH($A101,Community_Register!$A$2:$A$402,0))),""))</f>
        <v/>
      </c>
      <c r="D101" s="11">
        <f>IF(OR($C101="",NOT(ISNUMBER($C101))),"",FLOOR($C101,10))</f>
        <v/>
      </c>
      <c r="I101" s="11">
        <f>IF(OR($G101="",$H101="",NOT(ISNUMBER($G101)),NOT(ISNUMBER($H101))),"",$H101-$G101)</f>
        <v/>
      </c>
    </row>
    <row r="102">
      <c r="B102" s="11">
        <f>IF($A102="","",IFERROR(IF(INDEX(Community_Register!$B$2:$B$402,MATCH($A102,Community_Register!$A$2:$A$402,0))="","",INDEX(Community_Register!$B$2:$B$402,MATCH($A102,Community_Register!$A$2:$A$402,0))),""))</f>
        <v/>
      </c>
      <c r="D102" s="11">
        <f>IF(OR($C102="",NOT(ISNUMBER($C102))),"",FLOOR($C102,10))</f>
        <v/>
      </c>
      <c r="I102" s="11">
        <f>IF(OR($G102="",$H102="",NOT(ISNUMBER($G102)),NOT(ISNUMBER($H102))),"",$H102-$G102)</f>
        <v/>
      </c>
    </row>
    <row r="103">
      <c r="B103" s="11">
        <f>IF($A103="","",IFERROR(IF(INDEX(Community_Register!$B$2:$B$402,MATCH($A103,Community_Register!$A$2:$A$402,0))="","",INDEX(Community_Register!$B$2:$B$402,MATCH($A103,Community_Register!$A$2:$A$402,0))),""))</f>
        <v/>
      </c>
      <c r="D103" s="11">
        <f>IF(OR($C103="",NOT(ISNUMBER($C103))),"",FLOOR($C103,10))</f>
        <v/>
      </c>
      <c r="I103" s="11">
        <f>IF(OR($G103="",$H103="",NOT(ISNUMBER($G103)),NOT(ISNUMBER($H103))),"",$H103-$G103)</f>
        <v/>
      </c>
    </row>
    <row r="104">
      <c r="B104" s="11">
        <f>IF($A104="","",IFERROR(IF(INDEX(Community_Register!$B$2:$B$402,MATCH($A104,Community_Register!$A$2:$A$402,0))="","",INDEX(Community_Register!$B$2:$B$402,MATCH($A104,Community_Register!$A$2:$A$402,0))),""))</f>
        <v/>
      </c>
      <c r="D104" s="11">
        <f>IF(OR($C104="",NOT(ISNUMBER($C104))),"",FLOOR($C104,10))</f>
        <v/>
      </c>
      <c r="I104" s="11">
        <f>IF(OR($G104="",$H104="",NOT(ISNUMBER($G104)),NOT(ISNUMBER($H104))),"",$H104-$G104)</f>
        <v/>
      </c>
    </row>
    <row r="105">
      <c r="B105" s="11">
        <f>IF($A105="","",IFERROR(IF(INDEX(Community_Register!$B$2:$B$402,MATCH($A105,Community_Register!$A$2:$A$402,0))="","",INDEX(Community_Register!$B$2:$B$402,MATCH($A105,Community_Register!$A$2:$A$402,0))),""))</f>
        <v/>
      </c>
      <c r="D105" s="11">
        <f>IF(OR($C105="",NOT(ISNUMBER($C105))),"",FLOOR($C105,10))</f>
        <v/>
      </c>
      <c r="I105" s="11">
        <f>IF(OR($G105="",$H105="",NOT(ISNUMBER($G105)),NOT(ISNUMBER($H105))),"",$H105-$G105)</f>
        <v/>
      </c>
    </row>
    <row r="106">
      <c r="B106" s="11">
        <f>IF($A106="","",IFERROR(IF(INDEX(Community_Register!$B$2:$B$402,MATCH($A106,Community_Register!$A$2:$A$402,0))="","",INDEX(Community_Register!$B$2:$B$402,MATCH($A106,Community_Register!$A$2:$A$402,0))),""))</f>
        <v/>
      </c>
      <c r="D106" s="11">
        <f>IF(OR($C106="",NOT(ISNUMBER($C106))),"",FLOOR($C106,10))</f>
        <v/>
      </c>
      <c r="I106" s="11">
        <f>IF(OR($G106="",$H106="",NOT(ISNUMBER($G106)),NOT(ISNUMBER($H106))),"",$H106-$G106)</f>
        <v/>
      </c>
    </row>
    <row r="107">
      <c r="B107" s="11">
        <f>IF($A107="","",IFERROR(IF(INDEX(Community_Register!$B$2:$B$402,MATCH($A107,Community_Register!$A$2:$A$402,0))="","",INDEX(Community_Register!$B$2:$B$402,MATCH($A107,Community_Register!$A$2:$A$402,0))),""))</f>
        <v/>
      </c>
      <c r="D107" s="11">
        <f>IF(OR($C107="",NOT(ISNUMBER($C107))),"",FLOOR($C107,10))</f>
        <v/>
      </c>
      <c r="I107" s="11">
        <f>IF(OR($G107="",$H107="",NOT(ISNUMBER($G107)),NOT(ISNUMBER($H107))),"",$H107-$G107)</f>
        <v/>
      </c>
    </row>
    <row r="108">
      <c r="B108" s="11">
        <f>IF($A108="","",IFERROR(IF(INDEX(Community_Register!$B$2:$B$402,MATCH($A108,Community_Register!$A$2:$A$402,0))="","",INDEX(Community_Register!$B$2:$B$402,MATCH($A108,Community_Register!$A$2:$A$402,0))),""))</f>
        <v/>
      </c>
      <c r="D108" s="11">
        <f>IF(OR($C108="",NOT(ISNUMBER($C108))),"",FLOOR($C108,10))</f>
        <v/>
      </c>
      <c r="I108" s="11">
        <f>IF(OR($G108="",$H108="",NOT(ISNUMBER($G108)),NOT(ISNUMBER($H108))),"",$H108-$G108)</f>
        <v/>
      </c>
    </row>
    <row r="109">
      <c r="B109" s="11">
        <f>IF($A109="","",IFERROR(IF(INDEX(Community_Register!$B$2:$B$402,MATCH($A109,Community_Register!$A$2:$A$402,0))="","",INDEX(Community_Register!$B$2:$B$402,MATCH($A109,Community_Register!$A$2:$A$402,0))),""))</f>
        <v/>
      </c>
      <c r="D109" s="11">
        <f>IF(OR($C109="",NOT(ISNUMBER($C109))),"",FLOOR($C109,10))</f>
        <v/>
      </c>
      <c r="I109" s="11">
        <f>IF(OR($G109="",$H109="",NOT(ISNUMBER($G109)),NOT(ISNUMBER($H109))),"",$H109-$G109)</f>
        <v/>
      </c>
    </row>
    <row r="110">
      <c r="B110" s="11">
        <f>IF($A110="","",IFERROR(IF(INDEX(Community_Register!$B$2:$B$402,MATCH($A110,Community_Register!$A$2:$A$402,0))="","",INDEX(Community_Register!$B$2:$B$402,MATCH($A110,Community_Register!$A$2:$A$402,0))),""))</f>
        <v/>
      </c>
      <c r="D110" s="11">
        <f>IF(OR($C110="",NOT(ISNUMBER($C110))),"",FLOOR($C110,10))</f>
        <v/>
      </c>
      <c r="I110" s="11">
        <f>IF(OR($G110="",$H110="",NOT(ISNUMBER($G110)),NOT(ISNUMBER($H110))),"",$H110-$G110)</f>
        <v/>
      </c>
    </row>
    <row r="111">
      <c r="B111" s="11">
        <f>IF($A111="","",IFERROR(IF(INDEX(Community_Register!$B$2:$B$402,MATCH($A111,Community_Register!$A$2:$A$402,0))="","",INDEX(Community_Register!$B$2:$B$402,MATCH($A111,Community_Register!$A$2:$A$402,0))),""))</f>
        <v/>
      </c>
      <c r="D111" s="11">
        <f>IF(OR($C111="",NOT(ISNUMBER($C111))),"",FLOOR($C111,10))</f>
        <v/>
      </c>
      <c r="I111" s="11">
        <f>IF(OR($G111="",$H111="",NOT(ISNUMBER($G111)),NOT(ISNUMBER($H111))),"",$H111-$G111)</f>
        <v/>
      </c>
    </row>
    <row r="112">
      <c r="B112" s="11">
        <f>IF($A112="","",IFERROR(IF(INDEX(Community_Register!$B$2:$B$402,MATCH($A112,Community_Register!$A$2:$A$402,0))="","",INDEX(Community_Register!$B$2:$B$402,MATCH($A112,Community_Register!$A$2:$A$402,0))),""))</f>
        <v/>
      </c>
      <c r="D112" s="11">
        <f>IF(OR($C112="",NOT(ISNUMBER($C112))),"",FLOOR($C112,10))</f>
        <v/>
      </c>
      <c r="I112" s="11">
        <f>IF(OR($G112="",$H112="",NOT(ISNUMBER($G112)),NOT(ISNUMBER($H112))),"",$H112-$G112)</f>
        <v/>
      </c>
    </row>
    <row r="113">
      <c r="B113" s="11">
        <f>IF($A113="","",IFERROR(IF(INDEX(Community_Register!$B$2:$B$402,MATCH($A113,Community_Register!$A$2:$A$402,0))="","",INDEX(Community_Register!$B$2:$B$402,MATCH($A113,Community_Register!$A$2:$A$402,0))),""))</f>
        <v/>
      </c>
      <c r="D113" s="11">
        <f>IF(OR($C113="",NOT(ISNUMBER($C113))),"",FLOOR($C113,10))</f>
        <v/>
      </c>
      <c r="I113" s="11">
        <f>IF(OR($G113="",$H113="",NOT(ISNUMBER($G113)),NOT(ISNUMBER($H113))),"",$H113-$G113)</f>
        <v/>
      </c>
    </row>
    <row r="114">
      <c r="B114" s="11">
        <f>IF($A114="","",IFERROR(IF(INDEX(Community_Register!$B$2:$B$402,MATCH($A114,Community_Register!$A$2:$A$402,0))="","",INDEX(Community_Register!$B$2:$B$402,MATCH($A114,Community_Register!$A$2:$A$402,0))),""))</f>
        <v/>
      </c>
      <c r="D114" s="11">
        <f>IF(OR($C114="",NOT(ISNUMBER($C114))),"",FLOOR($C114,10))</f>
        <v/>
      </c>
      <c r="I114" s="11">
        <f>IF(OR($G114="",$H114="",NOT(ISNUMBER($G114)),NOT(ISNUMBER($H114))),"",$H114-$G114)</f>
        <v/>
      </c>
    </row>
    <row r="115">
      <c r="B115" s="11">
        <f>IF($A115="","",IFERROR(IF(INDEX(Community_Register!$B$2:$B$402,MATCH($A115,Community_Register!$A$2:$A$402,0))="","",INDEX(Community_Register!$B$2:$B$402,MATCH($A115,Community_Register!$A$2:$A$402,0))),""))</f>
        <v/>
      </c>
      <c r="D115" s="11">
        <f>IF(OR($C115="",NOT(ISNUMBER($C115))),"",FLOOR($C115,10))</f>
        <v/>
      </c>
      <c r="I115" s="11">
        <f>IF(OR($G115="",$H115="",NOT(ISNUMBER($G115)),NOT(ISNUMBER($H115))),"",$H115-$G115)</f>
        <v/>
      </c>
    </row>
    <row r="116">
      <c r="B116" s="11">
        <f>IF($A116="","",IFERROR(IF(INDEX(Community_Register!$B$2:$B$402,MATCH($A116,Community_Register!$A$2:$A$402,0))="","",INDEX(Community_Register!$B$2:$B$402,MATCH($A116,Community_Register!$A$2:$A$402,0))),""))</f>
        <v/>
      </c>
      <c r="D116" s="11">
        <f>IF(OR($C116="",NOT(ISNUMBER($C116))),"",FLOOR($C116,10))</f>
        <v/>
      </c>
      <c r="I116" s="11">
        <f>IF(OR($G116="",$H116="",NOT(ISNUMBER($G116)),NOT(ISNUMBER($H116))),"",$H116-$G116)</f>
        <v/>
      </c>
    </row>
    <row r="117">
      <c r="B117" s="11">
        <f>IF($A117="","",IFERROR(IF(INDEX(Community_Register!$B$2:$B$402,MATCH($A117,Community_Register!$A$2:$A$402,0))="","",INDEX(Community_Register!$B$2:$B$402,MATCH($A117,Community_Register!$A$2:$A$402,0))),""))</f>
        <v/>
      </c>
      <c r="D117" s="11">
        <f>IF(OR($C117="",NOT(ISNUMBER($C117))),"",FLOOR($C117,10))</f>
        <v/>
      </c>
      <c r="I117" s="11">
        <f>IF(OR($G117="",$H117="",NOT(ISNUMBER($G117)),NOT(ISNUMBER($H117))),"",$H117-$G117)</f>
        <v/>
      </c>
    </row>
    <row r="118">
      <c r="B118" s="11">
        <f>IF($A118="","",IFERROR(IF(INDEX(Community_Register!$B$2:$B$402,MATCH($A118,Community_Register!$A$2:$A$402,0))="","",INDEX(Community_Register!$B$2:$B$402,MATCH($A118,Community_Register!$A$2:$A$402,0))),""))</f>
        <v/>
      </c>
      <c r="D118" s="11">
        <f>IF(OR($C118="",NOT(ISNUMBER($C118))),"",FLOOR($C118,10))</f>
        <v/>
      </c>
      <c r="I118" s="11">
        <f>IF(OR($G118="",$H118="",NOT(ISNUMBER($G118)),NOT(ISNUMBER($H118))),"",$H118-$G118)</f>
        <v/>
      </c>
    </row>
    <row r="119">
      <c r="B119" s="11">
        <f>IF($A119="","",IFERROR(IF(INDEX(Community_Register!$B$2:$B$402,MATCH($A119,Community_Register!$A$2:$A$402,0))="","",INDEX(Community_Register!$B$2:$B$402,MATCH($A119,Community_Register!$A$2:$A$402,0))),""))</f>
        <v/>
      </c>
      <c r="D119" s="11">
        <f>IF(OR($C119="",NOT(ISNUMBER($C119))),"",FLOOR($C119,10))</f>
        <v/>
      </c>
      <c r="I119" s="11">
        <f>IF(OR($G119="",$H119="",NOT(ISNUMBER($G119)),NOT(ISNUMBER($H119))),"",$H119-$G119)</f>
        <v/>
      </c>
    </row>
    <row r="120">
      <c r="B120" s="11">
        <f>IF($A120="","",IFERROR(IF(INDEX(Community_Register!$B$2:$B$402,MATCH($A120,Community_Register!$A$2:$A$402,0))="","",INDEX(Community_Register!$B$2:$B$402,MATCH($A120,Community_Register!$A$2:$A$402,0))),""))</f>
        <v/>
      </c>
      <c r="D120" s="11">
        <f>IF(OR($C120="",NOT(ISNUMBER($C120))),"",FLOOR($C120,10))</f>
        <v/>
      </c>
      <c r="I120" s="11">
        <f>IF(OR($G120="",$H120="",NOT(ISNUMBER($G120)),NOT(ISNUMBER($H120))),"",$H120-$G120)</f>
        <v/>
      </c>
    </row>
    <row r="121">
      <c r="B121" s="11">
        <f>IF($A121="","",IFERROR(IF(INDEX(Community_Register!$B$2:$B$402,MATCH($A121,Community_Register!$A$2:$A$402,0))="","",INDEX(Community_Register!$B$2:$B$402,MATCH($A121,Community_Register!$A$2:$A$402,0))),""))</f>
        <v/>
      </c>
      <c r="D121" s="11">
        <f>IF(OR($C121="",NOT(ISNUMBER($C121))),"",FLOOR($C121,10))</f>
        <v/>
      </c>
      <c r="I121" s="11">
        <f>IF(OR($G121="",$H121="",NOT(ISNUMBER($G121)),NOT(ISNUMBER($H121))),"",$H121-$G121)</f>
        <v/>
      </c>
    </row>
    <row r="122">
      <c r="B122" s="11">
        <f>IF($A122="","",IFERROR(IF(INDEX(Community_Register!$B$2:$B$402,MATCH($A122,Community_Register!$A$2:$A$402,0))="","",INDEX(Community_Register!$B$2:$B$402,MATCH($A122,Community_Register!$A$2:$A$402,0))),""))</f>
        <v/>
      </c>
      <c r="D122" s="11">
        <f>IF(OR($C122="",NOT(ISNUMBER($C122))),"",FLOOR($C122,10))</f>
        <v/>
      </c>
      <c r="I122" s="11">
        <f>IF(OR($G122="",$H122="",NOT(ISNUMBER($G122)),NOT(ISNUMBER($H122))),"",$H122-$G122)</f>
        <v/>
      </c>
    </row>
    <row r="123">
      <c r="B123" s="11">
        <f>IF($A123="","",IFERROR(IF(INDEX(Community_Register!$B$2:$B$402,MATCH($A123,Community_Register!$A$2:$A$402,0))="","",INDEX(Community_Register!$B$2:$B$402,MATCH($A123,Community_Register!$A$2:$A$402,0))),""))</f>
        <v/>
      </c>
      <c r="D123" s="11">
        <f>IF(OR($C123="",NOT(ISNUMBER($C123))),"",FLOOR($C123,10))</f>
        <v/>
      </c>
      <c r="I123" s="11">
        <f>IF(OR($G123="",$H123="",NOT(ISNUMBER($G123)),NOT(ISNUMBER($H123))),"",$H123-$G123)</f>
        <v/>
      </c>
    </row>
    <row r="124">
      <c r="B124" s="11">
        <f>IF($A124="","",IFERROR(IF(INDEX(Community_Register!$B$2:$B$402,MATCH($A124,Community_Register!$A$2:$A$402,0))="","",INDEX(Community_Register!$B$2:$B$402,MATCH($A124,Community_Register!$A$2:$A$402,0))),""))</f>
        <v/>
      </c>
      <c r="D124" s="11">
        <f>IF(OR($C124="",NOT(ISNUMBER($C124))),"",FLOOR($C124,10))</f>
        <v/>
      </c>
      <c r="I124" s="11">
        <f>IF(OR($G124="",$H124="",NOT(ISNUMBER($G124)),NOT(ISNUMBER($H124))),"",$H124-$G124)</f>
        <v/>
      </c>
    </row>
    <row r="125">
      <c r="B125" s="11">
        <f>IF($A125="","",IFERROR(IF(INDEX(Community_Register!$B$2:$B$402,MATCH($A125,Community_Register!$A$2:$A$402,0))="","",INDEX(Community_Register!$B$2:$B$402,MATCH($A125,Community_Register!$A$2:$A$402,0))),""))</f>
        <v/>
      </c>
      <c r="D125" s="11">
        <f>IF(OR($C125="",NOT(ISNUMBER($C125))),"",FLOOR($C125,10))</f>
        <v/>
      </c>
      <c r="I125" s="11">
        <f>IF(OR($G125="",$H125="",NOT(ISNUMBER($G125)),NOT(ISNUMBER($H125))),"",$H125-$G125)</f>
        <v/>
      </c>
    </row>
    <row r="126">
      <c r="B126" s="11">
        <f>IF($A126="","",IFERROR(IF(INDEX(Community_Register!$B$2:$B$402,MATCH($A126,Community_Register!$A$2:$A$402,0))="","",INDEX(Community_Register!$B$2:$B$402,MATCH($A126,Community_Register!$A$2:$A$402,0))),""))</f>
        <v/>
      </c>
      <c r="D126" s="11">
        <f>IF(OR($C126="",NOT(ISNUMBER($C126))),"",FLOOR($C126,10))</f>
        <v/>
      </c>
      <c r="I126" s="11">
        <f>IF(OR($G126="",$H126="",NOT(ISNUMBER($G126)),NOT(ISNUMBER($H126))),"",$H126-$G126)</f>
        <v/>
      </c>
    </row>
    <row r="127">
      <c r="B127" s="11">
        <f>IF($A127="","",IFERROR(IF(INDEX(Community_Register!$B$2:$B$402,MATCH($A127,Community_Register!$A$2:$A$402,0))="","",INDEX(Community_Register!$B$2:$B$402,MATCH($A127,Community_Register!$A$2:$A$402,0))),""))</f>
        <v/>
      </c>
      <c r="D127" s="11">
        <f>IF(OR($C127="",NOT(ISNUMBER($C127))),"",FLOOR($C127,10))</f>
        <v/>
      </c>
      <c r="I127" s="11">
        <f>IF(OR($G127="",$H127="",NOT(ISNUMBER($G127)),NOT(ISNUMBER($H127))),"",$H127-$G127)</f>
        <v/>
      </c>
    </row>
    <row r="128">
      <c r="B128" s="11">
        <f>IF($A128="","",IFERROR(IF(INDEX(Community_Register!$B$2:$B$402,MATCH($A128,Community_Register!$A$2:$A$402,0))="","",INDEX(Community_Register!$B$2:$B$402,MATCH($A128,Community_Register!$A$2:$A$402,0))),""))</f>
        <v/>
      </c>
      <c r="D128" s="11">
        <f>IF(OR($C128="",NOT(ISNUMBER($C128))),"",FLOOR($C128,10))</f>
        <v/>
      </c>
      <c r="I128" s="11">
        <f>IF(OR($G128="",$H128="",NOT(ISNUMBER($G128)),NOT(ISNUMBER($H128))),"",$H128-$G128)</f>
        <v/>
      </c>
    </row>
    <row r="129">
      <c r="B129" s="11">
        <f>IF($A129="","",IFERROR(IF(INDEX(Community_Register!$B$2:$B$402,MATCH($A129,Community_Register!$A$2:$A$402,0))="","",INDEX(Community_Register!$B$2:$B$402,MATCH($A129,Community_Register!$A$2:$A$402,0))),""))</f>
        <v/>
      </c>
      <c r="D129" s="11">
        <f>IF(OR($C129="",NOT(ISNUMBER($C129))),"",FLOOR($C129,10))</f>
        <v/>
      </c>
      <c r="I129" s="11">
        <f>IF(OR($G129="",$H129="",NOT(ISNUMBER($G129)),NOT(ISNUMBER($H129))),"",$H129-$G129)</f>
        <v/>
      </c>
    </row>
    <row r="130">
      <c r="B130" s="11">
        <f>IF($A130="","",IFERROR(IF(INDEX(Community_Register!$B$2:$B$402,MATCH($A130,Community_Register!$A$2:$A$402,0))="","",INDEX(Community_Register!$B$2:$B$402,MATCH($A130,Community_Register!$A$2:$A$402,0))),""))</f>
        <v/>
      </c>
      <c r="D130" s="11">
        <f>IF(OR($C130="",NOT(ISNUMBER($C130))),"",FLOOR($C130,10))</f>
        <v/>
      </c>
      <c r="I130" s="11">
        <f>IF(OR($G130="",$H130="",NOT(ISNUMBER($G130)),NOT(ISNUMBER($H130))),"",$H130-$G130)</f>
        <v/>
      </c>
    </row>
    <row r="131">
      <c r="B131" s="11">
        <f>IF($A131="","",IFERROR(IF(INDEX(Community_Register!$B$2:$B$402,MATCH($A131,Community_Register!$A$2:$A$402,0))="","",INDEX(Community_Register!$B$2:$B$402,MATCH($A131,Community_Register!$A$2:$A$402,0))),""))</f>
        <v/>
      </c>
      <c r="D131" s="11">
        <f>IF(OR($C131="",NOT(ISNUMBER($C131))),"",FLOOR($C131,10))</f>
        <v/>
      </c>
      <c r="I131" s="11">
        <f>IF(OR($G131="",$H131="",NOT(ISNUMBER($G131)),NOT(ISNUMBER($H131))),"",$H131-$G131)</f>
        <v/>
      </c>
    </row>
    <row r="132">
      <c r="B132" s="11">
        <f>IF($A132="","",IFERROR(IF(INDEX(Community_Register!$B$2:$B$402,MATCH($A132,Community_Register!$A$2:$A$402,0))="","",INDEX(Community_Register!$B$2:$B$402,MATCH($A132,Community_Register!$A$2:$A$402,0))),""))</f>
        <v/>
      </c>
      <c r="D132" s="11">
        <f>IF(OR($C132="",NOT(ISNUMBER($C132))),"",FLOOR($C132,10))</f>
        <v/>
      </c>
      <c r="I132" s="11">
        <f>IF(OR($G132="",$H132="",NOT(ISNUMBER($G132)),NOT(ISNUMBER($H132))),"",$H132-$G132)</f>
        <v/>
      </c>
    </row>
    <row r="133">
      <c r="B133" s="11">
        <f>IF($A133="","",IFERROR(IF(INDEX(Community_Register!$B$2:$B$402,MATCH($A133,Community_Register!$A$2:$A$402,0))="","",INDEX(Community_Register!$B$2:$B$402,MATCH($A133,Community_Register!$A$2:$A$402,0))),""))</f>
        <v/>
      </c>
      <c r="D133" s="11">
        <f>IF(OR($C133="",NOT(ISNUMBER($C133))),"",FLOOR($C133,10))</f>
        <v/>
      </c>
      <c r="I133" s="11">
        <f>IF(OR($G133="",$H133="",NOT(ISNUMBER($G133)),NOT(ISNUMBER($H133))),"",$H133-$G133)</f>
        <v/>
      </c>
    </row>
    <row r="134">
      <c r="B134" s="11">
        <f>IF($A134="","",IFERROR(IF(INDEX(Community_Register!$B$2:$B$402,MATCH($A134,Community_Register!$A$2:$A$402,0))="","",INDEX(Community_Register!$B$2:$B$402,MATCH($A134,Community_Register!$A$2:$A$402,0))),""))</f>
        <v/>
      </c>
      <c r="D134" s="11">
        <f>IF(OR($C134="",NOT(ISNUMBER($C134))),"",FLOOR($C134,10))</f>
        <v/>
      </c>
      <c r="I134" s="11">
        <f>IF(OR($G134="",$H134="",NOT(ISNUMBER($G134)),NOT(ISNUMBER($H134))),"",$H134-$G134)</f>
        <v/>
      </c>
    </row>
    <row r="135">
      <c r="B135" s="11">
        <f>IF($A135="","",IFERROR(IF(INDEX(Community_Register!$B$2:$B$402,MATCH($A135,Community_Register!$A$2:$A$402,0))="","",INDEX(Community_Register!$B$2:$B$402,MATCH($A135,Community_Register!$A$2:$A$402,0))),""))</f>
        <v/>
      </c>
      <c r="D135" s="11">
        <f>IF(OR($C135="",NOT(ISNUMBER($C135))),"",FLOOR($C135,10))</f>
        <v/>
      </c>
      <c r="I135" s="11">
        <f>IF(OR($G135="",$H135="",NOT(ISNUMBER($G135)),NOT(ISNUMBER($H135))),"",$H135-$G135)</f>
        <v/>
      </c>
    </row>
    <row r="136">
      <c r="B136" s="11">
        <f>IF($A136="","",IFERROR(IF(INDEX(Community_Register!$B$2:$B$402,MATCH($A136,Community_Register!$A$2:$A$402,0))="","",INDEX(Community_Register!$B$2:$B$402,MATCH($A136,Community_Register!$A$2:$A$402,0))),""))</f>
        <v/>
      </c>
      <c r="D136" s="11">
        <f>IF(OR($C136="",NOT(ISNUMBER($C136))),"",FLOOR($C136,10))</f>
        <v/>
      </c>
      <c r="I136" s="11">
        <f>IF(OR($G136="",$H136="",NOT(ISNUMBER($G136)),NOT(ISNUMBER($H136))),"",$H136-$G136)</f>
        <v/>
      </c>
    </row>
    <row r="137">
      <c r="B137" s="11">
        <f>IF($A137="","",IFERROR(IF(INDEX(Community_Register!$B$2:$B$402,MATCH($A137,Community_Register!$A$2:$A$402,0))="","",INDEX(Community_Register!$B$2:$B$402,MATCH($A137,Community_Register!$A$2:$A$402,0))),""))</f>
        <v/>
      </c>
      <c r="D137" s="11">
        <f>IF(OR($C137="",NOT(ISNUMBER($C137))),"",FLOOR($C137,10))</f>
        <v/>
      </c>
      <c r="I137" s="11">
        <f>IF(OR($G137="",$H137="",NOT(ISNUMBER($G137)),NOT(ISNUMBER($H137))),"",$H137-$G137)</f>
        <v/>
      </c>
    </row>
    <row r="138">
      <c r="B138" s="11">
        <f>IF($A138="","",IFERROR(IF(INDEX(Community_Register!$B$2:$B$402,MATCH($A138,Community_Register!$A$2:$A$402,0))="","",INDEX(Community_Register!$B$2:$B$402,MATCH($A138,Community_Register!$A$2:$A$402,0))),""))</f>
        <v/>
      </c>
      <c r="D138" s="11">
        <f>IF(OR($C138="",NOT(ISNUMBER($C138))),"",FLOOR($C138,10))</f>
        <v/>
      </c>
      <c r="I138" s="11">
        <f>IF(OR($G138="",$H138="",NOT(ISNUMBER($G138)),NOT(ISNUMBER($H138))),"",$H138-$G138)</f>
        <v/>
      </c>
    </row>
    <row r="139">
      <c r="B139" s="11">
        <f>IF($A139="","",IFERROR(IF(INDEX(Community_Register!$B$2:$B$402,MATCH($A139,Community_Register!$A$2:$A$402,0))="","",INDEX(Community_Register!$B$2:$B$402,MATCH($A139,Community_Register!$A$2:$A$402,0))),""))</f>
        <v/>
      </c>
      <c r="D139" s="11">
        <f>IF(OR($C139="",NOT(ISNUMBER($C139))),"",FLOOR($C139,10))</f>
        <v/>
      </c>
      <c r="I139" s="11">
        <f>IF(OR($G139="",$H139="",NOT(ISNUMBER($G139)),NOT(ISNUMBER($H139))),"",$H139-$G139)</f>
        <v/>
      </c>
    </row>
    <row r="140">
      <c r="B140" s="11">
        <f>IF($A140="","",IFERROR(IF(INDEX(Community_Register!$B$2:$B$402,MATCH($A140,Community_Register!$A$2:$A$402,0))="","",INDEX(Community_Register!$B$2:$B$402,MATCH($A140,Community_Register!$A$2:$A$402,0))),""))</f>
        <v/>
      </c>
      <c r="D140" s="11">
        <f>IF(OR($C140="",NOT(ISNUMBER($C140))),"",FLOOR($C140,10))</f>
        <v/>
      </c>
      <c r="I140" s="11">
        <f>IF(OR($G140="",$H140="",NOT(ISNUMBER($G140)),NOT(ISNUMBER($H140))),"",$H140-$G140)</f>
        <v/>
      </c>
    </row>
    <row r="141">
      <c r="B141" s="11">
        <f>IF($A141="","",IFERROR(IF(INDEX(Community_Register!$B$2:$B$402,MATCH($A141,Community_Register!$A$2:$A$402,0))="","",INDEX(Community_Register!$B$2:$B$402,MATCH($A141,Community_Register!$A$2:$A$402,0))),""))</f>
        <v/>
      </c>
      <c r="D141" s="11">
        <f>IF(OR($C141="",NOT(ISNUMBER($C141))),"",FLOOR($C141,10))</f>
        <v/>
      </c>
      <c r="I141" s="11">
        <f>IF(OR($G141="",$H141="",NOT(ISNUMBER($G141)),NOT(ISNUMBER($H141))),"",$H141-$G141)</f>
        <v/>
      </c>
    </row>
    <row r="142">
      <c r="B142" s="11">
        <f>IF($A142="","",IFERROR(IF(INDEX(Community_Register!$B$2:$B$402,MATCH($A142,Community_Register!$A$2:$A$402,0))="","",INDEX(Community_Register!$B$2:$B$402,MATCH($A142,Community_Register!$A$2:$A$402,0))),""))</f>
        <v/>
      </c>
      <c r="D142" s="11">
        <f>IF(OR($C142="",NOT(ISNUMBER($C142))),"",FLOOR($C142,10))</f>
        <v/>
      </c>
      <c r="I142" s="11">
        <f>IF(OR($G142="",$H142="",NOT(ISNUMBER($G142)),NOT(ISNUMBER($H142))),"",$H142-$G142)</f>
        <v/>
      </c>
    </row>
    <row r="143">
      <c r="B143" s="11">
        <f>IF($A143="","",IFERROR(IF(INDEX(Community_Register!$B$2:$B$402,MATCH($A143,Community_Register!$A$2:$A$402,0))="","",INDEX(Community_Register!$B$2:$B$402,MATCH($A143,Community_Register!$A$2:$A$402,0))),""))</f>
        <v/>
      </c>
      <c r="D143" s="11">
        <f>IF(OR($C143="",NOT(ISNUMBER($C143))),"",FLOOR($C143,10))</f>
        <v/>
      </c>
      <c r="I143" s="11">
        <f>IF(OR($G143="",$H143="",NOT(ISNUMBER($G143)),NOT(ISNUMBER($H143))),"",$H143-$G143)</f>
        <v/>
      </c>
    </row>
    <row r="144">
      <c r="B144" s="11">
        <f>IF($A144="","",IFERROR(IF(INDEX(Community_Register!$B$2:$B$402,MATCH($A144,Community_Register!$A$2:$A$402,0))="","",INDEX(Community_Register!$B$2:$B$402,MATCH($A144,Community_Register!$A$2:$A$402,0))),""))</f>
        <v/>
      </c>
      <c r="D144" s="11">
        <f>IF(OR($C144="",NOT(ISNUMBER($C144))),"",FLOOR($C144,10))</f>
        <v/>
      </c>
      <c r="I144" s="11">
        <f>IF(OR($G144="",$H144="",NOT(ISNUMBER($G144)),NOT(ISNUMBER($H144))),"",$H144-$G144)</f>
        <v/>
      </c>
    </row>
    <row r="145">
      <c r="B145" s="11">
        <f>IF($A145="","",IFERROR(IF(INDEX(Community_Register!$B$2:$B$402,MATCH($A145,Community_Register!$A$2:$A$402,0))="","",INDEX(Community_Register!$B$2:$B$402,MATCH($A145,Community_Register!$A$2:$A$402,0))),""))</f>
        <v/>
      </c>
      <c r="D145" s="11">
        <f>IF(OR($C145="",NOT(ISNUMBER($C145))),"",FLOOR($C145,10))</f>
        <v/>
      </c>
      <c r="I145" s="11">
        <f>IF(OR($G145="",$H145="",NOT(ISNUMBER($G145)),NOT(ISNUMBER($H145))),"",$H145-$G145)</f>
        <v/>
      </c>
    </row>
    <row r="146">
      <c r="B146" s="11">
        <f>IF($A146="","",IFERROR(IF(INDEX(Community_Register!$B$2:$B$402,MATCH($A146,Community_Register!$A$2:$A$402,0))="","",INDEX(Community_Register!$B$2:$B$402,MATCH($A146,Community_Register!$A$2:$A$402,0))),""))</f>
        <v/>
      </c>
      <c r="D146" s="11">
        <f>IF(OR($C146="",NOT(ISNUMBER($C146))),"",FLOOR($C146,10))</f>
        <v/>
      </c>
      <c r="I146" s="11">
        <f>IF(OR($G146="",$H146="",NOT(ISNUMBER($G146)),NOT(ISNUMBER($H146))),"",$H146-$G146)</f>
        <v/>
      </c>
    </row>
    <row r="147">
      <c r="B147" s="11">
        <f>IF($A147="","",IFERROR(IF(INDEX(Community_Register!$B$2:$B$402,MATCH($A147,Community_Register!$A$2:$A$402,0))="","",INDEX(Community_Register!$B$2:$B$402,MATCH($A147,Community_Register!$A$2:$A$402,0))),""))</f>
        <v/>
      </c>
      <c r="D147" s="11">
        <f>IF(OR($C147="",NOT(ISNUMBER($C147))),"",FLOOR($C147,10))</f>
        <v/>
      </c>
      <c r="I147" s="11">
        <f>IF(OR($G147="",$H147="",NOT(ISNUMBER($G147)),NOT(ISNUMBER($H147))),"",$H147-$G147)</f>
        <v/>
      </c>
    </row>
    <row r="148">
      <c r="B148" s="11">
        <f>IF($A148="","",IFERROR(IF(INDEX(Community_Register!$B$2:$B$402,MATCH($A148,Community_Register!$A$2:$A$402,0))="","",INDEX(Community_Register!$B$2:$B$402,MATCH($A148,Community_Register!$A$2:$A$402,0))),""))</f>
        <v/>
      </c>
      <c r="D148" s="11">
        <f>IF(OR($C148="",NOT(ISNUMBER($C148))),"",FLOOR($C148,10))</f>
        <v/>
      </c>
      <c r="I148" s="11">
        <f>IF(OR($G148="",$H148="",NOT(ISNUMBER($G148)),NOT(ISNUMBER($H148))),"",$H148-$G148)</f>
        <v/>
      </c>
    </row>
    <row r="149">
      <c r="B149" s="11">
        <f>IF($A149="","",IFERROR(IF(INDEX(Community_Register!$B$2:$B$402,MATCH($A149,Community_Register!$A$2:$A$402,0))="","",INDEX(Community_Register!$B$2:$B$402,MATCH($A149,Community_Register!$A$2:$A$402,0))),""))</f>
        <v/>
      </c>
      <c r="D149" s="11">
        <f>IF(OR($C149="",NOT(ISNUMBER($C149))),"",FLOOR($C149,10))</f>
        <v/>
      </c>
      <c r="I149" s="11">
        <f>IF(OR($G149="",$H149="",NOT(ISNUMBER($G149)),NOT(ISNUMBER($H149))),"",$H149-$G149)</f>
        <v/>
      </c>
    </row>
    <row r="150">
      <c r="B150" s="11">
        <f>IF($A150="","",IFERROR(IF(INDEX(Community_Register!$B$2:$B$402,MATCH($A150,Community_Register!$A$2:$A$402,0))="","",INDEX(Community_Register!$B$2:$B$402,MATCH($A150,Community_Register!$A$2:$A$402,0))),""))</f>
        <v/>
      </c>
      <c r="D150" s="11">
        <f>IF(OR($C150="",NOT(ISNUMBER($C150))),"",FLOOR($C150,10))</f>
        <v/>
      </c>
      <c r="I150" s="11">
        <f>IF(OR($G150="",$H150="",NOT(ISNUMBER($G150)),NOT(ISNUMBER($H150))),"",$H150-$G150)</f>
        <v/>
      </c>
    </row>
    <row r="151">
      <c r="B151" s="11">
        <f>IF($A151="","",IFERROR(IF(INDEX(Community_Register!$B$2:$B$402,MATCH($A151,Community_Register!$A$2:$A$402,0))="","",INDEX(Community_Register!$B$2:$B$402,MATCH($A151,Community_Register!$A$2:$A$402,0))),""))</f>
        <v/>
      </c>
      <c r="D151" s="11">
        <f>IF(OR($C151="",NOT(ISNUMBER($C151))),"",FLOOR($C151,10))</f>
        <v/>
      </c>
      <c r="I151" s="11">
        <f>IF(OR($G151="",$H151="",NOT(ISNUMBER($G151)),NOT(ISNUMBER($H151))),"",$H151-$G151)</f>
        <v/>
      </c>
    </row>
    <row r="152">
      <c r="B152" s="11">
        <f>IF($A152="","",IFERROR(IF(INDEX(Community_Register!$B$2:$B$402,MATCH($A152,Community_Register!$A$2:$A$402,0))="","",INDEX(Community_Register!$B$2:$B$402,MATCH($A152,Community_Register!$A$2:$A$402,0))),""))</f>
        <v/>
      </c>
      <c r="D152" s="11">
        <f>IF(OR($C152="",NOT(ISNUMBER($C152))),"",FLOOR($C152,10))</f>
        <v/>
      </c>
      <c r="I152" s="11">
        <f>IF(OR($G152="",$H152="",NOT(ISNUMBER($G152)),NOT(ISNUMBER($H152))),"",$H152-$G152)</f>
        <v/>
      </c>
    </row>
    <row r="153">
      <c r="B153" s="11">
        <f>IF($A153="","",IFERROR(IF(INDEX(Community_Register!$B$2:$B$402,MATCH($A153,Community_Register!$A$2:$A$402,0))="","",INDEX(Community_Register!$B$2:$B$402,MATCH($A153,Community_Register!$A$2:$A$402,0))),""))</f>
        <v/>
      </c>
      <c r="D153" s="11">
        <f>IF(OR($C153="",NOT(ISNUMBER($C153))),"",FLOOR($C153,10))</f>
        <v/>
      </c>
      <c r="I153" s="11">
        <f>IF(OR($G153="",$H153="",NOT(ISNUMBER($G153)),NOT(ISNUMBER($H153))),"",$H153-$G153)</f>
        <v/>
      </c>
    </row>
    <row r="154">
      <c r="B154" s="11">
        <f>IF($A154="","",IFERROR(IF(INDEX(Community_Register!$B$2:$B$402,MATCH($A154,Community_Register!$A$2:$A$402,0))="","",INDEX(Community_Register!$B$2:$B$402,MATCH($A154,Community_Register!$A$2:$A$402,0))),""))</f>
        <v/>
      </c>
      <c r="D154" s="11">
        <f>IF(OR($C154="",NOT(ISNUMBER($C154))),"",FLOOR($C154,10))</f>
        <v/>
      </c>
      <c r="I154" s="11">
        <f>IF(OR($G154="",$H154="",NOT(ISNUMBER($G154)),NOT(ISNUMBER($H154))),"",$H154-$G154)</f>
        <v/>
      </c>
    </row>
    <row r="155">
      <c r="B155" s="11">
        <f>IF($A155="","",IFERROR(IF(INDEX(Community_Register!$B$2:$B$402,MATCH($A155,Community_Register!$A$2:$A$402,0))="","",INDEX(Community_Register!$B$2:$B$402,MATCH($A155,Community_Register!$A$2:$A$402,0))),""))</f>
        <v/>
      </c>
      <c r="D155" s="11">
        <f>IF(OR($C155="",NOT(ISNUMBER($C155))),"",FLOOR($C155,10))</f>
        <v/>
      </c>
      <c r="I155" s="11">
        <f>IF(OR($G155="",$H155="",NOT(ISNUMBER($G155)),NOT(ISNUMBER($H155))),"",$H155-$G155)</f>
        <v/>
      </c>
    </row>
    <row r="156">
      <c r="B156" s="11">
        <f>IF($A156="","",IFERROR(IF(INDEX(Community_Register!$B$2:$B$402,MATCH($A156,Community_Register!$A$2:$A$402,0))="","",INDEX(Community_Register!$B$2:$B$402,MATCH($A156,Community_Register!$A$2:$A$402,0))),""))</f>
        <v/>
      </c>
      <c r="D156" s="11">
        <f>IF(OR($C156="",NOT(ISNUMBER($C156))),"",FLOOR($C156,10))</f>
        <v/>
      </c>
      <c r="I156" s="11">
        <f>IF(OR($G156="",$H156="",NOT(ISNUMBER($G156)),NOT(ISNUMBER($H156))),"",$H156-$G156)</f>
        <v/>
      </c>
    </row>
    <row r="157">
      <c r="B157" s="11">
        <f>IF($A157="","",IFERROR(IF(INDEX(Community_Register!$B$2:$B$402,MATCH($A157,Community_Register!$A$2:$A$402,0))="","",INDEX(Community_Register!$B$2:$B$402,MATCH($A157,Community_Register!$A$2:$A$402,0))),""))</f>
        <v/>
      </c>
      <c r="D157" s="11">
        <f>IF(OR($C157="",NOT(ISNUMBER($C157))),"",FLOOR($C157,10))</f>
        <v/>
      </c>
      <c r="I157" s="11">
        <f>IF(OR($G157="",$H157="",NOT(ISNUMBER($G157)),NOT(ISNUMBER($H157))),"",$H157-$G157)</f>
        <v/>
      </c>
    </row>
    <row r="158">
      <c r="B158" s="11">
        <f>IF($A158="","",IFERROR(IF(INDEX(Community_Register!$B$2:$B$402,MATCH($A158,Community_Register!$A$2:$A$402,0))="","",INDEX(Community_Register!$B$2:$B$402,MATCH($A158,Community_Register!$A$2:$A$402,0))),""))</f>
        <v/>
      </c>
      <c r="D158" s="11">
        <f>IF(OR($C158="",NOT(ISNUMBER($C158))),"",FLOOR($C158,10))</f>
        <v/>
      </c>
      <c r="I158" s="11">
        <f>IF(OR($G158="",$H158="",NOT(ISNUMBER($G158)),NOT(ISNUMBER($H158))),"",$H158-$G158)</f>
        <v/>
      </c>
    </row>
    <row r="159">
      <c r="B159" s="11">
        <f>IF($A159="","",IFERROR(IF(INDEX(Community_Register!$B$2:$B$402,MATCH($A159,Community_Register!$A$2:$A$402,0))="","",INDEX(Community_Register!$B$2:$B$402,MATCH($A159,Community_Register!$A$2:$A$402,0))),""))</f>
        <v/>
      </c>
      <c r="D159" s="11">
        <f>IF(OR($C159="",NOT(ISNUMBER($C159))),"",FLOOR($C159,10))</f>
        <v/>
      </c>
      <c r="I159" s="11">
        <f>IF(OR($G159="",$H159="",NOT(ISNUMBER($G159)),NOT(ISNUMBER($H159))),"",$H159-$G159)</f>
        <v/>
      </c>
    </row>
    <row r="160">
      <c r="B160" s="11">
        <f>IF($A160="","",IFERROR(IF(INDEX(Community_Register!$B$2:$B$402,MATCH($A160,Community_Register!$A$2:$A$402,0))="","",INDEX(Community_Register!$B$2:$B$402,MATCH($A160,Community_Register!$A$2:$A$402,0))),""))</f>
        <v/>
      </c>
      <c r="D160" s="11">
        <f>IF(OR($C160="",NOT(ISNUMBER($C160))),"",FLOOR($C160,10))</f>
        <v/>
      </c>
      <c r="I160" s="11">
        <f>IF(OR($G160="",$H160="",NOT(ISNUMBER($G160)),NOT(ISNUMBER($H160))),"",$H160-$G160)</f>
        <v/>
      </c>
    </row>
    <row r="161">
      <c r="B161" s="11">
        <f>IF($A161="","",IFERROR(IF(INDEX(Community_Register!$B$2:$B$402,MATCH($A161,Community_Register!$A$2:$A$402,0))="","",INDEX(Community_Register!$B$2:$B$402,MATCH($A161,Community_Register!$A$2:$A$402,0))),""))</f>
        <v/>
      </c>
      <c r="D161" s="11">
        <f>IF(OR($C161="",NOT(ISNUMBER($C161))),"",FLOOR($C161,10))</f>
        <v/>
      </c>
      <c r="I161" s="11">
        <f>IF(OR($G161="",$H161="",NOT(ISNUMBER($G161)),NOT(ISNUMBER($H161))),"",$H161-$G161)</f>
        <v/>
      </c>
    </row>
    <row r="162">
      <c r="B162" s="11">
        <f>IF($A162="","",IFERROR(IF(INDEX(Community_Register!$B$2:$B$402,MATCH($A162,Community_Register!$A$2:$A$402,0))="","",INDEX(Community_Register!$B$2:$B$402,MATCH($A162,Community_Register!$A$2:$A$402,0))),""))</f>
        <v/>
      </c>
      <c r="D162" s="11">
        <f>IF(OR($C162="",NOT(ISNUMBER($C162))),"",FLOOR($C162,10))</f>
        <v/>
      </c>
      <c r="I162" s="11">
        <f>IF(OR($G162="",$H162="",NOT(ISNUMBER($G162)),NOT(ISNUMBER($H162))),"",$H162-$G162)</f>
        <v/>
      </c>
    </row>
    <row r="163">
      <c r="B163" s="11">
        <f>IF($A163="","",IFERROR(IF(INDEX(Community_Register!$B$2:$B$402,MATCH($A163,Community_Register!$A$2:$A$402,0))="","",INDEX(Community_Register!$B$2:$B$402,MATCH($A163,Community_Register!$A$2:$A$402,0))),""))</f>
        <v/>
      </c>
      <c r="D163" s="11">
        <f>IF(OR($C163="",NOT(ISNUMBER($C163))),"",FLOOR($C163,10))</f>
        <v/>
      </c>
      <c r="I163" s="11">
        <f>IF(OR($G163="",$H163="",NOT(ISNUMBER($G163)),NOT(ISNUMBER($H163))),"",$H163-$G163)</f>
        <v/>
      </c>
    </row>
    <row r="164">
      <c r="B164" s="11">
        <f>IF($A164="","",IFERROR(IF(INDEX(Community_Register!$B$2:$B$402,MATCH($A164,Community_Register!$A$2:$A$402,0))="","",INDEX(Community_Register!$B$2:$B$402,MATCH($A164,Community_Register!$A$2:$A$402,0))),""))</f>
        <v/>
      </c>
      <c r="D164" s="11">
        <f>IF(OR($C164="",NOT(ISNUMBER($C164))),"",FLOOR($C164,10))</f>
        <v/>
      </c>
      <c r="I164" s="11">
        <f>IF(OR($G164="",$H164="",NOT(ISNUMBER($G164)),NOT(ISNUMBER($H164))),"",$H164-$G164)</f>
        <v/>
      </c>
    </row>
    <row r="165">
      <c r="B165" s="11">
        <f>IF($A165="","",IFERROR(IF(INDEX(Community_Register!$B$2:$B$402,MATCH($A165,Community_Register!$A$2:$A$402,0))="","",INDEX(Community_Register!$B$2:$B$402,MATCH($A165,Community_Register!$A$2:$A$402,0))),""))</f>
        <v/>
      </c>
      <c r="D165" s="11">
        <f>IF(OR($C165="",NOT(ISNUMBER($C165))),"",FLOOR($C165,10))</f>
        <v/>
      </c>
      <c r="I165" s="11">
        <f>IF(OR($G165="",$H165="",NOT(ISNUMBER($G165)),NOT(ISNUMBER($H165))),"",$H165-$G165)</f>
        <v/>
      </c>
    </row>
    <row r="166">
      <c r="B166" s="11">
        <f>IF($A166="","",IFERROR(IF(INDEX(Community_Register!$B$2:$B$402,MATCH($A166,Community_Register!$A$2:$A$402,0))="","",INDEX(Community_Register!$B$2:$B$402,MATCH($A166,Community_Register!$A$2:$A$402,0))),""))</f>
        <v/>
      </c>
      <c r="D166" s="11">
        <f>IF(OR($C166="",NOT(ISNUMBER($C166))),"",FLOOR($C166,10))</f>
        <v/>
      </c>
      <c r="I166" s="11">
        <f>IF(OR($G166="",$H166="",NOT(ISNUMBER($G166)),NOT(ISNUMBER($H166))),"",$H166-$G166)</f>
        <v/>
      </c>
    </row>
    <row r="167">
      <c r="B167" s="11">
        <f>IF($A167="","",IFERROR(IF(INDEX(Community_Register!$B$2:$B$402,MATCH($A167,Community_Register!$A$2:$A$402,0))="","",INDEX(Community_Register!$B$2:$B$402,MATCH($A167,Community_Register!$A$2:$A$402,0))),""))</f>
        <v/>
      </c>
      <c r="D167" s="11">
        <f>IF(OR($C167="",NOT(ISNUMBER($C167))),"",FLOOR($C167,10))</f>
        <v/>
      </c>
      <c r="I167" s="11">
        <f>IF(OR($G167="",$H167="",NOT(ISNUMBER($G167)),NOT(ISNUMBER($H167))),"",$H167-$G167)</f>
        <v/>
      </c>
    </row>
    <row r="168">
      <c r="B168" s="11">
        <f>IF($A168="","",IFERROR(IF(INDEX(Community_Register!$B$2:$B$402,MATCH($A168,Community_Register!$A$2:$A$402,0))="","",INDEX(Community_Register!$B$2:$B$402,MATCH($A168,Community_Register!$A$2:$A$402,0))),""))</f>
        <v/>
      </c>
      <c r="D168" s="11">
        <f>IF(OR($C168="",NOT(ISNUMBER($C168))),"",FLOOR($C168,10))</f>
        <v/>
      </c>
      <c r="I168" s="11">
        <f>IF(OR($G168="",$H168="",NOT(ISNUMBER($G168)),NOT(ISNUMBER($H168))),"",$H168-$G168)</f>
        <v/>
      </c>
    </row>
    <row r="169">
      <c r="B169" s="11">
        <f>IF($A169="","",IFERROR(IF(INDEX(Community_Register!$B$2:$B$402,MATCH($A169,Community_Register!$A$2:$A$402,0))="","",INDEX(Community_Register!$B$2:$B$402,MATCH($A169,Community_Register!$A$2:$A$402,0))),""))</f>
        <v/>
      </c>
      <c r="D169" s="11">
        <f>IF(OR($C169="",NOT(ISNUMBER($C169))),"",FLOOR($C169,10))</f>
        <v/>
      </c>
      <c r="I169" s="11">
        <f>IF(OR($G169="",$H169="",NOT(ISNUMBER($G169)),NOT(ISNUMBER($H169))),"",$H169-$G169)</f>
        <v/>
      </c>
    </row>
    <row r="170">
      <c r="B170" s="11">
        <f>IF($A170="","",IFERROR(IF(INDEX(Community_Register!$B$2:$B$402,MATCH($A170,Community_Register!$A$2:$A$402,0))="","",INDEX(Community_Register!$B$2:$B$402,MATCH($A170,Community_Register!$A$2:$A$402,0))),""))</f>
        <v/>
      </c>
      <c r="D170" s="11">
        <f>IF(OR($C170="",NOT(ISNUMBER($C170))),"",FLOOR($C170,10))</f>
        <v/>
      </c>
      <c r="I170" s="11">
        <f>IF(OR($G170="",$H170="",NOT(ISNUMBER($G170)),NOT(ISNUMBER($H170))),"",$H170-$G170)</f>
        <v/>
      </c>
    </row>
    <row r="171">
      <c r="B171" s="11">
        <f>IF($A171="","",IFERROR(IF(INDEX(Community_Register!$B$2:$B$402,MATCH($A171,Community_Register!$A$2:$A$402,0))="","",INDEX(Community_Register!$B$2:$B$402,MATCH($A171,Community_Register!$A$2:$A$402,0))),""))</f>
        <v/>
      </c>
      <c r="D171" s="11">
        <f>IF(OR($C171="",NOT(ISNUMBER($C171))),"",FLOOR($C171,10))</f>
        <v/>
      </c>
      <c r="I171" s="11">
        <f>IF(OR($G171="",$H171="",NOT(ISNUMBER($G171)),NOT(ISNUMBER($H171))),"",$H171-$G171)</f>
        <v/>
      </c>
    </row>
    <row r="172">
      <c r="B172" s="11">
        <f>IF($A172="","",IFERROR(IF(INDEX(Community_Register!$B$2:$B$402,MATCH($A172,Community_Register!$A$2:$A$402,0))="","",INDEX(Community_Register!$B$2:$B$402,MATCH($A172,Community_Register!$A$2:$A$402,0))),""))</f>
        <v/>
      </c>
      <c r="D172" s="11">
        <f>IF(OR($C172="",NOT(ISNUMBER($C172))),"",FLOOR($C172,10))</f>
        <v/>
      </c>
      <c r="I172" s="11">
        <f>IF(OR($G172="",$H172="",NOT(ISNUMBER($G172)),NOT(ISNUMBER($H172))),"",$H172-$G172)</f>
        <v/>
      </c>
    </row>
    <row r="173">
      <c r="B173" s="11">
        <f>IF($A173="","",IFERROR(IF(INDEX(Community_Register!$B$2:$B$402,MATCH($A173,Community_Register!$A$2:$A$402,0))="","",INDEX(Community_Register!$B$2:$B$402,MATCH($A173,Community_Register!$A$2:$A$402,0))),""))</f>
        <v/>
      </c>
      <c r="D173" s="11">
        <f>IF(OR($C173="",NOT(ISNUMBER($C173))),"",FLOOR($C173,10))</f>
        <v/>
      </c>
      <c r="I173" s="11">
        <f>IF(OR($G173="",$H173="",NOT(ISNUMBER($G173)),NOT(ISNUMBER($H173))),"",$H173-$G173)</f>
        <v/>
      </c>
    </row>
    <row r="174">
      <c r="B174" s="11">
        <f>IF($A174="","",IFERROR(IF(INDEX(Community_Register!$B$2:$B$402,MATCH($A174,Community_Register!$A$2:$A$402,0))="","",INDEX(Community_Register!$B$2:$B$402,MATCH($A174,Community_Register!$A$2:$A$402,0))),""))</f>
        <v/>
      </c>
      <c r="D174" s="11">
        <f>IF(OR($C174="",NOT(ISNUMBER($C174))),"",FLOOR($C174,10))</f>
        <v/>
      </c>
      <c r="I174" s="11">
        <f>IF(OR($G174="",$H174="",NOT(ISNUMBER($G174)),NOT(ISNUMBER($H174))),"",$H174-$G174)</f>
        <v/>
      </c>
    </row>
    <row r="175">
      <c r="B175" s="11">
        <f>IF($A175="","",IFERROR(IF(INDEX(Community_Register!$B$2:$B$402,MATCH($A175,Community_Register!$A$2:$A$402,0))="","",INDEX(Community_Register!$B$2:$B$402,MATCH($A175,Community_Register!$A$2:$A$402,0))),""))</f>
        <v/>
      </c>
      <c r="D175" s="11">
        <f>IF(OR($C175="",NOT(ISNUMBER($C175))),"",FLOOR($C175,10))</f>
        <v/>
      </c>
      <c r="I175" s="11">
        <f>IF(OR($G175="",$H175="",NOT(ISNUMBER($G175)),NOT(ISNUMBER($H175))),"",$H175-$G175)</f>
        <v/>
      </c>
    </row>
    <row r="176">
      <c r="B176" s="11">
        <f>IF($A176="","",IFERROR(IF(INDEX(Community_Register!$B$2:$B$402,MATCH($A176,Community_Register!$A$2:$A$402,0))="","",INDEX(Community_Register!$B$2:$B$402,MATCH($A176,Community_Register!$A$2:$A$402,0))),""))</f>
        <v/>
      </c>
      <c r="D176" s="11">
        <f>IF(OR($C176="",NOT(ISNUMBER($C176))),"",FLOOR($C176,10))</f>
        <v/>
      </c>
      <c r="I176" s="11">
        <f>IF(OR($G176="",$H176="",NOT(ISNUMBER($G176)),NOT(ISNUMBER($H176))),"",$H176-$G176)</f>
        <v/>
      </c>
    </row>
    <row r="177">
      <c r="B177" s="11">
        <f>IF($A177="","",IFERROR(IF(INDEX(Community_Register!$B$2:$B$402,MATCH($A177,Community_Register!$A$2:$A$402,0))="","",INDEX(Community_Register!$B$2:$B$402,MATCH($A177,Community_Register!$A$2:$A$402,0))),""))</f>
        <v/>
      </c>
      <c r="D177" s="11">
        <f>IF(OR($C177="",NOT(ISNUMBER($C177))),"",FLOOR($C177,10))</f>
        <v/>
      </c>
      <c r="I177" s="11">
        <f>IF(OR($G177="",$H177="",NOT(ISNUMBER($G177)),NOT(ISNUMBER($H177))),"",$H177-$G177)</f>
        <v/>
      </c>
    </row>
    <row r="178">
      <c r="B178" s="11">
        <f>IF($A178="","",IFERROR(IF(INDEX(Community_Register!$B$2:$B$402,MATCH($A178,Community_Register!$A$2:$A$402,0))="","",INDEX(Community_Register!$B$2:$B$402,MATCH($A178,Community_Register!$A$2:$A$402,0))),""))</f>
        <v/>
      </c>
      <c r="D178" s="11">
        <f>IF(OR($C178="",NOT(ISNUMBER($C178))),"",FLOOR($C178,10))</f>
        <v/>
      </c>
      <c r="I178" s="11">
        <f>IF(OR($G178="",$H178="",NOT(ISNUMBER($G178)),NOT(ISNUMBER($H178))),"",$H178-$G178)</f>
        <v/>
      </c>
    </row>
    <row r="179">
      <c r="B179" s="11">
        <f>IF($A179="","",IFERROR(IF(INDEX(Community_Register!$B$2:$B$402,MATCH($A179,Community_Register!$A$2:$A$402,0))="","",INDEX(Community_Register!$B$2:$B$402,MATCH($A179,Community_Register!$A$2:$A$402,0))),""))</f>
        <v/>
      </c>
      <c r="D179" s="11">
        <f>IF(OR($C179="",NOT(ISNUMBER($C179))),"",FLOOR($C179,10))</f>
        <v/>
      </c>
      <c r="I179" s="11">
        <f>IF(OR($G179="",$H179="",NOT(ISNUMBER($G179)),NOT(ISNUMBER($H179))),"",$H179-$G179)</f>
        <v/>
      </c>
    </row>
    <row r="180">
      <c r="B180" s="11">
        <f>IF($A180="","",IFERROR(IF(INDEX(Community_Register!$B$2:$B$402,MATCH($A180,Community_Register!$A$2:$A$402,0))="","",INDEX(Community_Register!$B$2:$B$402,MATCH($A180,Community_Register!$A$2:$A$402,0))),""))</f>
        <v/>
      </c>
      <c r="D180" s="11">
        <f>IF(OR($C180="",NOT(ISNUMBER($C180))),"",FLOOR($C180,10))</f>
        <v/>
      </c>
      <c r="I180" s="11">
        <f>IF(OR($G180="",$H180="",NOT(ISNUMBER($G180)),NOT(ISNUMBER($H180))),"",$H180-$G180)</f>
        <v/>
      </c>
    </row>
    <row r="181">
      <c r="B181" s="11">
        <f>IF($A181="","",IFERROR(IF(INDEX(Community_Register!$B$2:$B$402,MATCH($A181,Community_Register!$A$2:$A$402,0))="","",INDEX(Community_Register!$B$2:$B$402,MATCH($A181,Community_Register!$A$2:$A$402,0))),""))</f>
        <v/>
      </c>
      <c r="D181" s="11">
        <f>IF(OR($C181="",NOT(ISNUMBER($C181))),"",FLOOR($C181,10))</f>
        <v/>
      </c>
      <c r="I181" s="11">
        <f>IF(OR($G181="",$H181="",NOT(ISNUMBER($G181)),NOT(ISNUMBER($H181))),"",$H181-$G181)</f>
        <v/>
      </c>
    </row>
    <row r="182">
      <c r="B182" s="11">
        <f>IF($A182="","",IFERROR(IF(INDEX(Community_Register!$B$2:$B$402,MATCH($A182,Community_Register!$A$2:$A$402,0))="","",INDEX(Community_Register!$B$2:$B$402,MATCH($A182,Community_Register!$A$2:$A$402,0))),""))</f>
        <v/>
      </c>
      <c r="D182" s="11">
        <f>IF(OR($C182="",NOT(ISNUMBER($C182))),"",FLOOR($C182,10))</f>
        <v/>
      </c>
      <c r="I182" s="11">
        <f>IF(OR($G182="",$H182="",NOT(ISNUMBER($G182)),NOT(ISNUMBER($H182))),"",$H182-$G182)</f>
        <v/>
      </c>
    </row>
    <row r="183">
      <c r="B183" s="11">
        <f>IF($A183="","",IFERROR(IF(INDEX(Community_Register!$B$2:$B$402,MATCH($A183,Community_Register!$A$2:$A$402,0))="","",INDEX(Community_Register!$B$2:$B$402,MATCH($A183,Community_Register!$A$2:$A$402,0))),""))</f>
        <v/>
      </c>
      <c r="D183" s="11">
        <f>IF(OR($C183="",NOT(ISNUMBER($C183))),"",FLOOR($C183,10))</f>
        <v/>
      </c>
      <c r="I183" s="11">
        <f>IF(OR($G183="",$H183="",NOT(ISNUMBER($G183)),NOT(ISNUMBER($H183))),"",$H183-$G183)</f>
        <v/>
      </c>
    </row>
    <row r="184">
      <c r="B184" s="11">
        <f>IF($A184="","",IFERROR(IF(INDEX(Community_Register!$B$2:$B$402,MATCH($A184,Community_Register!$A$2:$A$402,0))="","",INDEX(Community_Register!$B$2:$B$402,MATCH($A184,Community_Register!$A$2:$A$402,0))),""))</f>
        <v/>
      </c>
      <c r="D184" s="11">
        <f>IF(OR($C184="",NOT(ISNUMBER($C184))),"",FLOOR($C184,10))</f>
        <v/>
      </c>
      <c r="I184" s="11">
        <f>IF(OR($G184="",$H184="",NOT(ISNUMBER($G184)),NOT(ISNUMBER($H184))),"",$H184-$G184)</f>
        <v/>
      </c>
    </row>
    <row r="185">
      <c r="B185" s="11">
        <f>IF($A185="","",IFERROR(IF(INDEX(Community_Register!$B$2:$B$402,MATCH($A185,Community_Register!$A$2:$A$402,0))="","",INDEX(Community_Register!$B$2:$B$402,MATCH($A185,Community_Register!$A$2:$A$402,0))),""))</f>
        <v/>
      </c>
      <c r="D185" s="11">
        <f>IF(OR($C185="",NOT(ISNUMBER($C185))),"",FLOOR($C185,10))</f>
        <v/>
      </c>
      <c r="I185" s="11">
        <f>IF(OR($G185="",$H185="",NOT(ISNUMBER($G185)),NOT(ISNUMBER($H185))),"",$H185-$G185)</f>
        <v/>
      </c>
    </row>
    <row r="186">
      <c r="B186" s="11">
        <f>IF($A186="","",IFERROR(IF(INDEX(Community_Register!$B$2:$B$402,MATCH($A186,Community_Register!$A$2:$A$402,0))="","",INDEX(Community_Register!$B$2:$B$402,MATCH($A186,Community_Register!$A$2:$A$402,0))),""))</f>
        <v/>
      </c>
      <c r="D186" s="11">
        <f>IF(OR($C186="",NOT(ISNUMBER($C186))),"",FLOOR($C186,10))</f>
        <v/>
      </c>
      <c r="I186" s="11">
        <f>IF(OR($G186="",$H186="",NOT(ISNUMBER($G186)),NOT(ISNUMBER($H186))),"",$H186-$G186)</f>
        <v/>
      </c>
    </row>
    <row r="187">
      <c r="B187" s="11">
        <f>IF($A187="","",IFERROR(IF(INDEX(Community_Register!$B$2:$B$402,MATCH($A187,Community_Register!$A$2:$A$402,0))="","",INDEX(Community_Register!$B$2:$B$402,MATCH($A187,Community_Register!$A$2:$A$402,0))),""))</f>
        <v/>
      </c>
      <c r="D187" s="11">
        <f>IF(OR($C187="",NOT(ISNUMBER($C187))),"",FLOOR($C187,10))</f>
        <v/>
      </c>
      <c r="I187" s="11">
        <f>IF(OR($G187="",$H187="",NOT(ISNUMBER($G187)),NOT(ISNUMBER($H187))),"",$H187-$G187)</f>
        <v/>
      </c>
    </row>
    <row r="188">
      <c r="B188" s="11">
        <f>IF($A188="","",IFERROR(IF(INDEX(Community_Register!$B$2:$B$402,MATCH($A188,Community_Register!$A$2:$A$402,0))="","",INDEX(Community_Register!$B$2:$B$402,MATCH($A188,Community_Register!$A$2:$A$402,0))),""))</f>
        <v/>
      </c>
      <c r="D188" s="11">
        <f>IF(OR($C188="",NOT(ISNUMBER($C188))),"",FLOOR($C188,10))</f>
        <v/>
      </c>
      <c r="I188" s="11">
        <f>IF(OR($G188="",$H188="",NOT(ISNUMBER($G188)),NOT(ISNUMBER($H188))),"",$H188-$G188)</f>
        <v/>
      </c>
    </row>
    <row r="189">
      <c r="B189" s="11">
        <f>IF($A189="","",IFERROR(IF(INDEX(Community_Register!$B$2:$B$402,MATCH($A189,Community_Register!$A$2:$A$402,0))="","",INDEX(Community_Register!$B$2:$B$402,MATCH($A189,Community_Register!$A$2:$A$402,0))),""))</f>
        <v/>
      </c>
      <c r="D189" s="11">
        <f>IF(OR($C189="",NOT(ISNUMBER($C189))),"",FLOOR($C189,10))</f>
        <v/>
      </c>
      <c r="I189" s="11">
        <f>IF(OR($G189="",$H189="",NOT(ISNUMBER($G189)),NOT(ISNUMBER($H189))),"",$H189-$G189)</f>
        <v/>
      </c>
    </row>
    <row r="190">
      <c r="B190" s="11">
        <f>IF($A190="","",IFERROR(IF(INDEX(Community_Register!$B$2:$B$402,MATCH($A190,Community_Register!$A$2:$A$402,0))="","",INDEX(Community_Register!$B$2:$B$402,MATCH($A190,Community_Register!$A$2:$A$402,0))),""))</f>
        <v/>
      </c>
      <c r="D190" s="11">
        <f>IF(OR($C190="",NOT(ISNUMBER($C190))),"",FLOOR($C190,10))</f>
        <v/>
      </c>
      <c r="I190" s="11">
        <f>IF(OR($G190="",$H190="",NOT(ISNUMBER($G190)),NOT(ISNUMBER($H190))),"",$H190-$G190)</f>
        <v/>
      </c>
    </row>
    <row r="191">
      <c r="B191" s="11">
        <f>IF($A191="","",IFERROR(IF(INDEX(Community_Register!$B$2:$B$402,MATCH($A191,Community_Register!$A$2:$A$402,0))="","",INDEX(Community_Register!$B$2:$B$402,MATCH($A191,Community_Register!$A$2:$A$402,0))),""))</f>
        <v/>
      </c>
      <c r="D191" s="11">
        <f>IF(OR($C191="",NOT(ISNUMBER($C191))),"",FLOOR($C191,10))</f>
        <v/>
      </c>
      <c r="I191" s="11">
        <f>IF(OR($G191="",$H191="",NOT(ISNUMBER($G191)),NOT(ISNUMBER($H191))),"",$H191-$G191)</f>
        <v/>
      </c>
    </row>
    <row r="192">
      <c r="B192" s="11">
        <f>IF($A192="","",IFERROR(IF(INDEX(Community_Register!$B$2:$B$402,MATCH($A192,Community_Register!$A$2:$A$402,0))="","",INDEX(Community_Register!$B$2:$B$402,MATCH($A192,Community_Register!$A$2:$A$402,0))),""))</f>
        <v/>
      </c>
      <c r="D192" s="11">
        <f>IF(OR($C192="",NOT(ISNUMBER($C192))),"",FLOOR($C192,10))</f>
        <v/>
      </c>
      <c r="I192" s="11">
        <f>IF(OR($G192="",$H192="",NOT(ISNUMBER($G192)),NOT(ISNUMBER($H192))),"",$H192-$G192)</f>
        <v/>
      </c>
    </row>
    <row r="193">
      <c r="B193" s="11">
        <f>IF($A193="","",IFERROR(IF(INDEX(Community_Register!$B$2:$B$402,MATCH($A193,Community_Register!$A$2:$A$402,0))="","",INDEX(Community_Register!$B$2:$B$402,MATCH($A193,Community_Register!$A$2:$A$402,0))),""))</f>
        <v/>
      </c>
      <c r="D193" s="11">
        <f>IF(OR($C193="",NOT(ISNUMBER($C193))),"",FLOOR($C193,10))</f>
        <v/>
      </c>
      <c r="I193" s="11">
        <f>IF(OR($G193="",$H193="",NOT(ISNUMBER($G193)),NOT(ISNUMBER($H193))),"",$H193-$G193)</f>
        <v/>
      </c>
    </row>
    <row r="194">
      <c r="B194" s="11">
        <f>IF($A194="","",IFERROR(IF(INDEX(Community_Register!$B$2:$B$402,MATCH($A194,Community_Register!$A$2:$A$402,0))="","",INDEX(Community_Register!$B$2:$B$402,MATCH($A194,Community_Register!$A$2:$A$402,0))),""))</f>
        <v/>
      </c>
      <c r="D194" s="11">
        <f>IF(OR($C194="",NOT(ISNUMBER($C194))),"",FLOOR($C194,10))</f>
        <v/>
      </c>
      <c r="I194" s="11">
        <f>IF(OR($G194="",$H194="",NOT(ISNUMBER($G194)),NOT(ISNUMBER($H194))),"",$H194-$G194)</f>
        <v/>
      </c>
    </row>
    <row r="195">
      <c r="B195" s="11">
        <f>IF($A195="","",IFERROR(IF(INDEX(Community_Register!$B$2:$B$402,MATCH($A195,Community_Register!$A$2:$A$402,0))="","",INDEX(Community_Register!$B$2:$B$402,MATCH($A195,Community_Register!$A$2:$A$402,0))),""))</f>
        <v/>
      </c>
      <c r="D195" s="11">
        <f>IF(OR($C195="",NOT(ISNUMBER($C195))),"",FLOOR($C195,10))</f>
        <v/>
      </c>
      <c r="I195" s="11">
        <f>IF(OR($G195="",$H195="",NOT(ISNUMBER($G195)),NOT(ISNUMBER($H195))),"",$H195-$G195)</f>
        <v/>
      </c>
    </row>
    <row r="196">
      <c r="B196" s="11">
        <f>IF($A196="","",IFERROR(IF(INDEX(Community_Register!$B$2:$B$402,MATCH($A196,Community_Register!$A$2:$A$402,0))="","",INDEX(Community_Register!$B$2:$B$402,MATCH($A196,Community_Register!$A$2:$A$402,0))),""))</f>
        <v/>
      </c>
      <c r="D196" s="11">
        <f>IF(OR($C196="",NOT(ISNUMBER($C196))),"",FLOOR($C196,10))</f>
        <v/>
      </c>
      <c r="I196" s="11">
        <f>IF(OR($G196="",$H196="",NOT(ISNUMBER($G196)),NOT(ISNUMBER($H196))),"",$H196-$G196)</f>
        <v/>
      </c>
    </row>
    <row r="197">
      <c r="B197" s="11">
        <f>IF($A197="","",IFERROR(IF(INDEX(Community_Register!$B$2:$B$402,MATCH($A197,Community_Register!$A$2:$A$402,0))="","",INDEX(Community_Register!$B$2:$B$402,MATCH($A197,Community_Register!$A$2:$A$402,0))),""))</f>
        <v/>
      </c>
      <c r="D197" s="11">
        <f>IF(OR($C197="",NOT(ISNUMBER($C197))),"",FLOOR($C197,10))</f>
        <v/>
      </c>
      <c r="I197" s="11">
        <f>IF(OR($G197="",$H197="",NOT(ISNUMBER($G197)),NOT(ISNUMBER($H197))),"",$H197-$G197)</f>
        <v/>
      </c>
    </row>
    <row r="198">
      <c r="B198" s="11">
        <f>IF($A198="","",IFERROR(IF(INDEX(Community_Register!$B$2:$B$402,MATCH($A198,Community_Register!$A$2:$A$402,0))="","",INDEX(Community_Register!$B$2:$B$402,MATCH($A198,Community_Register!$A$2:$A$402,0))),""))</f>
        <v/>
      </c>
      <c r="D198" s="11">
        <f>IF(OR($C198="",NOT(ISNUMBER($C198))),"",FLOOR($C198,10))</f>
        <v/>
      </c>
      <c r="I198" s="11">
        <f>IF(OR($G198="",$H198="",NOT(ISNUMBER($G198)),NOT(ISNUMBER($H198))),"",$H198-$G198)</f>
        <v/>
      </c>
    </row>
    <row r="199">
      <c r="B199" s="11">
        <f>IF($A199="","",IFERROR(IF(INDEX(Community_Register!$B$2:$B$402,MATCH($A199,Community_Register!$A$2:$A$402,0))="","",INDEX(Community_Register!$B$2:$B$402,MATCH($A199,Community_Register!$A$2:$A$402,0))),""))</f>
        <v/>
      </c>
      <c r="D199" s="11">
        <f>IF(OR($C199="",NOT(ISNUMBER($C199))),"",FLOOR($C199,10))</f>
        <v/>
      </c>
      <c r="I199" s="11">
        <f>IF(OR($G199="",$H199="",NOT(ISNUMBER($G199)),NOT(ISNUMBER($H199))),"",$H199-$G199)</f>
        <v/>
      </c>
    </row>
    <row r="200">
      <c r="B200" s="11">
        <f>IF($A200="","",IFERROR(IF(INDEX(Community_Register!$B$2:$B$402,MATCH($A200,Community_Register!$A$2:$A$402,0))="","",INDEX(Community_Register!$B$2:$B$402,MATCH($A200,Community_Register!$A$2:$A$402,0))),""))</f>
        <v/>
      </c>
      <c r="D200" s="11">
        <f>IF(OR($C200="",NOT(ISNUMBER($C200))),"",FLOOR($C200,10))</f>
        <v/>
      </c>
      <c r="I200" s="11">
        <f>IF(OR($G200="",$H200="",NOT(ISNUMBER($G200)),NOT(ISNUMBER($H200))),"",$H200-$G200)</f>
        <v/>
      </c>
    </row>
    <row r="201">
      <c r="B201" s="11">
        <f>IF($A201="","",IFERROR(IF(INDEX(Community_Register!$B$2:$B$402,MATCH($A201,Community_Register!$A$2:$A$402,0))="","",INDEX(Community_Register!$B$2:$B$402,MATCH($A201,Community_Register!$A$2:$A$402,0))),""))</f>
        <v/>
      </c>
      <c r="D201" s="11">
        <f>IF(OR($C201="",NOT(ISNUMBER($C201))),"",FLOOR($C201,10))</f>
        <v/>
      </c>
      <c r="I201" s="11">
        <f>IF(OR($G201="",$H201="",NOT(ISNUMBER($G201)),NOT(ISNUMBER($H201))),"",$H201-$G201)</f>
        <v/>
      </c>
    </row>
    <row r="202">
      <c r="B202" s="11">
        <f>IF($A202="","",IFERROR(IF(INDEX(Community_Register!$B$2:$B$402,MATCH($A202,Community_Register!$A$2:$A$402,0))="","",INDEX(Community_Register!$B$2:$B$402,MATCH($A202,Community_Register!$A$2:$A$402,0))),""))</f>
        <v/>
      </c>
      <c r="D202" s="11">
        <f>IF(OR($C202="",NOT(ISNUMBER($C202))),"",FLOOR($C202,10))</f>
        <v/>
      </c>
      <c r="I202" s="11">
        <f>IF(OR($G202="",$H202="",NOT(ISNUMBER($G202)),NOT(ISNUMBER($H202))),"",$H202-$G202)</f>
        <v/>
      </c>
    </row>
    <row r="203">
      <c r="B203" s="11">
        <f>IF($A203="","",IFERROR(IF(INDEX(Community_Register!$B$2:$B$402,MATCH($A203,Community_Register!$A$2:$A$402,0))="","",INDEX(Community_Register!$B$2:$B$402,MATCH($A203,Community_Register!$A$2:$A$402,0))),""))</f>
        <v/>
      </c>
      <c r="D203" s="11">
        <f>IF(OR($C203="",NOT(ISNUMBER($C203))),"",FLOOR($C203,10))</f>
        <v/>
      </c>
      <c r="I203" s="11">
        <f>IF(OR($G203="",$H203="",NOT(ISNUMBER($G203)),NOT(ISNUMBER($H203))),"",$H203-$G203)</f>
        <v/>
      </c>
    </row>
    <row r="204">
      <c r="B204" s="11">
        <f>IF($A204="","",IFERROR(IF(INDEX(Community_Register!$B$2:$B$402,MATCH($A204,Community_Register!$A$2:$A$402,0))="","",INDEX(Community_Register!$B$2:$B$402,MATCH($A204,Community_Register!$A$2:$A$402,0))),""))</f>
        <v/>
      </c>
      <c r="D204" s="11">
        <f>IF(OR($C204="",NOT(ISNUMBER($C204))),"",FLOOR($C204,10))</f>
        <v/>
      </c>
      <c r="I204" s="11">
        <f>IF(OR($G204="",$H204="",NOT(ISNUMBER($G204)),NOT(ISNUMBER($H204))),"",$H204-$G204)</f>
        <v/>
      </c>
    </row>
    <row r="205">
      <c r="B205" s="11">
        <f>IF($A205="","",IFERROR(IF(INDEX(Community_Register!$B$2:$B$402,MATCH($A205,Community_Register!$A$2:$A$402,0))="","",INDEX(Community_Register!$B$2:$B$402,MATCH($A205,Community_Register!$A$2:$A$402,0))),""))</f>
        <v/>
      </c>
      <c r="D205" s="11">
        <f>IF(OR($C205="",NOT(ISNUMBER($C205))),"",FLOOR($C205,10))</f>
        <v/>
      </c>
      <c r="I205" s="11">
        <f>IF(OR($G205="",$H205="",NOT(ISNUMBER($G205)),NOT(ISNUMBER($H205))),"",$H205-$G205)</f>
        <v/>
      </c>
    </row>
    <row r="206">
      <c r="B206" s="11">
        <f>IF($A206="","",IFERROR(IF(INDEX(Community_Register!$B$2:$B$402,MATCH($A206,Community_Register!$A$2:$A$402,0))="","",INDEX(Community_Register!$B$2:$B$402,MATCH($A206,Community_Register!$A$2:$A$402,0))),""))</f>
        <v/>
      </c>
      <c r="D206" s="11">
        <f>IF(OR($C206="",NOT(ISNUMBER($C206))),"",FLOOR($C206,10))</f>
        <v/>
      </c>
      <c r="I206" s="11">
        <f>IF(OR($G206="",$H206="",NOT(ISNUMBER($G206)),NOT(ISNUMBER($H206))),"",$H206-$G206)</f>
        <v/>
      </c>
    </row>
    <row r="207">
      <c r="B207" s="11">
        <f>IF($A207="","",IFERROR(IF(INDEX(Community_Register!$B$2:$B$402,MATCH($A207,Community_Register!$A$2:$A$402,0))="","",INDEX(Community_Register!$B$2:$B$402,MATCH($A207,Community_Register!$A$2:$A$402,0))),""))</f>
        <v/>
      </c>
      <c r="D207" s="11">
        <f>IF(OR($C207="",NOT(ISNUMBER($C207))),"",FLOOR($C207,10))</f>
        <v/>
      </c>
      <c r="I207" s="11">
        <f>IF(OR($G207="",$H207="",NOT(ISNUMBER($G207)),NOT(ISNUMBER($H207))),"",$H207-$G207)</f>
        <v/>
      </c>
    </row>
    <row r="208">
      <c r="B208" s="11">
        <f>IF($A208="","",IFERROR(IF(INDEX(Community_Register!$B$2:$B$402,MATCH($A208,Community_Register!$A$2:$A$402,0))="","",INDEX(Community_Register!$B$2:$B$402,MATCH($A208,Community_Register!$A$2:$A$402,0))),""))</f>
        <v/>
      </c>
      <c r="D208" s="11">
        <f>IF(OR($C208="",NOT(ISNUMBER($C208))),"",FLOOR($C208,10))</f>
        <v/>
      </c>
      <c r="I208" s="11">
        <f>IF(OR($G208="",$H208="",NOT(ISNUMBER($G208)),NOT(ISNUMBER($H208))),"",$H208-$G208)</f>
        <v/>
      </c>
    </row>
    <row r="209">
      <c r="B209" s="11">
        <f>IF($A209="","",IFERROR(IF(INDEX(Community_Register!$B$2:$B$402,MATCH($A209,Community_Register!$A$2:$A$402,0))="","",INDEX(Community_Register!$B$2:$B$402,MATCH($A209,Community_Register!$A$2:$A$402,0))),""))</f>
        <v/>
      </c>
      <c r="D209" s="11">
        <f>IF(OR($C209="",NOT(ISNUMBER($C209))),"",FLOOR($C209,10))</f>
        <v/>
      </c>
      <c r="I209" s="11">
        <f>IF(OR($G209="",$H209="",NOT(ISNUMBER($G209)),NOT(ISNUMBER($H209))),"",$H209-$G209)</f>
        <v/>
      </c>
    </row>
    <row r="210">
      <c r="B210" s="11">
        <f>IF($A210="","",IFERROR(IF(INDEX(Community_Register!$B$2:$B$402,MATCH($A210,Community_Register!$A$2:$A$402,0))="","",INDEX(Community_Register!$B$2:$B$402,MATCH($A210,Community_Register!$A$2:$A$402,0))),""))</f>
        <v/>
      </c>
      <c r="D210" s="11">
        <f>IF(OR($C210="",NOT(ISNUMBER($C210))),"",FLOOR($C210,10))</f>
        <v/>
      </c>
      <c r="I210" s="11">
        <f>IF(OR($G210="",$H210="",NOT(ISNUMBER($G210)),NOT(ISNUMBER($H210))),"",$H210-$G210)</f>
        <v/>
      </c>
    </row>
    <row r="211">
      <c r="B211" s="11">
        <f>IF($A211="","",IFERROR(IF(INDEX(Community_Register!$B$2:$B$402,MATCH($A211,Community_Register!$A$2:$A$402,0))="","",INDEX(Community_Register!$B$2:$B$402,MATCH($A211,Community_Register!$A$2:$A$402,0))),""))</f>
        <v/>
      </c>
      <c r="D211" s="11">
        <f>IF(OR($C211="",NOT(ISNUMBER($C211))),"",FLOOR($C211,10))</f>
        <v/>
      </c>
      <c r="I211" s="11">
        <f>IF(OR($G211="",$H211="",NOT(ISNUMBER($G211)),NOT(ISNUMBER($H211))),"",$H211-$G211)</f>
        <v/>
      </c>
    </row>
    <row r="212">
      <c r="B212" s="11">
        <f>IF($A212="","",IFERROR(IF(INDEX(Community_Register!$B$2:$B$402,MATCH($A212,Community_Register!$A$2:$A$402,0))="","",INDEX(Community_Register!$B$2:$B$402,MATCH($A212,Community_Register!$A$2:$A$402,0))),""))</f>
        <v/>
      </c>
      <c r="D212" s="11">
        <f>IF(OR($C212="",NOT(ISNUMBER($C212))),"",FLOOR($C212,10))</f>
        <v/>
      </c>
      <c r="I212" s="11">
        <f>IF(OR($G212="",$H212="",NOT(ISNUMBER($G212)),NOT(ISNUMBER($H212))),"",$H212-$G212)</f>
        <v/>
      </c>
    </row>
    <row r="213">
      <c r="B213" s="11">
        <f>IF($A213="","",IFERROR(IF(INDEX(Community_Register!$B$2:$B$402,MATCH($A213,Community_Register!$A$2:$A$402,0))="","",INDEX(Community_Register!$B$2:$B$402,MATCH($A213,Community_Register!$A$2:$A$402,0))),""))</f>
        <v/>
      </c>
      <c r="D213" s="11">
        <f>IF(OR($C213="",NOT(ISNUMBER($C213))),"",FLOOR($C213,10))</f>
        <v/>
      </c>
      <c r="I213" s="11">
        <f>IF(OR($G213="",$H213="",NOT(ISNUMBER($G213)),NOT(ISNUMBER($H213))),"",$H213-$G213)</f>
        <v/>
      </c>
    </row>
    <row r="214">
      <c r="B214" s="11">
        <f>IF($A214="","",IFERROR(IF(INDEX(Community_Register!$B$2:$B$402,MATCH($A214,Community_Register!$A$2:$A$402,0))="","",INDEX(Community_Register!$B$2:$B$402,MATCH($A214,Community_Register!$A$2:$A$402,0))),""))</f>
        <v/>
      </c>
      <c r="D214" s="11">
        <f>IF(OR($C214="",NOT(ISNUMBER($C214))),"",FLOOR($C214,10))</f>
        <v/>
      </c>
      <c r="I214" s="11">
        <f>IF(OR($G214="",$H214="",NOT(ISNUMBER($G214)),NOT(ISNUMBER($H214))),"",$H214-$G214)</f>
        <v/>
      </c>
    </row>
    <row r="215">
      <c r="B215" s="11">
        <f>IF($A215="","",IFERROR(IF(INDEX(Community_Register!$B$2:$B$402,MATCH($A215,Community_Register!$A$2:$A$402,0))="","",INDEX(Community_Register!$B$2:$B$402,MATCH($A215,Community_Register!$A$2:$A$402,0))),""))</f>
        <v/>
      </c>
      <c r="D215" s="11">
        <f>IF(OR($C215="",NOT(ISNUMBER($C215))),"",FLOOR($C215,10))</f>
        <v/>
      </c>
      <c r="I215" s="11">
        <f>IF(OR($G215="",$H215="",NOT(ISNUMBER($G215)),NOT(ISNUMBER($H215))),"",$H215-$G215)</f>
        <v/>
      </c>
    </row>
    <row r="216">
      <c r="B216" s="11">
        <f>IF($A216="","",IFERROR(IF(INDEX(Community_Register!$B$2:$B$402,MATCH($A216,Community_Register!$A$2:$A$402,0))="","",INDEX(Community_Register!$B$2:$B$402,MATCH($A216,Community_Register!$A$2:$A$402,0))),""))</f>
        <v/>
      </c>
      <c r="D216" s="11">
        <f>IF(OR($C216="",NOT(ISNUMBER($C216))),"",FLOOR($C216,10))</f>
        <v/>
      </c>
      <c r="I216" s="11">
        <f>IF(OR($G216="",$H216="",NOT(ISNUMBER($G216)),NOT(ISNUMBER($H216))),"",$H216-$G216)</f>
        <v/>
      </c>
    </row>
    <row r="217">
      <c r="B217" s="11">
        <f>IF($A217="","",IFERROR(IF(INDEX(Community_Register!$B$2:$B$402,MATCH($A217,Community_Register!$A$2:$A$402,0))="","",INDEX(Community_Register!$B$2:$B$402,MATCH($A217,Community_Register!$A$2:$A$402,0))),""))</f>
        <v/>
      </c>
      <c r="D217" s="11">
        <f>IF(OR($C217="",NOT(ISNUMBER($C217))),"",FLOOR($C217,10))</f>
        <v/>
      </c>
      <c r="I217" s="11">
        <f>IF(OR($G217="",$H217="",NOT(ISNUMBER($G217)),NOT(ISNUMBER($H217))),"",$H217-$G217)</f>
        <v/>
      </c>
    </row>
    <row r="218">
      <c r="B218" s="11">
        <f>IF($A218="","",IFERROR(IF(INDEX(Community_Register!$B$2:$B$402,MATCH($A218,Community_Register!$A$2:$A$402,0))="","",INDEX(Community_Register!$B$2:$B$402,MATCH($A218,Community_Register!$A$2:$A$402,0))),""))</f>
        <v/>
      </c>
      <c r="D218" s="11">
        <f>IF(OR($C218="",NOT(ISNUMBER($C218))),"",FLOOR($C218,10))</f>
        <v/>
      </c>
      <c r="I218" s="11">
        <f>IF(OR($G218="",$H218="",NOT(ISNUMBER($G218)),NOT(ISNUMBER($H218))),"",$H218-$G218)</f>
        <v/>
      </c>
    </row>
    <row r="219">
      <c r="B219" s="11">
        <f>IF($A219="","",IFERROR(IF(INDEX(Community_Register!$B$2:$B$402,MATCH($A219,Community_Register!$A$2:$A$402,0))="","",INDEX(Community_Register!$B$2:$B$402,MATCH($A219,Community_Register!$A$2:$A$402,0))),""))</f>
        <v/>
      </c>
      <c r="D219" s="11">
        <f>IF(OR($C219="",NOT(ISNUMBER($C219))),"",FLOOR($C219,10))</f>
        <v/>
      </c>
      <c r="I219" s="11">
        <f>IF(OR($G219="",$H219="",NOT(ISNUMBER($G219)),NOT(ISNUMBER($H219))),"",$H219-$G219)</f>
        <v/>
      </c>
    </row>
    <row r="220">
      <c r="B220" s="11">
        <f>IF($A220="","",IFERROR(IF(INDEX(Community_Register!$B$2:$B$402,MATCH($A220,Community_Register!$A$2:$A$402,0))="","",INDEX(Community_Register!$B$2:$B$402,MATCH($A220,Community_Register!$A$2:$A$402,0))),""))</f>
        <v/>
      </c>
      <c r="D220" s="11">
        <f>IF(OR($C220="",NOT(ISNUMBER($C220))),"",FLOOR($C220,10))</f>
        <v/>
      </c>
      <c r="I220" s="11">
        <f>IF(OR($G220="",$H220="",NOT(ISNUMBER($G220)),NOT(ISNUMBER($H220))),"",$H220-$G220)</f>
        <v/>
      </c>
    </row>
    <row r="221">
      <c r="B221" s="11">
        <f>IF($A221="","",IFERROR(IF(INDEX(Community_Register!$B$2:$B$402,MATCH($A221,Community_Register!$A$2:$A$402,0))="","",INDEX(Community_Register!$B$2:$B$402,MATCH($A221,Community_Register!$A$2:$A$402,0))),""))</f>
        <v/>
      </c>
      <c r="D221" s="11">
        <f>IF(OR($C221="",NOT(ISNUMBER($C221))),"",FLOOR($C221,10))</f>
        <v/>
      </c>
      <c r="I221" s="11">
        <f>IF(OR($G221="",$H221="",NOT(ISNUMBER($G221)),NOT(ISNUMBER($H221))),"",$H221-$G221)</f>
        <v/>
      </c>
    </row>
    <row r="222">
      <c r="B222" s="11">
        <f>IF($A222="","",IFERROR(IF(INDEX(Community_Register!$B$2:$B$402,MATCH($A222,Community_Register!$A$2:$A$402,0))="","",INDEX(Community_Register!$B$2:$B$402,MATCH($A222,Community_Register!$A$2:$A$402,0))),""))</f>
        <v/>
      </c>
      <c r="D222" s="11">
        <f>IF(OR($C222="",NOT(ISNUMBER($C222))),"",FLOOR($C222,10))</f>
        <v/>
      </c>
      <c r="I222" s="11">
        <f>IF(OR($G222="",$H222="",NOT(ISNUMBER($G222)),NOT(ISNUMBER($H222))),"",$H222-$G222)</f>
        <v/>
      </c>
    </row>
    <row r="223">
      <c r="B223" s="11">
        <f>IF($A223="","",IFERROR(IF(INDEX(Community_Register!$B$2:$B$402,MATCH($A223,Community_Register!$A$2:$A$402,0))="","",INDEX(Community_Register!$B$2:$B$402,MATCH($A223,Community_Register!$A$2:$A$402,0))),""))</f>
        <v/>
      </c>
      <c r="D223" s="11">
        <f>IF(OR($C223="",NOT(ISNUMBER($C223))),"",FLOOR($C223,10))</f>
        <v/>
      </c>
      <c r="I223" s="11">
        <f>IF(OR($G223="",$H223="",NOT(ISNUMBER($G223)),NOT(ISNUMBER($H223))),"",$H223-$G223)</f>
        <v/>
      </c>
    </row>
    <row r="224">
      <c r="B224" s="11">
        <f>IF($A224="","",IFERROR(IF(INDEX(Community_Register!$B$2:$B$402,MATCH($A224,Community_Register!$A$2:$A$402,0))="","",INDEX(Community_Register!$B$2:$B$402,MATCH($A224,Community_Register!$A$2:$A$402,0))),""))</f>
        <v/>
      </c>
      <c r="D224" s="11">
        <f>IF(OR($C224="",NOT(ISNUMBER($C224))),"",FLOOR($C224,10))</f>
        <v/>
      </c>
      <c r="I224" s="11">
        <f>IF(OR($G224="",$H224="",NOT(ISNUMBER($G224)),NOT(ISNUMBER($H224))),"",$H224-$G224)</f>
        <v/>
      </c>
    </row>
    <row r="225">
      <c r="B225" s="11">
        <f>IF($A225="","",IFERROR(IF(INDEX(Community_Register!$B$2:$B$402,MATCH($A225,Community_Register!$A$2:$A$402,0))="","",INDEX(Community_Register!$B$2:$B$402,MATCH($A225,Community_Register!$A$2:$A$402,0))),""))</f>
        <v/>
      </c>
      <c r="D225" s="11">
        <f>IF(OR($C225="",NOT(ISNUMBER($C225))),"",FLOOR($C225,10))</f>
        <v/>
      </c>
      <c r="I225" s="11">
        <f>IF(OR($G225="",$H225="",NOT(ISNUMBER($G225)),NOT(ISNUMBER($H225))),"",$H225-$G225)</f>
        <v/>
      </c>
    </row>
    <row r="226">
      <c r="B226" s="11">
        <f>IF($A226="","",IFERROR(IF(INDEX(Community_Register!$B$2:$B$402,MATCH($A226,Community_Register!$A$2:$A$402,0))="","",INDEX(Community_Register!$B$2:$B$402,MATCH($A226,Community_Register!$A$2:$A$402,0))),""))</f>
        <v/>
      </c>
      <c r="D226" s="11">
        <f>IF(OR($C226="",NOT(ISNUMBER($C226))),"",FLOOR($C226,10))</f>
        <v/>
      </c>
      <c r="I226" s="11">
        <f>IF(OR($G226="",$H226="",NOT(ISNUMBER($G226)),NOT(ISNUMBER($H226))),"",$H226-$G226)</f>
        <v/>
      </c>
    </row>
    <row r="227">
      <c r="B227" s="11">
        <f>IF($A227="","",IFERROR(IF(INDEX(Community_Register!$B$2:$B$402,MATCH($A227,Community_Register!$A$2:$A$402,0))="","",INDEX(Community_Register!$B$2:$B$402,MATCH($A227,Community_Register!$A$2:$A$402,0))),""))</f>
        <v/>
      </c>
      <c r="D227" s="11">
        <f>IF(OR($C227="",NOT(ISNUMBER($C227))),"",FLOOR($C227,10))</f>
        <v/>
      </c>
      <c r="I227" s="11">
        <f>IF(OR($G227="",$H227="",NOT(ISNUMBER($G227)),NOT(ISNUMBER($H227))),"",$H227-$G227)</f>
        <v/>
      </c>
    </row>
    <row r="228">
      <c r="B228" s="11">
        <f>IF($A228="","",IFERROR(IF(INDEX(Community_Register!$B$2:$B$402,MATCH($A228,Community_Register!$A$2:$A$402,0))="","",INDEX(Community_Register!$B$2:$B$402,MATCH($A228,Community_Register!$A$2:$A$402,0))),""))</f>
        <v/>
      </c>
      <c r="D228" s="11">
        <f>IF(OR($C228="",NOT(ISNUMBER($C228))),"",FLOOR($C228,10))</f>
        <v/>
      </c>
      <c r="I228" s="11">
        <f>IF(OR($G228="",$H228="",NOT(ISNUMBER($G228)),NOT(ISNUMBER($H228))),"",$H228-$G228)</f>
        <v/>
      </c>
    </row>
    <row r="229">
      <c r="B229" s="11">
        <f>IF($A229="","",IFERROR(IF(INDEX(Community_Register!$B$2:$B$402,MATCH($A229,Community_Register!$A$2:$A$402,0))="","",INDEX(Community_Register!$B$2:$B$402,MATCH($A229,Community_Register!$A$2:$A$402,0))),""))</f>
        <v/>
      </c>
      <c r="D229" s="11">
        <f>IF(OR($C229="",NOT(ISNUMBER($C229))),"",FLOOR($C229,10))</f>
        <v/>
      </c>
      <c r="I229" s="11">
        <f>IF(OR($G229="",$H229="",NOT(ISNUMBER($G229)),NOT(ISNUMBER($H229))),"",$H229-$G229)</f>
        <v/>
      </c>
    </row>
    <row r="230">
      <c r="B230" s="11">
        <f>IF($A230="","",IFERROR(IF(INDEX(Community_Register!$B$2:$B$402,MATCH($A230,Community_Register!$A$2:$A$402,0))="","",INDEX(Community_Register!$B$2:$B$402,MATCH($A230,Community_Register!$A$2:$A$402,0))),""))</f>
        <v/>
      </c>
      <c r="D230" s="11">
        <f>IF(OR($C230="",NOT(ISNUMBER($C230))),"",FLOOR($C230,10))</f>
        <v/>
      </c>
      <c r="I230" s="11">
        <f>IF(OR($G230="",$H230="",NOT(ISNUMBER($G230)),NOT(ISNUMBER($H230))),"",$H230-$G230)</f>
        <v/>
      </c>
    </row>
    <row r="231">
      <c r="B231" s="11">
        <f>IF($A231="","",IFERROR(IF(INDEX(Community_Register!$B$2:$B$402,MATCH($A231,Community_Register!$A$2:$A$402,0))="","",INDEX(Community_Register!$B$2:$B$402,MATCH($A231,Community_Register!$A$2:$A$402,0))),""))</f>
        <v/>
      </c>
      <c r="D231" s="11">
        <f>IF(OR($C231="",NOT(ISNUMBER($C231))),"",FLOOR($C231,10))</f>
        <v/>
      </c>
      <c r="I231" s="11">
        <f>IF(OR($G231="",$H231="",NOT(ISNUMBER($G231)),NOT(ISNUMBER($H231))),"",$H231-$G231)</f>
        <v/>
      </c>
    </row>
    <row r="232">
      <c r="B232" s="11">
        <f>IF($A232="","",IFERROR(IF(INDEX(Community_Register!$B$2:$B$402,MATCH($A232,Community_Register!$A$2:$A$402,0))="","",INDEX(Community_Register!$B$2:$B$402,MATCH($A232,Community_Register!$A$2:$A$402,0))),""))</f>
        <v/>
      </c>
      <c r="D232" s="11">
        <f>IF(OR($C232="",NOT(ISNUMBER($C232))),"",FLOOR($C232,10))</f>
        <v/>
      </c>
      <c r="I232" s="11">
        <f>IF(OR($G232="",$H232="",NOT(ISNUMBER($G232)),NOT(ISNUMBER($H232))),"",$H232-$G232)</f>
        <v/>
      </c>
    </row>
    <row r="233">
      <c r="B233" s="11">
        <f>IF($A233="","",IFERROR(IF(INDEX(Community_Register!$B$2:$B$402,MATCH($A233,Community_Register!$A$2:$A$402,0))="","",INDEX(Community_Register!$B$2:$B$402,MATCH($A233,Community_Register!$A$2:$A$402,0))),""))</f>
        <v/>
      </c>
      <c r="D233" s="11">
        <f>IF(OR($C233="",NOT(ISNUMBER($C233))),"",FLOOR($C233,10))</f>
        <v/>
      </c>
      <c r="I233" s="11">
        <f>IF(OR($G233="",$H233="",NOT(ISNUMBER($G233)),NOT(ISNUMBER($H233))),"",$H233-$G233)</f>
        <v/>
      </c>
    </row>
    <row r="234">
      <c r="B234" s="11">
        <f>IF($A234="","",IFERROR(IF(INDEX(Community_Register!$B$2:$B$402,MATCH($A234,Community_Register!$A$2:$A$402,0))="","",INDEX(Community_Register!$B$2:$B$402,MATCH($A234,Community_Register!$A$2:$A$402,0))),""))</f>
        <v/>
      </c>
      <c r="D234" s="11">
        <f>IF(OR($C234="",NOT(ISNUMBER($C234))),"",FLOOR($C234,10))</f>
        <v/>
      </c>
      <c r="I234" s="11">
        <f>IF(OR($G234="",$H234="",NOT(ISNUMBER($G234)),NOT(ISNUMBER($H234))),"",$H234-$G234)</f>
        <v/>
      </c>
    </row>
    <row r="235">
      <c r="B235" s="11">
        <f>IF($A235="","",IFERROR(IF(INDEX(Community_Register!$B$2:$B$402,MATCH($A235,Community_Register!$A$2:$A$402,0))="","",INDEX(Community_Register!$B$2:$B$402,MATCH($A235,Community_Register!$A$2:$A$402,0))),""))</f>
        <v/>
      </c>
      <c r="D235" s="11">
        <f>IF(OR($C235="",NOT(ISNUMBER($C235))),"",FLOOR($C235,10))</f>
        <v/>
      </c>
      <c r="I235" s="11">
        <f>IF(OR($G235="",$H235="",NOT(ISNUMBER($G235)),NOT(ISNUMBER($H235))),"",$H235-$G235)</f>
        <v/>
      </c>
    </row>
    <row r="236">
      <c r="B236" s="11">
        <f>IF($A236="","",IFERROR(IF(INDEX(Community_Register!$B$2:$B$402,MATCH($A236,Community_Register!$A$2:$A$402,0))="","",INDEX(Community_Register!$B$2:$B$402,MATCH($A236,Community_Register!$A$2:$A$402,0))),""))</f>
        <v/>
      </c>
      <c r="D236" s="11">
        <f>IF(OR($C236="",NOT(ISNUMBER($C236))),"",FLOOR($C236,10))</f>
        <v/>
      </c>
      <c r="I236" s="11">
        <f>IF(OR($G236="",$H236="",NOT(ISNUMBER($G236)),NOT(ISNUMBER($H236))),"",$H236-$G236)</f>
        <v/>
      </c>
    </row>
    <row r="237">
      <c r="B237" s="11">
        <f>IF($A237="","",IFERROR(IF(INDEX(Community_Register!$B$2:$B$402,MATCH($A237,Community_Register!$A$2:$A$402,0))="","",INDEX(Community_Register!$B$2:$B$402,MATCH($A237,Community_Register!$A$2:$A$402,0))),""))</f>
        <v/>
      </c>
      <c r="D237" s="11">
        <f>IF(OR($C237="",NOT(ISNUMBER($C237))),"",FLOOR($C237,10))</f>
        <v/>
      </c>
      <c r="I237" s="11">
        <f>IF(OR($G237="",$H237="",NOT(ISNUMBER($G237)),NOT(ISNUMBER($H237))),"",$H237-$G237)</f>
        <v/>
      </c>
    </row>
    <row r="238">
      <c r="B238" s="11">
        <f>IF($A238="","",IFERROR(IF(INDEX(Community_Register!$B$2:$B$402,MATCH($A238,Community_Register!$A$2:$A$402,0))="","",INDEX(Community_Register!$B$2:$B$402,MATCH($A238,Community_Register!$A$2:$A$402,0))),""))</f>
        <v/>
      </c>
      <c r="D238" s="11">
        <f>IF(OR($C238="",NOT(ISNUMBER($C238))),"",FLOOR($C238,10))</f>
        <v/>
      </c>
      <c r="I238" s="11">
        <f>IF(OR($G238="",$H238="",NOT(ISNUMBER($G238)),NOT(ISNUMBER($H238))),"",$H238-$G238)</f>
        <v/>
      </c>
    </row>
    <row r="239">
      <c r="B239" s="11">
        <f>IF($A239="","",IFERROR(IF(INDEX(Community_Register!$B$2:$B$402,MATCH($A239,Community_Register!$A$2:$A$402,0))="","",INDEX(Community_Register!$B$2:$B$402,MATCH($A239,Community_Register!$A$2:$A$402,0))),""))</f>
        <v/>
      </c>
      <c r="D239" s="11">
        <f>IF(OR($C239="",NOT(ISNUMBER($C239))),"",FLOOR($C239,10))</f>
        <v/>
      </c>
      <c r="I239" s="11">
        <f>IF(OR($G239="",$H239="",NOT(ISNUMBER($G239)),NOT(ISNUMBER($H239))),"",$H239-$G239)</f>
        <v/>
      </c>
    </row>
    <row r="240">
      <c r="B240" s="11">
        <f>IF($A240="","",IFERROR(IF(INDEX(Community_Register!$B$2:$B$402,MATCH($A240,Community_Register!$A$2:$A$402,0))="","",INDEX(Community_Register!$B$2:$B$402,MATCH($A240,Community_Register!$A$2:$A$402,0))),""))</f>
        <v/>
      </c>
      <c r="D240" s="11">
        <f>IF(OR($C240="",NOT(ISNUMBER($C240))),"",FLOOR($C240,10))</f>
        <v/>
      </c>
      <c r="I240" s="11">
        <f>IF(OR($G240="",$H240="",NOT(ISNUMBER($G240)),NOT(ISNUMBER($H240))),"",$H240-$G240)</f>
        <v/>
      </c>
    </row>
    <row r="241">
      <c r="B241" s="11">
        <f>IF($A241="","",IFERROR(IF(INDEX(Community_Register!$B$2:$B$402,MATCH($A241,Community_Register!$A$2:$A$402,0))="","",INDEX(Community_Register!$B$2:$B$402,MATCH($A241,Community_Register!$A$2:$A$402,0))),""))</f>
        <v/>
      </c>
      <c r="D241" s="11">
        <f>IF(OR($C241="",NOT(ISNUMBER($C241))),"",FLOOR($C241,10))</f>
        <v/>
      </c>
      <c r="I241" s="11">
        <f>IF(OR($G241="",$H241="",NOT(ISNUMBER($G241)),NOT(ISNUMBER($H241))),"",$H241-$G241)</f>
        <v/>
      </c>
    </row>
    <row r="242">
      <c r="B242" s="11">
        <f>IF($A242="","",IFERROR(IF(INDEX(Community_Register!$B$2:$B$402,MATCH($A242,Community_Register!$A$2:$A$402,0))="","",INDEX(Community_Register!$B$2:$B$402,MATCH($A242,Community_Register!$A$2:$A$402,0))),""))</f>
        <v/>
      </c>
      <c r="D242" s="11">
        <f>IF(OR($C242="",NOT(ISNUMBER($C242))),"",FLOOR($C242,10))</f>
        <v/>
      </c>
      <c r="I242" s="11">
        <f>IF(OR($G242="",$H242="",NOT(ISNUMBER($G242)),NOT(ISNUMBER($H242))),"",$H242-$G242)</f>
        <v/>
      </c>
    </row>
    <row r="243">
      <c r="B243" s="11">
        <f>IF($A243="","",IFERROR(IF(INDEX(Community_Register!$B$2:$B$402,MATCH($A243,Community_Register!$A$2:$A$402,0))="","",INDEX(Community_Register!$B$2:$B$402,MATCH($A243,Community_Register!$A$2:$A$402,0))),""))</f>
        <v/>
      </c>
      <c r="D243" s="11">
        <f>IF(OR($C243="",NOT(ISNUMBER($C243))),"",FLOOR($C243,10))</f>
        <v/>
      </c>
      <c r="I243" s="11">
        <f>IF(OR($G243="",$H243="",NOT(ISNUMBER($G243)),NOT(ISNUMBER($H243))),"",$H243-$G243)</f>
        <v/>
      </c>
    </row>
    <row r="244">
      <c r="B244" s="11">
        <f>IF($A244="","",IFERROR(IF(INDEX(Community_Register!$B$2:$B$402,MATCH($A244,Community_Register!$A$2:$A$402,0))="","",INDEX(Community_Register!$B$2:$B$402,MATCH($A244,Community_Register!$A$2:$A$402,0))),""))</f>
        <v/>
      </c>
      <c r="D244" s="11">
        <f>IF(OR($C244="",NOT(ISNUMBER($C244))),"",FLOOR($C244,10))</f>
        <v/>
      </c>
      <c r="I244" s="11">
        <f>IF(OR($G244="",$H244="",NOT(ISNUMBER($G244)),NOT(ISNUMBER($H244))),"",$H244-$G244)</f>
        <v/>
      </c>
    </row>
    <row r="245">
      <c r="B245" s="11">
        <f>IF($A245="","",IFERROR(IF(INDEX(Community_Register!$B$2:$B$402,MATCH($A245,Community_Register!$A$2:$A$402,0))="","",INDEX(Community_Register!$B$2:$B$402,MATCH($A245,Community_Register!$A$2:$A$402,0))),""))</f>
        <v/>
      </c>
      <c r="D245" s="11">
        <f>IF(OR($C245="",NOT(ISNUMBER($C245))),"",FLOOR($C245,10))</f>
        <v/>
      </c>
      <c r="I245" s="11">
        <f>IF(OR($G245="",$H245="",NOT(ISNUMBER($G245)),NOT(ISNUMBER($H245))),"",$H245-$G245)</f>
        <v/>
      </c>
    </row>
    <row r="246">
      <c r="B246" s="11">
        <f>IF($A246="","",IFERROR(IF(INDEX(Community_Register!$B$2:$B$402,MATCH($A246,Community_Register!$A$2:$A$402,0))="","",INDEX(Community_Register!$B$2:$B$402,MATCH($A246,Community_Register!$A$2:$A$402,0))),""))</f>
        <v/>
      </c>
      <c r="D246" s="11">
        <f>IF(OR($C246="",NOT(ISNUMBER($C246))),"",FLOOR($C246,10))</f>
        <v/>
      </c>
      <c r="I246" s="11">
        <f>IF(OR($G246="",$H246="",NOT(ISNUMBER($G246)),NOT(ISNUMBER($H246))),"",$H246-$G246)</f>
        <v/>
      </c>
    </row>
    <row r="247">
      <c r="B247" s="11">
        <f>IF($A247="","",IFERROR(IF(INDEX(Community_Register!$B$2:$B$402,MATCH($A247,Community_Register!$A$2:$A$402,0))="","",INDEX(Community_Register!$B$2:$B$402,MATCH($A247,Community_Register!$A$2:$A$402,0))),""))</f>
        <v/>
      </c>
      <c r="D247" s="11">
        <f>IF(OR($C247="",NOT(ISNUMBER($C247))),"",FLOOR($C247,10))</f>
        <v/>
      </c>
      <c r="I247" s="11">
        <f>IF(OR($G247="",$H247="",NOT(ISNUMBER($G247)),NOT(ISNUMBER($H247))),"",$H247-$G247)</f>
        <v/>
      </c>
    </row>
    <row r="248">
      <c r="B248" s="11">
        <f>IF($A248="","",IFERROR(IF(INDEX(Community_Register!$B$2:$B$402,MATCH($A248,Community_Register!$A$2:$A$402,0))="","",INDEX(Community_Register!$B$2:$B$402,MATCH($A248,Community_Register!$A$2:$A$402,0))),""))</f>
        <v/>
      </c>
      <c r="D248" s="11">
        <f>IF(OR($C248="",NOT(ISNUMBER($C248))),"",FLOOR($C248,10))</f>
        <v/>
      </c>
      <c r="I248" s="11">
        <f>IF(OR($G248="",$H248="",NOT(ISNUMBER($G248)),NOT(ISNUMBER($H248))),"",$H248-$G248)</f>
        <v/>
      </c>
    </row>
    <row r="249">
      <c r="B249" s="11">
        <f>IF($A249="","",IFERROR(IF(INDEX(Community_Register!$B$2:$B$402,MATCH($A249,Community_Register!$A$2:$A$402,0))="","",INDEX(Community_Register!$B$2:$B$402,MATCH($A249,Community_Register!$A$2:$A$402,0))),""))</f>
        <v/>
      </c>
      <c r="D249" s="11">
        <f>IF(OR($C249="",NOT(ISNUMBER($C249))),"",FLOOR($C249,10))</f>
        <v/>
      </c>
      <c r="I249" s="11">
        <f>IF(OR($G249="",$H249="",NOT(ISNUMBER($G249)),NOT(ISNUMBER($H249))),"",$H249-$G249)</f>
        <v/>
      </c>
    </row>
    <row r="250">
      <c r="B250" s="11">
        <f>IF($A250="","",IFERROR(IF(INDEX(Community_Register!$B$2:$B$402,MATCH($A250,Community_Register!$A$2:$A$402,0))="","",INDEX(Community_Register!$B$2:$B$402,MATCH($A250,Community_Register!$A$2:$A$402,0))),""))</f>
        <v/>
      </c>
      <c r="D250" s="11">
        <f>IF(OR($C250="",NOT(ISNUMBER($C250))),"",FLOOR($C250,10))</f>
        <v/>
      </c>
      <c r="I250" s="11">
        <f>IF(OR($G250="",$H250="",NOT(ISNUMBER($G250)),NOT(ISNUMBER($H250))),"",$H250-$G250)</f>
        <v/>
      </c>
    </row>
    <row r="251">
      <c r="B251" s="11">
        <f>IF($A251="","",IFERROR(IF(INDEX(Community_Register!$B$2:$B$402,MATCH($A251,Community_Register!$A$2:$A$402,0))="","",INDEX(Community_Register!$B$2:$B$402,MATCH($A251,Community_Register!$A$2:$A$402,0))),""))</f>
        <v/>
      </c>
      <c r="D251" s="11">
        <f>IF(OR($C251="",NOT(ISNUMBER($C251))),"",FLOOR($C251,10))</f>
        <v/>
      </c>
      <c r="I251" s="11">
        <f>IF(OR($G251="",$H251="",NOT(ISNUMBER($G251)),NOT(ISNUMBER($H251))),"",$H251-$G251)</f>
        <v/>
      </c>
    </row>
    <row r="252">
      <c r="B252" s="11">
        <f>IF($A252="","",IFERROR(IF(INDEX(Community_Register!$B$2:$B$402,MATCH($A252,Community_Register!$A$2:$A$402,0))="","",INDEX(Community_Register!$B$2:$B$402,MATCH($A252,Community_Register!$A$2:$A$402,0))),""))</f>
        <v/>
      </c>
      <c r="D252" s="11">
        <f>IF(OR($C252="",NOT(ISNUMBER($C252))),"",FLOOR($C252,10))</f>
        <v/>
      </c>
      <c r="I252" s="11">
        <f>IF(OR($G252="",$H252="",NOT(ISNUMBER($G252)),NOT(ISNUMBER($H252))),"",$H252-$G252)</f>
        <v/>
      </c>
    </row>
    <row r="253">
      <c r="B253" s="11">
        <f>IF($A253="","",IFERROR(IF(INDEX(Community_Register!$B$2:$B$402,MATCH($A253,Community_Register!$A$2:$A$402,0))="","",INDEX(Community_Register!$B$2:$B$402,MATCH($A253,Community_Register!$A$2:$A$402,0))),""))</f>
        <v/>
      </c>
      <c r="D253" s="11">
        <f>IF(OR($C253="",NOT(ISNUMBER($C253))),"",FLOOR($C253,10))</f>
        <v/>
      </c>
      <c r="I253" s="11">
        <f>IF(OR($G253="",$H253="",NOT(ISNUMBER($G253)),NOT(ISNUMBER($H253))),"",$H253-$G253)</f>
        <v/>
      </c>
    </row>
    <row r="254">
      <c r="B254" s="11">
        <f>IF($A254="","",IFERROR(IF(INDEX(Community_Register!$B$2:$B$402,MATCH($A254,Community_Register!$A$2:$A$402,0))="","",INDEX(Community_Register!$B$2:$B$402,MATCH($A254,Community_Register!$A$2:$A$402,0))),""))</f>
        <v/>
      </c>
      <c r="D254" s="11">
        <f>IF(OR($C254="",NOT(ISNUMBER($C254))),"",FLOOR($C254,10))</f>
        <v/>
      </c>
      <c r="I254" s="11">
        <f>IF(OR($G254="",$H254="",NOT(ISNUMBER($G254)),NOT(ISNUMBER($H254))),"",$H254-$G254)</f>
        <v/>
      </c>
    </row>
    <row r="255">
      <c r="B255" s="11">
        <f>IF($A255="","",IFERROR(IF(INDEX(Community_Register!$B$2:$B$402,MATCH($A255,Community_Register!$A$2:$A$402,0))="","",INDEX(Community_Register!$B$2:$B$402,MATCH($A255,Community_Register!$A$2:$A$402,0))),""))</f>
        <v/>
      </c>
      <c r="D255" s="11">
        <f>IF(OR($C255="",NOT(ISNUMBER($C255))),"",FLOOR($C255,10))</f>
        <v/>
      </c>
      <c r="I255" s="11">
        <f>IF(OR($G255="",$H255="",NOT(ISNUMBER($G255)),NOT(ISNUMBER($H255))),"",$H255-$G255)</f>
        <v/>
      </c>
    </row>
    <row r="256">
      <c r="B256" s="11">
        <f>IF($A256="","",IFERROR(IF(INDEX(Community_Register!$B$2:$B$402,MATCH($A256,Community_Register!$A$2:$A$402,0))="","",INDEX(Community_Register!$B$2:$B$402,MATCH($A256,Community_Register!$A$2:$A$402,0))),""))</f>
        <v/>
      </c>
      <c r="D256" s="11">
        <f>IF(OR($C256="",NOT(ISNUMBER($C256))),"",FLOOR($C256,10))</f>
        <v/>
      </c>
      <c r="I256" s="11">
        <f>IF(OR($G256="",$H256="",NOT(ISNUMBER($G256)),NOT(ISNUMBER($H256))),"",$H256-$G256)</f>
        <v/>
      </c>
    </row>
    <row r="257">
      <c r="B257" s="11">
        <f>IF($A257="","",IFERROR(IF(INDEX(Community_Register!$B$2:$B$402,MATCH($A257,Community_Register!$A$2:$A$402,0))="","",INDEX(Community_Register!$B$2:$B$402,MATCH($A257,Community_Register!$A$2:$A$402,0))),""))</f>
        <v/>
      </c>
      <c r="D257" s="11">
        <f>IF(OR($C257="",NOT(ISNUMBER($C257))),"",FLOOR($C257,10))</f>
        <v/>
      </c>
      <c r="I257" s="11">
        <f>IF(OR($G257="",$H257="",NOT(ISNUMBER($G257)),NOT(ISNUMBER($H257))),"",$H257-$G257)</f>
        <v/>
      </c>
    </row>
    <row r="258">
      <c r="B258" s="11">
        <f>IF($A258="","",IFERROR(IF(INDEX(Community_Register!$B$2:$B$402,MATCH($A258,Community_Register!$A$2:$A$402,0))="","",INDEX(Community_Register!$B$2:$B$402,MATCH($A258,Community_Register!$A$2:$A$402,0))),""))</f>
        <v/>
      </c>
      <c r="D258" s="11">
        <f>IF(OR($C258="",NOT(ISNUMBER($C258))),"",FLOOR($C258,10))</f>
        <v/>
      </c>
      <c r="I258" s="11">
        <f>IF(OR($G258="",$H258="",NOT(ISNUMBER($G258)),NOT(ISNUMBER($H258))),"",$H258-$G258)</f>
        <v/>
      </c>
    </row>
    <row r="259">
      <c r="B259" s="11">
        <f>IF($A259="","",IFERROR(IF(INDEX(Community_Register!$B$2:$B$402,MATCH($A259,Community_Register!$A$2:$A$402,0))="","",INDEX(Community_Register!$B$2:$B$402,MATCH($A259,Community_Register!$A$2:$A$402,0))),""))</f>
        <v/>
      </c>
      <c r="D259" s="11">
        <f>IF(OR($C259="",NOT(ISNUMBER($C259))),"",FLOOR($C259,10))</f>
        <v/>
      </c>
      <c r="I259" s="11">
        <f>IF(OR($G259="",$H259="",NOT(ISNUMBER($G259)),NOT(ISNUMBER($H259))),"",$H259-$G259)</f>
        <v/>
      </c>
    </row>
    <row r="260">
      <c r="B260" s="11">
        <f>IF($A260="","",IFERROR(IF(INDEX(Community_Register!$B$2:$B$402,MATCH($A260,Community_Register!$A$2:$A$402,0))="","",INDEX(Community_Register!$B$2:$B$402,MATCH($A260,Community_Register!$A$2:$A$402,0))),""))</f>
        <v/>
      </c>
      <c r="D260" s="11">
        <f>IF(OR($C260="",NOT(ISNUMBER($C260))),"",FLOOR($C260,10))</f>
        <v/>
      </c>
      <c r="I260" s="11">
        <f>IF(OR($G260="",$H260="",NOT(ISNUMBER($G260)),NOT(ISNUMBER($H260))),"",$H260-$G260)</f>
        <v/>
      </c>
    </row>
    <row r="261">
      <c r="B261" s="11">
        <f>IF($A261="","",IFERROR(IF(INDEX(Community_Register!$B$2:$B$402,MATCH($A261,Community_Register!$A$2:$A$402,0))="","",INDEX(Community_Register!$B$2:$B$402,MATCH($A261,Community_Register!$A$2:$A$402,0))),""))</f>
        <v/>
      </c>
      <c r="D261" s="11">
        <f>IF(OR($C261="",NOT(ISNUMBER($C261))),"",FLOOR($C261,10))</f>
        <v/>
      </c>
      <c r="I261" s="11">
        <f>IF(OR($G261="",$H261="",NOT(ISNUMBER($G261)),NOT(ISNUMBER($H261))),"",$H261-$G261)</f>
        <v/>
      </c>
    </row>
    <row r="262">
      <c r="B262" s="11">
        <f>IF($A262="","",IFERROR(IF(INDEX(Community_Register!$B$2:$B$402,MATCH($A262,Community_Register!$A$2:$A$402,0))="","",INDEX(Community_Register!$B$2:$B$402,MATCH($A262,Community_Register!$A$2:$A$402,0))),""))</f>
        <v/>
      </c>
      <c r="D262" s="11">
        <f>IF(OR($C262="",NOT(ISNUMBER($C262))),"",FLOOR($C262,10))</f>
        <v/>
      </c>
      <c r="I262" s="11">
        <f>IF(OR($G262="",$H262="",NOT(ISNUMBER($G262)),NOT(ISNUMBER($H262))),"",$H262-$G262)</f>
        <v/>
      </c>
    </row>
    <row r="263">
      <c r="B263" s="11">
        <f>IF($A263="","",IFERROR(IF(INDEX(Community_Register!$B$2:$B$402,MATCH($A263,Community_Register!$A$2:$A$402,0))="","",INDEX(Community_Register!$B$2:$B$402,MATCH($A263,Community_Register!$A$2:$A$402,0))),""))</f>
        <v/>
      </c>
      <c r="D263" s="11">
        <f>IF(OR($C263="",NOT(ISNUMBER($C263))),"",FLOOR($C263,10))</f>
        <v/>
      </c>
      <c r="I263" s="11">
        <f>IF(OR($G263="",$H263="",NOT(ISNUMBER($G263)),NOT(ISNUMBER($H263))),"",$H263-$G263)</f>
        <v/>
      </c>
    </row>
    <row r="264">
      <c r="B264" s="11">
        <f>IF($A264="","",IFERROR(IF(INDEX(Community_Register!$B$2:$B$402,MATCH($A264,Community_Register!$A$2:$A$402,0))="","",INDEX(Community_Register!$B$2:$B$402,MATCH($A264,Community_Register!$A$2:$A$402,0))),""))</f>
        <v/>
      </c>
      <c r="D264" s="11">
        <f>IF(OR($C264="",NOT(ISNUMBER($C264))),"",FLOOR($C264,10))</f>
        <v/>
      </c>
      <c r="I264" s="11">
        <f>IF(OR($G264="",$H264="",NOT(ISNUMBER($G264)),NOT(ISNUMBER($H264))),"",$H264-$G264)</f>
        <v/>
      </c>
    </row>
    <row r="265">
      <c r="B265" s="11">
        <f>IF($A265="","",IFERROR(IF(INDEX(Community_Register!$B$2:$B$402,MATCH($A265,Community_Register!$A$2:$A$402,0))="","",INDEX(Community_Register!$B$2:$B$402,MATCH($A265,Community_Register!$A$2:$A$402,0))),""))</f>
        <v/>
      </c>
      <c r="D265" s="11">
        <f>IF(OR($C265="",NOT(ISNUMBER($C265))),"",FLOOR($C265,10))</f>
        <v/>
      </c>
      <c r="I265" s="11">
        <f>IF(OR($G265="",$H265="",NOT(ISNUMBER($G265)),NOT(ISNUMBER($H265))),"",$H265-$G265)</f>
        <v/>
      </c>
    </row>
    <row r="266">
      <c r="B266" s="11">
        <f>IF($A266="","",IFERROR(IF(INDEX(Community_Register!$B$2:$B$402,MATCH($A266,Community_Register!$A$2:$A$402,0))="","",INDEX(Community_Register!$B$2:$B$402,MATCH($A266,Community_Register!$A$2:$A$402,0))),""))</f>
        <v/>
      </c>
      <c r="D266" s="11">
        <f>IF(OR($C266="",NOT(ISNUMBER($C266))),"",FLOOR($C266,10))</f>
        <v/>
      </c>
      <c r="I266" s="11">
        <f>IF(OR($G266="",$H266="",NOT(ISNUMBER($G266)),NOT(ISNUMBER($H266))),"",$H266-$G266)</f>
        <v/>
      </c>
    </row>
    <row r="267">
      <c r="B267" s="11">
        <f>IF($A267="","",IFERROR(IF(INDEX(Community_Register!$B$2:$B$402,MATCH($A267,Community_Register!$A$2:$A$402,0))="","",INDEX(Community_Register!$B$2:$B$402,MATCH($A267,Community_Register!$A$2:$A$402,0))),""))</f>
        <v/>
      </c>
      <c r="D267" s="11">
        <f>IF(OR($C267="",NOT(ISNUMBER($C267))),"",FLOOR($C267,10))</f>
        <v/>
      </c>
      <c r="I267" s="11">
        <f>IF(OR($G267="",$H267="",NOT(ISNUMBER($G267)),NOT(ISNUMBER($H267))),"",$H267-$G267)</f>
        <v/>
      </c>
    </row>
    <row r="268">
      <c r="B268" s="11">
        <f>IF($A268="","",IFERROR(IF(INDEX(Community_Register!$B$2:$B$402,MATCH($A268,Community_Register!$A$2:$A$402,0))="","",INDEX(Community_Register!$B$2:$B$402,MATCH($A268,Community_Register!$A$2:$A$402,0))),""))</f>
        <v/>
      </c>
      <c r="D268" s="11">
        <f>IF(OR($C268="",NOT(ISNUMBER($C268))),"",FLOOR($C268,10))</f>
        <v/>
      </c>
      <c r="I268" s="11">
        <f>IF(OR($G268="",$H268="",NOT(ISNUMBER($G268)),NOT(ISNUMBER($H268))),"",$H268-$G268)</f>
        <v/>
      </c>
    </row>
    <row r="269">
      <c r="B269" s="11">
        <f>IF($A269="","",IFERROR(IF(INDEX(Community_Register!$B$2:$B$402,MATCH($A269,Community_Register!$A$2:$A$402,0))="","",INDEX(Community_Register!$B$2:$B$402,MATCH($A269,Community_Register!$A$2:$A$402,0))),""))</f>
        <v/>
      </c>
      <c r="D269" s="11">
        <f>IF(OR($C269="",NOT(ISNUMBER($C269))),"",FLOOR($C269,10))</f>
        <v/>
      </c>
      <c r="I269" s="11">
        <f>IF(OR($G269="",$H269="",NOT(ISNUMBER($G269)),NOT(ISNUMBER($H269))),"",$H269-$G269)</f>
        <v/>
      </c>
    </row>
    <row r="270">
      <c r="B270" s="11">
        <f>IF($A270="","",IFERROR(IF(INDEX(Community_Register!$B$2:$B$402,MATCH($A270,Community_Register!$A$2:$A$402,0))="","",INDEX(Community_Register!$B$2:$B$402,MATCH($A270,Community_Register!$A$2:$A$402,0))),""))</f>
        <v/>
      </c>
      <c r="D270" s="11">
        <f>IF(OR($C270="",NOT(ISNUMBER($C270))),"",FLOOR($C270,10))</f>
        <v/>
      </c>
      <c r="I270" s="11">
        <f>IF(OR($G270="",$H270="",NOT(ISNUMBER($G270)),NOT(ISNUMBER($H270))),"",$H270-$G270)</f>
        <v/>
      </c>
    </row>
    <row r="271">
      <c r="B271" s="11">
        <f>IF($A271="","",IFERROR(IF(INDEX(Community_Register!$B$2:$B$402,MATCH($A271,Community_Register!$A$2:$A$402,0))="","",INDEX(Community_Register!$B$2:$B$402,MATCH($A271,Community_Register!$A$2:$A$402,0))),""))</f>
        <v/>
      </c>
      <c r="D271" s="11">
        <f>IF(OR($C271="",NOT(ISNUMBER($C271))),"",FLOOR($C271,10))</f>
        <v/>
      </c>
      <c r="I271" s="11">
        <f>IF(OR($G271="",$H271="",NOT(ISNUMBER($G271)),NOT(ISNUMBER($H271))),"",$H271-$G271)</f>
        <v/>
      </c>
    </row>
    <row r="272">
      <c r="B272" s="11">
        <f>IF($A272="","",IFERROR(IF(INDEX(Community_Register!$B$2:$B$402,MATCH($A272,Community_Register!$A$2:$A$402,0))="","",INDEX(Community_Register!$B$2:$B$402,MATCH($A272,Community_Register!$A$2:$A$402,0))),""))</f>
        <v/>
      </c>
      <c r="D272" s="11">
        <f>IF(OR($C272="",NOT(ISNUMBER($C272))),"",FLOOR($C272,10))</f>
        <v/>
      </c>
      <c r="I272" s="11">
        <f>IF(OR($G272="",$H272="",NOT(ISNUMBER($G272)),NOT(ISNUMBER($H272))),"",$H272-$G272)</f>
        <v/>
      </c>
    </row>
    <row r="273">
      <c r="B273" s="11">
        <f>IF($A273="","",IFERROR(IF(INDEX(Community_Register!$B$2:$B$402,MATCH($A273,Community_Register!$A$2:$A$402,0))="","",INDEX(Community_Register!$B$2:$B$402,MATCH($A273,Community_Register!$A$2:$A$402,0))),""))</f>
        <v/>
      </c>
      <c r="D273" s="11">
        <f>IF(OR($C273="",NOT(ISNUMBER($C273))),"",FLOOR($C273,10))</f>
        <v/>
      </c>
      <c r="I273" s="11">
        <f>IF(OR($G273="",$H273="",NOT(ISNUMBER($G273)),NOT(ISNUMBER($H273))),"",$H273-$G273)</f>
        <v/>
      </c>
    </row>
    <row r="274">
      <c r="B274" s="11">
        <f>IF($A274="","",IFERROR(IF(INDEX(Community_Register!$B$2:$B$402,MATCH($A274,Community_Register!$A$2:$A$402,0))="","",INDEX(Community_Register!$B$2:$B$402,MATCH($A274,Community_Register!$A$2:$A$402,0))),""))</f>
        <v/>
      </c>
      <c r="D274" s="11">
        <f>IF(OR($C274="",NOT(ISNUMBER($C274))),"",FLOOR($C274,10))</f>
        <v/>
      </c>
      <c r="I274" s="11">
        <f>IF(OR($G274="",$H274="",NOT(ISNUMBER($G274)),NOT(ISNUMBER($H274))),"",$H274-$G274)</f>
        <v/>
      </c>
    </row>
    <row r="275">
      <c r="B275" s="11">
        <f>IF($A275="","",IFERROR(IF(INDEX(Community_Register!$B$2:$B$402,MATCH($A275,Community_Register!$A$2:$A$402,0))="","",INDEX(Community_Register!$B$2:$B$402,MATCH($A275,Community_Register!$A$2:$A$402,0))),""))</f>
        <v/>
      </c>
      <c r="D275" s="11">
        <f>IF(OR($C275="",NOT(ISNUMBER($C275))),"",FLOOR($C275,10))</f>
        <v/>
      </c>
      <c r="I275" s="11">
        <f>IF(OR($G275="",$H275="",NOT(ISNUMBER($G275)),NOT(ISNUMBER($H275))),"",$H275-$G275)</f>
        <v/>
      </c>
    </row>
    <row r="276">
      <c r="B276" s="11">
        <f>IF($A276="","",IFERROR(IF(INDEX(Community_Register!$B$2:$B$402,MATCH($A276,Community_Register!$A$2:$A$402,0))="","",INDEX(Community_Register!$B$2:$B$402,MATCH($A276,Community_Register!$A$2:$A$402,0))),""))</f>
        <v/>
      </c>
      <c r="D276" s="11">
        <f>IF(OR($C276="",NOT(ISNUMBER($C276))),"",FLOOR($C276,10))</f>
        <v/>
      </c>
      <c r="I276" s="11">
        <f>IF(OR($G276="",$H276="",NOT(ISNUMBER($G276)),NOT(ISNUMBER($H276))),"",$H276-$G276)</f>
        <v/>
      </c>
    </row>
    <row r="277">
      <c r="B277" s="11">
        <f>IF($A277="","",IFERROR(IF(INDEX(Community_Register!$B$2:$B$402,MATCH($A277,Community_Register!$A$2:$A$402,0))="","",INDEX(Community_Register!$B$2:$B$402,MATCH($A277,Community_Register!$A$2:$A$402,0))),""))</f>
        <v/>
      </c>
      <c r="D277" s="11">
        <f>IF(OR($C277="",NOT(ISNUMBER($C277))),"",FLOOR($C277,10))</f>
        <v/>
      </c>
      <c r="I277" s="11">
        <f>IF(OR($G277="",$H277="",NOT(ISNUMBER($G277)),NOT(ISNUMBER($H277))),"",$H277-$G277)</f>
        <v/>
      </c>
    </row>
    <row r="278">
      <c r="B278" s="11">
        <f>IF($A278="","",IFERROR(IF(INDEX(Community_Register!$B$2:$B$402,MATCH($A278,Community_Register!$A$2:$A$402,0))="","",INDEX(Community_Register!$B$2:$B$402,MATCH($A278,Community_Register!$A$2:$A$402,0))),""))</f>
        <v/>
      </c>
      <c r="D278" s="11">
        <f>IF(OR($C278="",NOT(ISNUMBER($C278))),"",FLOOR($C278,10))</f>
        <v/>
      </c>
      <c r="I278" s="11">
        <f>IF(OR($G278="",$H278="",NOT(ISNUMBER($G278)),NOT(ISNUMBER($H278))),"",$H278-$G278)</f>
        <v/>
      </c>
    </row>
    <row r="279">
      <c r="B279" s="11">
        <f>IF($A279="","",IFERROR(IF(INDEX(Community_Register!$B$2:$B$402,MATCH($A279,Community_Register!$A$2:$A$402,0))="","",INDEX(Community_Register!$B$2:$B$402,MATCH($A279,Community_Register!$A$2:$A$402,0))),""))</f>
        <v/>
      </c>
      <c r="D279" s="11">
        <f>IF(OR($C279="",NOT(ISNUMBER($C279))),"",FLOOR($C279,10))</f>
        <v/>
      </c>
      <c r="I279" s="11">
        <f>IF(OR($G279="",$H279="",NOT(ISNUMBER($G279)),NOT(ISNUMBER($H279))),"",$H279-$G279)</f>
        <v/>
      </c>
    </row>
    <row r="280">
      <c r="B280" s="11">
        <f>IF($A280="","",IFERROR(IF(INDEX(Community_Register!$B$2:$B$402,MATCH($A280,Community_Register!$A$2:$A$402,0))="","",INDEX(Community_Register!$B$2:$B$402,MATCH($A280,Community_Register!$A$2:$A$402,0))),""))</f>
        <v/>
      </c>
      <c r="D280" s="11">
        <f>IF(OR($C280="",NOT(ISNUMBER($C280))),"",FLOOR($C280,10))</f>
        <v/>
      </c>
      <c r="I280" s="11">
        <f>IF(OR($G280="",$H280="",NOT(ISNUMBER($G280)),NOT(ISNUMBER($H280))),"",$H280-$G280)</f>
        <v/>
      </c>
    </row>
    <row r="281">
      <c r="B281" s="11">
        <f>IF($A281="","",IFERROR(IF(INDEX(Community_Register!$B$2:$B$402,MATCH($A281,Community_Register!$A$2:$A$402,0))="","",INDEX(Community_Register!$B$2:$B$402,MATCH($A281,Community_Register!$A$2:$A$402,0))),""))</f>
        <v/>
      </c>
      <c r="D281" s="11">
        <f>IF(OR($C281="",NOT(ISNUMBER($C281))),"",FLOOR($C281,10))</f>
        <v/>
      </c>
      <c r="I281" s="11">
        <f>IF(OR($G281="",$H281="",NOT(ISNUMBER($G281)),NOT(ISNUMBER($H281))),"",$H281-$G281)</f>
        <v/>
      </c>
    </row>
    <row r="282">
      <c r="B282" s="11">
        <f>IF($A282="","",IFERROR(IF(INDEX(Community_Register!$B$2:$B$402,MATCH($A282,Community_Register!$A$2:$A$402,0))="","",INDEX(Community_Register!$B$2:$B$402,MATCH($A282,Community_Register!$A$2:$A$402,0))),""))</f>
        <v/>
      </c>
      <c r="D282" s="11">
        <f>IF(OR($C282="",NOT(ISNUMBER($C282))),"",FLOOR($C282,10))</f>
        <v/>
      </c>
      <c r="I282" s="11">
        <f>IF(OR($G282="",$H282="",NOT(ISNUMBER($G282)),NOT(ISNUMBER($H282))),"",$H282-$G282)</f>
        <v/>
      </c>
    </row>
    <row r="283">
      <c r="B283" s="11">
        <f>IF($A283="","",IFERROR(IF(INDEX(Community_Register!$B$2:$B$402,MATCH($A283,Community_Register!$A$2:$A$402,0))="","",INDEX(Community_Register!$B$2:$B$402,MATCH($A283,Community_Register!$A$2:$A$402,0))),""))</f>
        <v/>
      </c>
      <c r="D283" s="11">
        <f>IF(OR($C283="",NOT(ISNUMBER($C283))),"",FLOOR($C283,10))</f>
        <v/>
      </c>
      <c r="I283" s="11">
        <f>IF(OR($G283="",$H283="",NOT(ISNUMBER($G283)),NOT(ISNUMBER($H283))),"",$H283-$G283)</f>
        <v/>
      </c>
    </row>
    <row r="284">
      <c r="B284" s="11">
        <f>IF($A284="","",IFERROR(IF(INDEX(Community_Register!$B$2:$B$402,MATCH($A284,Community_Register!$A$2:$A$402,0))="","",INDEX(Community_Register!$B$2:$B$402,MATCH($A284,Community_Register!$A$2:$A$402,0))),""))</f>
        <v/>
      </c>
      <c r="D284" s="11">
        <f>IF(OR($C284="",NOT(ISNUMBER($C284))),"",FLOOR($C284,10))</f>
        <v/>
      </c>
      <c r="I284" s="11">
        <f>IF(OR($G284="",$H284="",NOT(ISNUMBER($G284)),NOT(ISNUMBER($H284))),"",$H284-$G284)</f>
        <v/>
      </c>
    </row>
    <row r="285">
      <c r="B285" s="11">
        <f>IF($A285="","",IFERROR(IF(INDEX(Community_Register!$B$2:$B$402,MATCH($A285,Community_Register!$A$2:$A$402,0))="","",INDEX(Community_Register!$B$2:$B$402,MATCH($A285,Community_Register!$A$2:$A$402,0))),""))</f>
        <v/>
      </c>
      <c r="D285" s="11">
        <f>IF(OR($C285="",NOT(ISNUMBER($C285))),"",FLOOR($C285,10))</f>
        <v/>
      </c>
      <c r="I285" s="11">
        <f>IF(OR($G285="",$H285="",NOT(ISNUMBER($G285)),NOT(ISNUMBER($H285))),"",$H285-$G285)</f>
        <v/>
      </c>
    </row>
    <row r="286">
      <c r="B286" s="11">
        <f>IF($A286="","",IFERROR(IF(INDEX(Community_Register!$B$2:$B$402,MATCH($A286,Community_Register!$A$2:$A$402,0))="","",INDEX(Community_Register!$B$2:$B$402,MATCH($A286,Community_Register!$A$2:$A$402,0))),""))</f>
        <v/>
      </c>
      <c r="D286" s="11">
        <f>IF(OR($C286="",NOT(ISNUMBER($C286))),"",FLOOR($C286,10))</f>
        <v/>
      </c>
      <c r="I286" s="11">
        <f>IF(OR($G286="",$H286="",NOT(ISNUMBER($G286)),NOT(ISNUMBER($H286))),"",$H286-$G286)</f>
        <v/>
      </c>
    </row>
    <row r="287">
      <c r="B287" s="11">
        <f>IF($A287="","",IFERROR(IF(INDEX(Community_Register!$B$2:$B$402,MATCH($A287,Community_Register!$A$2:$A$402,0))="","",INDEX(Community_Register!$B$2:$B$402,MATCH($A287,Community_Register!$A$2:$A$402,0))),""))</f>
        <v/>
      </c>
      <c r="D287" s="11">
        <f>IF(OR($C287="",NOT(ISNUMBER($C287))),"",FLOOR($C287,10))</f>
        <v/>
      </c>
      <c r="I287" s="11">
        <f>IF(OR($G287="",$H287="",NOT(ISNUMBER($G287)),NOT(ISNUMBER($H287))),"",$H287-$G287)</f>
        <v/>
      </c>
    </row>
    <row r="288">
      <c r="B288" s="11">
        <f>IF($A288="","",IFERROR(IF(INDEX(Community_Register!$B$2:$B$402,MATCH($A288,Community_Register!$A$2:$A$402,0))="","",INDEX(Community_Register!$B$2:$B$402,MATCH($A288,Community_Register!$A$2:$A$402,0))),""))</f>
        <v/>
      </c>
      <c r="D288" s="11">
        <f>IF(OR($C288="",NOT(ISNUMBER($C288))),"",FLOOR($C288,10))</f>
        <v/>
      </c>
      <c r="I288" s="11">
        <f>IF(OR($G288="",$H288="",NOT(ISNUMBER($G288)),NOT(ISNUMBER($H288))),"",$H288-$G288)</f>
        <v/>
      </c>
    </row>
    <row r="289">
      <c r="B289" s="11">
        <f>IF($A289="","",IFERROR(IF(INDEX(Community_Register!$B$2:$B$402,MATCH($A289,Community_Register!$A$2:$A$402,0))="","",INDEX(Community_Register!$B$2:$B$402,MATCH($A289,Community_Register!$A$2:$A$402,0))),""))</f>
        <v/>
      </c>
      <c r="D289" s="11">
        <f>IF(OR($C289="",NOT(ISNUMBER($C289))),"",FLOOR($C289,10))</f>
        <v/>
      </c>
      <c r="I289" s="11">
        <f>IF(OR($G289="",$H289="",NOT(ISNUMBER($G289)),NOT(ISNUMBER($H289))),"",$H289-$G289)</f>
        <v/>
      </c>
    </row>
    <row r="290">
      <c r="B290" s="11">
        <f>IF($A290="","",IFERROR(IF(INDEX(Community_Register!$B$2:$B$402,MATCH($A290,Community_Register!$A$2:$A$402,0))="","",INDEX(Community_Register!$B$2:$B$402,MATCH($A290,Community_Register!$A$2:$A$402,0))),""))</f>
        <v/>
      </c>
      <c r="D290" s="11">
        <f>IF(OR($C290="",NOT(ISNUMBER($C290))),"",FLOOR($C290,10))</f>
        <v/>
      </c>
      <c r="I290" s="11">
        <f>IF(OR($G290="",$H290="",NOT(ISNUMBER($G290)),NOT(ISNUMBER($H290))),"",$H290-$G290)</f>
        <v/>
      </c>
    </row>
    <row r="291">
      <c r="B291" s="11">
        <f>IF($A291="","",IFERROR(IF(INDEX(Community_Register!$B$2:$B$402,MATCH($A291,Community_Register!$A$2:$A$402,0))="","",INDEX(Community_Register!$B$2:$B$402,MATCH($A291,Community_Register!$A$2:$A$402,0))),""))</f>
        <v/>
      </c>
      <c r="D291" s="11">
        <f>IF(OR($C291="",NOT(ISNUMBER($C291))),"",FLOOR($C291,10))</f>
        <v/>
      </c>
      <c r="I291" s="11">
        <f>IF(OR($G291="",$H291="",NOT(ISNUMBER($G291)),NOT(ISNUMBER($H291))),"",$H291-$G291)</f>
        <v/>
      </c>
    </row>
    <row r="292">
      <c r="B292" s="11">
        <f>IF($A292="","",IFERROR(IF(INDEX(Community_Register!$B$2:$B$402,MATCH($A292,Community_Register!$A$2:$A$402,0))="","",INDEX(Community_Register!$B$2:$B$402,MATCH($A292,Community_Register!$A$2:$A$402,0))),""))</f>
        <v/>
      </c>
      <c r="D292" s="11">
        <f>IF(OR($C292="",NOT(ISNUMBER($C292))),"",FLOOR($C292,10))</f>
        <v/>
      </c>
      <c r="I292" s="11">
        <f>IF(OR($G292="",$H292="",NOT(ISNUMBER($G292)),NOT(ISNUMBER($H292))),"",$H292-$G292)</f>
        <v/>
      </c>
    </row>
    <row r="293">
      <c r="B293" s="11">
        <f>IF($A293="","",IFERROR(IF(INDEX(Community_Register!$B$2:$B$402,MATCH($A293,Community_Register!$A$2:$A$402,0))="","",INDEX(Community_Register!$B$2:$B$402,MATCH($A293,Community_Register!$A$2:$A$402,0))),""))</f>
        <v/>
      </c>
      <c r="D293" s="11">
        <f>IF(OR($C293="",NOT(ISNUMBER($C293))),"",FLOOR($C293,10))</f>
        <v/>
      </c>
      <c r="I293" s="11">
        <f>IF(OR($G293="",$H293="",NOT(ISNUMBER($G293)),NOT(ISNUMBER($H293))),"",$H293-$G293)</f>
        <v/>
      </c>
    </row>
    <row r="294">
      <c r="B294" s="11">
        <f>IF($A294="","",IFERROR(IF(INDEX(Community_Register!$B$2:$B$402,MATCH($A294,Community_Register!$A$2:$A$402,0))="","",INDEX(Community_Register!$B$2:$B$402,MATCH($A294,Community_Register!$A$2:$A$402,0))),""))</f>
        <v/>
      </c>
      <c r="D294" s="11">
        <f>IF(OR($C294="",NOT(ISNUMBER($C294))),"",FLOOR($C294,10))</f>
        <v/>
      </c>
      <c r="I294" s="11">
        <f>IF(OR($G294="",$H294="",NOT(ISNUMBER($G294)),NOT(ISNUMBER($H294))),"",$H294-$G294)</f>
        <v/>
      </c>
    </row>
    <row r="295">
      <c r="B295" s="11">
        <f>IF($A295="","",IFERROR(IF(INDEX(Community_Register!$B$2:$B$402,MATCH($A295,Community_Register!$A$2:$A$402,0))="","",INDEX(Community_Register!$B$2:$B$402,MATCH($A295,Community_Register!$A$2:$A$402,0))),""))</f>
        <v/>
      </c>
      <c r="D295" s="11">
        <f>IF(OR($C295="",NOT(ISNUMBER($C295))),"",FLOOR($C295,10))</f>
        <v/>
      </c>
      <c r="I295" s="11">
        <f>IF(OR($G295="",$H295="",NOT(ISNUMBER($G295)),NOT(ISNUMBER($H295))),"",$H295-$G295)</f>
        <v/>
      </c>
    </row>
    <row r="296">
      <c r="B296" s="11">
        <f>IF($A296="","",IFERROR(IF(INDEX(Community_Register!$B$2:$B$402,MATCH($A296,Community_Register!$A$2:$A$402,0))="","",INDEX(Community_Register!$B$2:$B$402,MATCH($A296,Community_Register!$A$2:$A$402,0))),""))</f>
        <v/>
      </c>
      <c r="D296" s="11">
        <f>IF(OR($C296="",NOT(ISNUMBER($C296))),"",FLOOR($C296,10))</f>
        <v/>
      </c>
      <c r="I296" s="11">
        <f>IF(OR($G296="",$H296="",NOT(ISNUMBER($G296)),NOT(ISNUMBER($H296))),"",$H296-$G296)</f>
        <v/>
      </c>
    </row>
    <row r="297">
      <c r="B297" s="11">
        <f>IF($A297="","",IFERROR(IF(INDEX(Community_Register!$B$2:$B$402,MATCH($A297,Community_Register!$A$2:$A$402,0))="","",INDEX(Community_Register!$B$2:$B$402,MATCH($A297,Community_Register!$A$2:$A$402,0))),""))</f>
        <v/>
      </c>
      <c r="D297" s="11">
        <f>IF(OR($C297="",NOT(ISNUMBER($C297))),"",FLOOR($C297,10))</f>
        <v/>
      </c>
      <c r="I297" s="11">
        <f>IF(OR($G297="",$H297="",NOT(ISNUMBER($G297)),NOT(ISNUMBER($H297))),"",$H297-$G297)</f>
        <v/>
      </c>
    </row>
    <row r="298">
      <c r="B298" s="11">
        <f>IF($A298="","",IFERROR(IF(INDEX(Community_Register!$B$2:$B$402,MATCH($A298,Community_Register!$A$2:$A$402,0))="","",INDEX(Community_Register!$B$2:$B$402,MATCH($A298,Community_Register!$A$2:$A$402,0))),""))</f>
        <v/>
      </c>
      <c r="D298" s="11">
        <f>IF(OR($C298="",NOT(ISNUMBER($C298))),"",FLOOR($C298,10))</f>
        <v/>
      </c>
      <c r="I298" s="11">
        <f>IF(OR($G298="",$H298="",NOT(ISNUMBER($G298)),NOT(ISNUMBER($H298))),"",$H298-$G298)</f>
        <v/>
      </c>
    </row>
    <row r="299">
      <c r="B299" s="11">
        <f>IF($A299="","",IFERROR(IF(INDEX(Community_Register!$B$2:$B$402,MATCH($A299,Community_Register!$A$2:$A$402,0))="","",INDEX(Community_Register!$B$2:$B$402,MATCH($A299,Community_Register!$A$2:$A$402,0))),""))</f>
        <v/>
      </c>
      <c r="D299" s="11">
        <f>IF(OR($C299="",NOT(ISNUMBER($C299))),"",FLOOR($C299,10))</f>
        <v/>
      </c>
      <c r="I299" s="11">
        <f>IF(OR($G299="",$H299="",NOT(ISNUMBER($G299)),NOT(ISNUMBER($H299))),"",$H299-$G299)</f>
        <v/>
      </c>
    </row>
    <row r="300">
      <c r="B300" s="11">
        <f>IF($A300="","",IFERROR(IF(INDEX(Community_Register!$B$2:$B$402,MATCH($A300,Community_Register!$A$2:$A$402,0))="","",INDEX(Community_Register!$B$2:$B$402,MATCH($A300,Community_Register!$A$2:$A$402,0))),""))</f>
        <v/>
      </c>
      <c r="D300" s="11">
        <f>IF(OR($C300="",NOT(ISNUMBER($C300))),"",FLOOR($C300,10))</f>
        <v/>
      </c>
      <c r="I300" s="11">
        <f>IF(OR($G300="",$H300="",NOT(ISNUMBER($G300)),NOT(ISNUMBER($H300))),"",$H300-$G300)</f>
        <v/>
      </c>
    </row>
    <row r="301">
      <c r="B301" s="11">
        <f>IF($A301="","",IFERROR(IF(INDEX(Community_Register!$B$2:$B$402,MATCH($A301,Community_Register!$A$2:$A$402,0))="","",INDEX(Community_Register!$B$2:$B$402,MATCH($A301,Community_Register!$A$2:$A$402,0))),""))</f>
        <v/>
      </c>
      <c r="D301" s="11">
        <f>IF(OR($C301="",NOT(ISNUMBER($C301))),"",FLOOR($C301,10))</f>
        <v/>
      </c>
      <c r="I301" s="11">
        <f>IF(OR($G301="",$H301="",NOT(ISNUMBER($G301)),NOT(ISNUMBER($H301))),"",$H301-$G301)</f>
        <v/>
      </c>
    </row>
    <row r="302">
      <c r="B302" s="11">
        <f>IF($A302="","",IFERROR(IF(INDEX(Community_Register!$B$2:$B$402,MATCH($A302,Community_Register!$A$2:$A$402,0))="","",INDEX(Community_Register!$B$2:$B$402,MATCH($A302,Community_Register!$A$2:$A$402,0))),""))</f>
        <v/>
      </c>
      <c r="D302" s="11">
        <f>IF(OR($C302="",NOT(ISNUMBER($C302))),"",FLOOR($C302,10))</f>
        <v/>
      </c>
      <c r="I302" s="11">
        <f>IF(OR($G302="",$H302="",NOT(ISNUMBER($G302)),NOT(ISNUMBER($H302))),"",$H302-$G302)</f>
        <v/>
      </c>
    </row>
    <row r="303">
      <c r="B303" s="11">
        <f>IF($A303="","",IFERROR(IF(INDEX(Community_Register!$B$2:$B$402,MATCH($A303,Community_Register!$A$2:$A$402,0))="","",INDEX(Community_Register!$B$2:$B$402,MATCH($A303,Community_Register!$A$2:$A$402,0))),""))</f>
        <v/>
      </c>
      <c r="D303" s="11">
        <f>IF(OR($C303="",NOT(ISNUMBER($C303))),"",FLOOR($C303,10))</f>
        <v/>
      </c>
      <c r="I303" s="11">
        <f>IF(OR($G303="",$H303="",NOT(ISNUMBER($G303)),NOT(ISNUMBER($H303))),"",$H303-$G303)</f>
        <v/>
      </c>
    </row>
    <row r="304">
      <c r="B304" s="11">
        <f>IF($A304="","",IFERROR(IF(INDEX(Community_Register!$B$2:$B$402,MATCH($A304,Community_Register!$A$2:$A$402,0))="","",INDEX(Community_Register!$B$2:$B$402,MATCH($A304,Community_Register!$A$2:$A$402,0))),""))</f>
        <v/>
      </c>
      <c r="D304" s="11">
        <f>IF(OR($C304="",NOT(ISNUMBER($C304))),"",FLOOR($C304,10))</f>
        <v/>
      </c>
      <c r="I304" s="11">
        <f>IF(OR($G304="",$H304="",NOT(ISNUMBER($G304)),NOT(ISNUMBER($H304))),"",$H304-$G304)</f>
        <v/>
      </c>
    </row>
    <row r="305">
      <c r="B305" s="11">
        <f>IF($A305="","",IFERROR(IF(INDEX(Community_Register!$B$2:$B$402,MATCH($A305,Community_Register!$A$2:$A$402,0))="","",INDEX(Community_Register!$B$2:$B$402,MATCH($A305,Community_Register!$A$2:$A$402,0))),""))</f>
        <v/>
      </c>
      <c r="D305" s="11">
        <f>IF(OR($C305="",NOT(ISNUMBER($C305))),"",FLOOR($C305,10))</f>
        <v/>
      </c>
      <c r="I305" s="11">
        <f>IF(OR($G305="",$H305="",NOT(ISNUMBER($G305)),NOT(ISNUMBER($H305))),"",$H305-$G305)</f>
        <v/>
      </c>
    </row>
    <row r="306">
      <c r="B306" s="11">
        <f>IF($A306="","",IFERROR(IF(INDEX(Community_Register!$B$2:$B$402,MATCH($A306,Community_Register!$A$2:$A$402,0))="","",INDEX(Community_Register!$B$2:$B$402,MATCH($A306,Community_Register!$A$2:$A$402,0))),""))</f>
        <v/>
      </c>
      <c r="D306" s="11">
        <f>IF(OR($C306="",NOT(ISNUMBER($C306))),"",FLOOR($C306,10))</f>
        <v/>
      </c>
      <c r="I306" s="11">
        <f>IF(OR($G306="",$H306="",NOT(ISNUMBER($G306)),NOT(ISNUMBER($H306))),"",$H306-$G306)</f>
        <v/>
      </c>
    </row>
    <row r="307">
      <c r="B307" s="11">
        <f>IF($A307="","",IFERROR(IF(INDEX(Community_Register!$B$2:$B$402,MATCH($A307,Community_Register!$A$2:$A$402,0))="","",INDEX(Community_Register!$B$2:$B$402,MATCH($A307,Community_Register!$A$2:$A$402,0))),""))</f>
        <v/>
      </c>
      <c r="D307" s="11">
        <f>IF(OR($C307="",NOT(ISNUMBER($C307))),"",FLOOR($C307,10))</f>
        <v/>
      </c>
      <c r="I307" s="11">
        <f>IF(OR($G307="",$H307="",NOT(ISNUMBER($G307)),NOT(ISNUMBER($H307))),"",$H307-$G307)</f>
        <v/>
      </c>
    </row>
    <row r="308">
      <c r="B308" s="11">
        <f>IF($A308="","",IFERROR(IF(INDEX(Community_Register!$B$2:$B$402,MATCH($A308,Community_Register!$A$2:$A$402,0))="","",INDEX(Community_Register!$B$2:$B$402,MATCH($A308,Community_Register!$A$2:$A$402,0))),""))</f>
        <v/>
      </c>
      <c r="D308" s="11">
        <f>IF(OR($C308="",NOT(ISNUMBER($C308))),"",FLOOR($C308,10))</f>
        <v/>
      </c>
      <c r="I308" s="11">
        <f>IF(OR($G308="",$H308="",NOT(ISNUMBER($G308)),NOT(ISNUMBER($H308))),"",$H308-$G308)</f>
        <v/>
      </c>
    </row>
    <row r="309">
      <c r="B309" s="11">
        <f>IF($A309="","",IFERROR(IF(INDEX(Community_Register!$B$2:$B$402,MATCH($A309,Community_Register!$A$2:$A$402,0))="","",INDEX(Community_Register!$B$2:$B$402,MATCH($A309,Community_Register!$A$2:$A$402,0))),""))</f>
        <v/>
      </c>
      <c r="D309" s="11">
        <f>IF(OR($C309="",NOT(ISNUMBER($C309))),"",FLOOR($C309,10))</f>
        <v/>
      </c>
      <c r="I309" s="11">
        <f>IF(OR($G309="",$H309="",NOT(ISNUMBER($G309)),NOT(ISNUMBER($H309))),"",$H309-$G309)</f>
        <v/>
      </c>
    </row>
    <row r="310">
      <c r="B310" s="11">
        <f>IF($A310="","",IFERROR(IF(INDEX(Community_Register!$B$2:$B$402,MATCH($A310,Community_Register!$A$2:$A$402,0))="","",INDEX(Community_Register!$B$2:$B$402,MATCH($A310,Community_Register!$A$2:$A$402,0))),""))</f>
        <v/>
      </c>
      <c r="D310" s="11">
        <f>IF(OR($C310="",NOT(ISNUMBER($C310))),"",FLOOR($C310,10))</f>
        <v/>
      </c>
      <c r="I310" s="11">
        <f>IF(OR($G310="",$H310="",NOT(ISNUMBER($G310)),NOT(ISNUMBER($H310))),"",$H310-$G310)</f>
        <v/>
      </c>
    </row>
    <row r="311">
      <c r="B311" s="11">
        <f>IF($A311="","",IFERROR(IF(INDEX(Community_Register!$B$2:$B$402,MATCH($A311,Community_Register!$A$2:$A$402,0))="","",INDEX(Community_Register!$B$2:$B$402,MATCH($A311,Community_Register!$A$2:$A$402,0))),""))</f>
        <v/>
      </c>
      <c r="D311" s="11">
        <f>IF(OR($C311="",NOT(ISNUMBER($C311))),"",FLOOR($C311,10))</f>
        <v/>
      </c>
      <c r="I311" s="11">
        <f>IF(OR($G311="",$H311="",NOT(ISNUMBER($G311)),NOT(ISNUMBER($H311))),"",$H311-$G311)</f>
        <v/>
      </c>
    </row>
    <row r="312">
      <c r="B312" s="11">
        <f>IF($A312="","",IFERROR(IF(INDEX(Community_Register!$B$2:$B$402,MATCH($A312,Community_Register!$A$2:$A$402,0))="","",INDEX(Community_Register!$B$2:$B$402,MATCH($A312,Community_Register!$A$2:$A$402,0))),""))</f>
        <v/>
      </c>
      <c r="D312" s="11">
        <f>IF(OR($C312="",NOT(ISNUMBER($C312))),"",FLOOR($C312,10))</f>
        <v/>
      </c>
      <c r="I312" s="11">
        <f>IF(OR($G312="",$H312="",NOT(ISNUMBER($G312)),NOT(ISNUMBER($H312))),"",$H312-$G312)</f>
        <v/>
      </c>
    </row>
    <row r="313">
      <c r="B313" s="11">
        <f>IF($A313="","",IFERROR(IF(INDEX(Community_Register!$B$2:$B$402,MATCH($A313,Community_Register!$A$2:$A$402,0))="","",INDEX(Community_Register!$B$2:$B$402,MATCH($A313,Community_Register!$A$2:$A$402,0))),""))</f>
        <v/>
      </c>
      <c r="D313" s="11">
        <f>IF(OR($C313="",NOT(ISNUMBER($C313))),"",FLOOR($C313,10))</f>
        <v/>
      </c>
      <c r="I313" s="11">
        <f>IF(OR($G313="",$H313="",NOT(ISNUMBER($G313)),NOT(ISNUMBER($H313))),"",$H313-$G313)</f>
        <v/>
      </c>
    </row>
    <row r="314">
      <c r="B314" s="11">
        <f>IF($A314="","",IFERROR(IF(INDEX(Community_Register!$B$2:$B$402,MATCH($A314,Community_Register!$A$2:$A$402,0))="","",INDEX(Community_Register!$B$2:$B$402,MATCH($A314,Community_Register!$A$2:$A$402,0))),""))</f>
        <v/>
      </c>
      <c r="D314" s="11">
        <f>IF(OR($C314="",NOT(ISNUMBER($C314))),"",FLOOR($C314,10))</f>
        <v/>
      </c>
      <c r="I314" s="11">
        <f>IF(OR($G314="",$H314="",NOT(ISNUMBER($G314)),NOT(ISNUMBER($H314))),"",$H314-$G314)</f>
        <v/>
      </c>
    </row>
    <row r="315">
      <c r="B315" s="11">
        <f>IF($A315="","",IFERROR(IF(INDEX(Community_Register!$B$2:$B$402,MATCH($A315,Community_Register!$A$2:$A$402,0))="","",INDEX(Community_Register!$B$2:$B$402,MATCH($A315,Community_Register!$A$2:$A$402,0))),""))</f>
        <v/>
      </c>
      <c r="D315" s="11">
        <f>IF(OR($C315="",NOT(ISNUMBER($C315))),"",FLOOR($C315,10))</f>
        <v/>
      </c>
      <c r="I315" s="11">
        <f>IF(OR($G315="",$H315="",NOT(ISNUMBER($G315)),NOT(ISNUMBER($H315))),"",$H315-$G315)</f>
        <v/>
      </c>
    </row>
    <row r="316">
      <c r="B316" s="11">
        <f>IF($A316="","",IFERROR(IF(INDEX(Community_Register!$B$2:$B$402,MATCH($A316,Community_Register!$A$2:$A$402,0))="","",INDEX(Community_Register!$B$2:$B$402,MATCH($A316,Community_Register!$A$2:$A$402,0))),""))</f>
        <v/>
      </c>
      <c r="D316" s="11">
        <f>IF(OR($C316="",NOT(ISNUMBER($C316))),"",FLOOR($C316,10))</f>
        <v/>
      </c>
      <c r="I316" s="11">
        <f>IF(OR($G316="",$H316="",NOT(ISNUMBER($G316)),NOT(ISNUMBER($H316))),"",$H316-$G316)</f>
        <v/>
      </c>
    </row>
    <row r="317">
      <c r="B317" s="11">
        <f>IF($A317="","",IFERROR(IF(INDEX(Community_Register!$B$2:$B$402,MATCH($A317,Community_Register!$A$2:$A$402,0))="","",INDEX(Community_Register!$B$2:$B$402,MATCH($A317,Community_Register!$A$2:$A$402,0))),""))</f>
        <v/>
      </c>
      <c r="D317" s="11">
        <f>IF(OR($C317="",NOT(ISNUMBER($C317))),"",FLOOR($C317,10))</f>
        <v/>
      </c>
      <c r="I317" s="11">
        <f>IF(OR($G317="",$H317="",NOT(ISNUMBER($G317)),NOT(ISNUMBER($H317))),"",$H317-$G317)</f>
        <v/>
      </c>
    </row>
    <row r="318">
      <c r="B318" s="11">
        <f>IF($A318="","",IFERROR(IF(INDEX(Community_Register!$B$2:$B$402,MATCH($A318,Community_Register!$A$2:$A$402,0))="","",INDEX(Community_Register!$B$2:$B$402,MATCH($A318,Community_Register!$A$2:$A$402,0))),""))</f>
        <v/>
      </c>
      <c r="D318" s="11">
        <f>IF(OR($C318="",NOT(ISNUMBER($C318))),"",FLOOR($C318,10))</f>
        <v/>
      </c>
      <c r="I318" s="11">
        <f>IF(OR($G318="",$H318="",NOT(ISNUMBER($G318)),NOT(ISNUMBER($H318))),"",$H318-$G318)</f>
        <v/>
      </c>
    </row>
    <row r="319">
      <c r="B319" s="11">
        <f>IF($A319="","",IFERROR(IF(INDEX(Community_Register!$B$2:$B$402,MATCH($A319,Community_Register!$A$2:$A$402,0))="","",INDEX(Community_Register!$B$2:$B$402,MATCH($A319,Community_Register!$A$2:$A$402,0))),""))</f>
        <v/>
      </c>
      <c r="D319" s="11">
        <f>IF(OR($C319="",NOT(ISNUMBER($C319))),"",FLOOR($C319,10))</f>
        <v/>
      </c>
      <c r="I319" s="11">
        <f>IF(OR($G319="",$H319="",NOT(ISNUMBER($G319)),NOT(ISNUMBER($H319))),"",$H319-$G319)</f>
        <v/>
      </c>
    </row>
    <row r="320">
      <c r="B320" s="11">
        <f>IF($A320="","",IFERROR(IF(INDEX(Community_Register!$B$2:$B$402,MATCH($A320,Community_Register!$A$2:$A$402,0))="","",INDEX(Community_Register!$B$2:$B$402,MATCH($A320,Community_Register!$A$2:$A$402,0))),""))</f>
        <v/>
      </c>
      <c r="D320" s="11">
        <f>IF(OR($C320="",NOT(ISNUMBER($C320))),"",FLOOR($C320,10))</f>
        <v/>
      </c>
      <c r="I320" s="11">
        <f>IF(OR($G320="",$H320="",NOT(ISNUMBER($G320)),NOT(ISNUMBER($H320))),"",$H320-$G320)</f>
        <v/>
      </c>
    </row>
    <row r="321">
      <c r="B321" s="11">
        <f>IF($A321="","",IFERROR(IF(INDEX(Community_Register!$B$2:$B$402,MATCH($A321,Community_Register!$A$2:$A$402,0))="","",INDEX(Community_Register!$B$2:$B$402,MATCH($A321,Community_Register!$A$2:$A$402,0))),""))</f>
        <v/>
      </c>
      <c r="D321" s="11">
        <f>IF(OR($C321="",NOT(ISNUMBER($C321))),"",FLOOR($C321,10))</f>
        <v/>
      </c>
      <c r="I321" s="11">
        <f>IF(OR($G321="",$H321="",NOT(ISNUMBER($G321)),NOT(ISNUMBER($H321))),"",$H321-$G321)</f>
        <v/>
      </c>
    </row>
    <row r="322">
      <c r="B322" s="11">
        <f>IF($A322="","",IFERROR(IF(INDEX(Community_Register!$B$2:$B$402,MATCH($A322,Community_Register!$A$2:$A$402,0))="","",INDEX(Community_Register!$B$2:$B$402,MATCH($A322,Community_Register!$A$2:$A$402,0))),""))</f>
        <v/>
      </c>
      <c r="D322" s="11">
        <f>IF(OR($C322="",NOT(ISNUMBER($C322))),"",FLOOR($C322,10))</f>
        <v/>
      </c>
      <c r="I322" s="11">
        <f>IF(OR($G322="",$H322="",NOT(ISNUMBER($G322)),NOT(ISNUMBER($H322))),"",$H322-$G322)</f>
        <v/>
      </c>
    </row>
    <row r="323">
      <c r="B323" s="11">
        <f>IF($A323="","",IFERROR(IF(INDEX(Community_Register!$B$2:$B$402,MATCH($A323,Community_Register!$A$2:$A$402,0))="","",INDEX(Community_Register!$B$2:$B$402,MATCH($A323,Community_Register!$A$2:$A$402,0))),""))</f>
        <v/>
      </c>
      <c r="D323" s="11">
        <f>IF(OR($C323="",NOT(ISNUMBER($C323))),"",FLOOR($C323,10))</f>
        <v/>
      </c>
      <c r="I323" s="11">
        <f>IF(OR($G323="",$H323="",NOT(ISNUMBER($G323)),NOT(ISNUMBER($H323))),"",$H323-$G323)</f>
        <v/>
      </c>
    </row>
    <row r="324">
      <c r="B324" s="11">
        <f>IF($A324="","",IFERROR(IF(INDEX(Community_Register!$B$2:$B$402,MATCH($A324,Community_Register!$A$2:$A$402,0))="","",INDEX(Community_Register!$B$2:$B$402,MATCH($A324,Community_Register!$A$2:$A$402,0))),""))</f>
        <v/>
      </c>
      <c r="D324" s="11">
        <f>IF(OR($C324="",NOT(ISNUMBER($C324))),"",FLOOR($C324,10))</f>
        <v/>
      </c>
      <c r="I324" s="11">
        <f>IF(OR($G324="",$H324="",NOT(ISNUMBER($G324)),NOT(ISNUMBER($H324))),"",$H324-$G324)</f>
        <v/>
      </c>
    </row>
    <row r="325">
      <c r="B325" s="11">
        <f>IF($A325="","",IFERROR(IF(INDEX(Community_Register!$B$2:$B$402,MATCH($A325,Community_Register!$A$2:$A$402,0))="","",INDEX(Community_Register!$B$2:$B$402,MATCH($A325,Community_Register!$A$2:$A$402,0))),""))</f>
        <v/>
      </c>
      <c r="D325" s="11">
        <f>IF(OR($C325="",NOT(ISNUMBER($C325))),"",FLOOR($C325,10))</f>
        <v/>
      </c>
      <c r="I325" s="11">
        <f>IF(OR($G325="",$H325="",NOT(ISNUMBER($G325)),NOT(ISNUMBER($H325))),"",$H325-$G325)</f>
        <v/>
      </c>
    </row>
    <row r="326">
      <c r="B326" s="11">
        <f>IF($A326="","",IFERROR(IF(INDEX(Community_Register!$B$2:$B$402,MATCH($A326,Community_Register!$A$2:$A$402,0))="","",INDEX(Community_Register!$B$2:$B$402,MATCH($A326,Community_Register!$A$2:$A$402,0))),""))</f>
        <v/>
      </c>
      <c r="D326" s="11">
        <f>IF(OR($C326="",NOT(ISNUMBER($C326))),"",FLOOR($C326,10))</f>
        <v/>
      </c>
      <c r="I326" s="11">
        <f>IF(OR($G326="",$H326="",NOT(ISNUMBER($G326)),NOT(ISNUMBER($H326))),"",$H326-$G326)</f>
        <v/>
      </c>
    </row>
    <row r="327">
      <c r="B327" s="11">
        <f>IF($A327="","",IFERROR(IF(INDEX(Community_Register!$B$2:$B$402,MATCH($A327,Community_Register!$A$2:$A$402,0))="","",INDEX(Community_Register!$B$2:$B$402,MATCH($A327,Community_Register!$A$2:$A$402,0))),""))</f>
        <v/>
      </c>
      <c r="D327" s="11">
        <f>IF(OR($C327="",NOT(ISNUMBER($C327))),"",FLOOR($C327,10))</f>
        <v/>
      </c>
      <c r="I327" s="11">
        <f>IF(OR($G327="",$H327="",NOT(ISNUMBER($G327)),NOT(ISNUMBER($H327))),"",$H327-$G327)</f>
        <v/>
      </c>
    </row>
    <row r="328">
      <c r="B328" s="11">
        <f>IF($A328="","",IFERROR(IF(INDEX(Community_Register!$B$2:$B$402,MATCH($A328,Community_Register!$A$2:$A$402,0))="","",INDEX(Community_Register!$B$2:$B$402,MATCH($A328,Community_Register!$A$2:$A$402,0))),""))</f>
        <v/>
      </c>
      <c r="D328" s="11">
        <f>IF(OR($C328="",NOT(ISNUMBER($C328))),"",FLOOR($C328,10))</f>
        <v/>
      </c>
      <c r="I328" s="11">
        <f>IF(OR($G328="",$H328="",NOT(ISNUMBER($G328)),NOT(ISNUMBER($H328))),"",$H328-$G328)</f>
        <v/>
      </c>
    </row>
    <row r="329">
      <c r="B329" s="11">
        <f>IF($A329="","",IFERROR(IF(INDEX(Community_Register!$B$2:$B$402,MATCH($A329,Community_Register!$A$2:$A$402,0))="","",INDEX(Community_Register!$B$2:$B$402,MATCH($A329,Community_Register!$A$2:$A$402,0))),""))</f>
        <v/>
      </c>
      <c r="D329" s="11">
        <f>IF(OR($C329="",NOT(ISNUMBER($C329))),"",FLOOR($C329,10))</f>
        <v/>
      </c>
      <c r="I329" s="11">
        <f>IF(OR($G329="",$H329="",NOT(ISNUMBER($G329)),NOT(ISNUMBER($H329))),"",$H329-$G329)</f>
        <v/>
      </c>
    </row>
    <row r="330">
      <c r="B330" s="11">
        <f>IF($A330="","",IFERROR(IF(INDEX(Community_Register!$B$2:$B$402,MATCH($A330,Community_Register!$A$2:$A$402,0))="","",INDEX(Community_Register!$B$2:$B$402,MATCH($A330,Community_Register!$A$2:$A$402,0))),""))</f>
        <v/>
      </c>
      <c r="D330" s="11">
        <f>IF(OR($C330="",NOT(ISNUMBER($C330))),"",FLOOR($C330,10))</f>
        <v/>
      </c>
      <c r="I330" s="11">
        <f>IF(OR($G330="",$H330="",NOT(ISNUMBER($G330)),NOT(ISNUMBER($H330))),"",$H330-$G330)</f>
        <v/>
      </c>
    </row>
    <row r="331">
      <c r="B331" s="11">
        <f>IF($A331="","",IFERROR(IF(INDEX(Community_Register!$B$2:$B$402,MATCH($A331,Community_Register!$A$2:$A$402,0))="","",INDEX(Community_Register!$B$2:$B$402,MATCH($A331,Community_Register!$A$2:$A$402,0))),""))</f>
        <v/>
      </c>
      <c r="D331" s="11">
        <f>IF(OR($C331="",NOT(ISNUMBER($C331))),"",FLOOR($C331,10))</f>
        <v/>
      </c>
      <c r="I331" s="11">
        <f>IF(OR($G331="",$H331="",NOT(ISNUMBER($G331)),NOT(ISNUMBER($H331))),"",$H331-$G331)</f>
        <v/>
      </c>
    </row>
    <row r="332">
      <c r="B332" s="11">
        <f>IF($A332="","",IFERROR(IF(INDEX(Community_Register!$B$2:$B$402,MATCH($A332,Community_Register!$A$2:$A$402,0))="","",INDEX(Community_Register!$B$2:$B$402,MATCH($A332,Community_Register!$A$2:$A$402,0))),""))</f>
        <v/>
      </c>
      <c r="D332" s="11">
        <f>IF(OR($C332="",NOT(ISNUMBER($C332))),"",FLOOR($C332,10))</f>
        <v/>
      </c>
      <c r="I332" s="11">
        <f>IF(OR($G332="",$H332="",NOT(ISNUMBER($G332)),NOT(ISNUMBER($H332))),"",$H332-$G332)</f>
        <v/>
      </c>
    </row>
    <row r="333">
      <c r="B333" s="11">
        <f>IF($A333="","",IFERROR(IF(INDEX(Community_Register!$B$2:$B$402,MATCH($A333,Community_Register!$A$2:$A$402,0))="","",INDEX(Community_Register!$B$2:$B$402,MATCH($A333,Community_Register!$A$2:$A$402,0))),""))</f>
        <v/>
      </c>
      <c r="D333" s="11">
        <f>IF(OR($C333="",NOT(ISNUMBER($C333))),"",FLOOR($C333,10))</f>
        <v/>
      </c>
      <c r="I333" s="11">
        <f>IF(OR($G333="",$H333="",NOT(ISNUMBER($G333)),NOT(ISNUMBER($H333))),"",$H333-$G333)</f>
        <v/>
      </c>
    </row>
    <row r="334">
      <c r="B334" s="11">
        <f>IF($A334="","",IFERROR(IF(INDEX(Community_Register!$B$2:$B$402,MATCH($A334,Community_Register!$A$2:$A$402,0))="","",INDEX(Community_Register!$B$2:$B$402,MATCH($A334,Community_Register!$A$2:$A$402,0))),""))</f>
        <v/>
      </c>
      <c r="D334" s="11">
        <f>IF(OR($C334="",NOT(ISNUMBER($C334))),"",FLOOR($C334,10))</f>
        <v/>
      </c>
      <c r="I334" s="11">
        <f>IF(OR($G334="",$H334="",NOT(ISNUMBER($G334)),NOT(ISNUMBER($H334))),"",$H334-$G334)</f>
        <v/>
      </c>
    </row>
    <row r="335">
      <c r="B335" s="11">
        <f>IF($A335="","",IFERROR(IF(INDEX(Community_Register!$B$2:$B$402,MATCH($A335,Community_Register!$A$2:$A$402,0))="","",INDEX(Community_Register!$B$2:$B$402,MATCH($A335,Community_Register!$A$2:$A$402,0))),""))</f>
        <v/>
      </c>
      <c r="D335" s="11">
        <f>IF(OR($C335="",NOT(ISNUMBER($C335))),"",FLOOR($C335,10))</f>
        <v/>
      </c>
      <c r="I335" s="11">
        <f>IF(OR($G335="",$H335="",NOT(ISNUMBER($G335)),NOT(ISNUMBER($H335))),"",$H335-$G335)</f>
        <v/>
      </c>
    </row>
    <row r="336">
      <c r="B336" s="11">
        <f>IF($A336="","",IFERROR(IF(INDEX(Community_Register!$B$2:$B$402,MATCH($A336,Community_Register!$A$2:$A$402,0))="","",INDEX(Community_Register!$B$2:$B$402,MATCH($A336,Community_Register!$A$2:$A$402,0))),""))</f>
        <v/>
      </c>
      <c r="D336" s="11">
        <f>IF(OR($C336="",NOT(ISNUMBER($C336))),"",FLOOR($C336,10))</f>
        <v/>
      </c>
      <c r="I336" s="11">
        <f>IF(OR($G336="",$H336="",NOT(ISNUMBER($G336)),NOT(ISNUMBER($H336))),"",$H336-$G336)</f>
        <v/>
      </c>
    </row>
    <row r="337">
      <c r="B337" s="11">
        <f>IF($A337="","",IFERROR(IF(INDEX(Community_Register!$B$2:$B$402,MATCH($A337,Community_Register!$A$2:$A$402,0))="","",INDEX(Community_Register!$B$2:$B$402,MATCH($A337,Community_Register!$A$2:$A$402,0))),""))</f>
        <v/>
      </c>
      <c r="D337" s="11">
        <f>IF(OR($C337="",NOT(ISNUMBER($C337))),"",FLOOR($C337,10))</f>
        <v/>
      </c>
      <c r="I337" s="11">
        <f>IF(OR($G337="",$H337="",NOT(ISNUMBER($G337)),NOT(ISNUMBER($H337))),"",$H337-$G337)</f>
        <v/>
      </c>
    </row>
    <row r="338">
      <c r="B338" s="11">
        <f>IF($A338="","",IFERROR(IF(INDEX(Community_Register!$B$2:$B$402,MATCH($A338,Community_Register!$A$2:$A$402,0))="","",INDEX(Community_Register!$B$2:$B$402,MATCH($A338,Community_Register!$A$2:$A$402,0))),""))</f>
        <v/>
      </c>
      <c r="D338" s="11">
        <f>IF(OR($C338="",NOT(ISNUMBER($C338))),"",FLOOR($C338,10))</f>
        <v/>
      </c>
      <c r="I338" s="11">
        <f>IF(OR($G338="",$H338="",NOT(ISNUMBER($G338)),NOT(ISNUMBER($H338))),"",$H338-$G338)</f>
        <v/>
      </c>
    </row>
    <row r="339">
      <c r="B339" s="11">
        <f>IF($A339="","",IFERROR(IF(INDEX(Community_Register!$B$2:$B$402,MATCH($A339,Community_Register!$A$2:$A$402,0))="","",INDEX(Community_Register!$B$2:$B$402,MATCH($A339,Community_Register!$A$2:$A$402,0))),""))</f>
        <v/>
      </c>
      <c r="D339" s="11">
        <f>IF(OR($C339="",NOT(ISNUMBER($C339))),"",FLOOR($C339,10))</f>
        <v/>
      </c>
      <c r="I339" s="11">
        <f>IF(OR($G339="",$H339="",NOT(ISNUMBER($G339)),NOT(ISNUMBER($H339))),"",$H339-$G339)</f>
        <v/>
      </c>
    </row>
    <row r="340">
      <c r="B340" s="11">
        <f>IF($A340="","",IFERROR(IF(INDEX(Community_Register!$B$2:$B$402,MATCH($A340,Community_Register!$A$2:$A$402,0))="","",INDEX(Community_Register!$B$2:$B$402,MATCH($A340,Community_Register!$A$2:$A$402,0))),""))</f>
        <v/>
      </c>
      <c r="D340" s="11">
        <f>IF(OR($C340="",NOT(ISNUMBER($C340))),"",FLOOR($C340,10))</f>
        <v/>
      </c>
      <c r="I340" s="11">
        <f>IF(OR($G340="",$H340="",NOT(ISNUMBER($G340)),NOT(ISNUMBER($H340))),"",$H340-$G340)</f>
        <v/>
      </c>
    </row>
    <row r="341">
      <c r="B341" s="11">
        <f>IF($A341="","",IFERROR(IF(INDEX(Community_Register!$B$2:$B$402,MATCH($A341,Community_Register!$A$2:$A$402,0))="","",INDEX(Community_Register!$B$2:$B$402,MATCH($A341,Community_Register!$A$2:$A$402,0))),""))</f>
        <v/>
      </c>
      <c r="D341" s="11">
        <f>IF(OR($C341="",NOT(ISNUMBER($C341))),"",FLOOR($C341,10))</f>
        <v/>
      </c>
      <c r="I341" s="11">
        <f>IF(OR($G341="",$H341="",NOT(ISNUMBER($G341)),NOT(ISNUMBER($H341))),"",$H341-$G341)</f>
        <v/>
      </c>
    </row>
    <row r="342">
      <c r="B342" s="11">
        <f>IF($A342="","",IFERROR(IF(INDEX(Community_Register!$B$2:$B$402,MATCH($A342,Community_Register!$A$2:$A$402,0))="","",INDEX(Community_Register!$B$2:$B$402,MATCH($A342,Community_Register!$A$2:$A$402,0))),""))</f>
        <v/>
      </c>
      <c r="D342" s="11">
        <f>IF(OR($C342="",NOT(ISNUMBER($C342))),"",FLOOR($C342,10))</f>
        <v/>
      </c>
      <c r="I342" s="11">
        <f>IF(OR($G342="",$H342="",NOT(ISNUMBER($G342)),NOT(ISNUMBER($H342))),"",$H342-$G342)</f>
        <v/>
      </c>
    </row>
    <row r="343">
      <c r="B343" s="11">
        <f>IF($A343="","",IFERROR(IF(INDEX(Community_Register!$B$2:$B$402,MATCH($A343,Community_Register!$A$2:$A$402,0))="","",INDEX(Community_Register!$B$2:$B$402,MATCH($A343,Community_Register!$A$2:$A$402,0))),""))</f>
        <v/>
      </c>
      <c r="D343" s="11">
        <f>IF(OR($C343="",NOT(ISNUMBER($C343))),"",FLOOR($C343,10))</f>
        <v/>
      </c>
      <c r="I343" s="11">
        <f>IF(OR($G343="",$H343="",NOT(ISNUMBER($G343)),NOT(ISNUMBER($H343))),"",$H343-$G343)</f>
        <v/>
      </c>
    </row>
    <row r="344">
      <c r="B344" s="11">
        <f>IF($A344="","",IFERROR(IF(INDEX(Community_Register!$B$2:$B$402,MATCH($A344,Community_Register!$A$2:$A$402,0))="","",INDEX(Community_Register!$B$2:$B$402,MATCH($A344,Community_Register!$A$2:$A$402,0))),""))</f>
        <v/>
      </c>
      <c r="D344" s="11">
        <f>IF(OR($C344="",NOT(ISNUMBER($C344))),"",FLOOR($C344,10))</f>
        <v/>
      </c>
      <c r="I344" s="11">
        <f>IF(OR($G344="",$H344="",NOT(ISNUMBER($G344)),NOT(ISNUMBER($H344))),"",$H344-$G344)</f>
        <v/>
      </c>
    </row>
    <row r="345">
      <c r="B345" s="11">
        <f>IF($A345="","",IFERROR(IF(INDEX(Community_Register!$B$2:$B$402,MATCH($A345,Community_Register!$A$2:$A$402,0))="","",INDEX(Community_Register!$B$2:$B$402,MATCH($A345,Community_Register!$A$2:$A$402,0))),""))</f>
        <v/>
      </c>
      <c r="D345" s="11">
        <f>IF(OR($C345="",NOT(ISNUMBER($C345))),"",FLOOR($C345,10))</f>
        <v/>
      </c>
      <c r="I345" s="11">
        <f>IF(OR($G345="",$H345="",NOT(ISNUMBER($G345)),NOT(ISNUMBER($H345))),"",$H345-$G345)</f>
        <v/>
      </c>
    </row>
    <row r="346">
      <c r="B346" s="11">
        <f>IF($A346="","",IFERROR(IF(INDEX(Community_Register!$B$2:$B$402,MATCH($A346,Community_Register!$A$2:$A$402,0))="","",INDEX(Community_Register!$B$2:$B$402,MATCH($A346,Community_Register!$A$2:$A$402,0))),""))</f>
        <v/>
      </c>
      <c r="D346" s="11">
        <f>IF(OR($C346="",NOT(ISNUMBER($C346))),"",FLOOR($C346,10))</f>
        <v/>
      </c>
      <c r="I346" s="11">
        <f>IF(OR($G346="",$H346="",NOT(ISNUMBER($G346)),NOT(ISNUMBER($H346))),"",$H346-$G346)</f>
        <v/>
      </c>
    </row>
    <row r="347">
      <c r="B347" s="11">
        <f>IF($A347="","",IFERROR(IF(INDEX(Community_Register!$B$2:$B$402,MATCH($A347,Community_Register!$A$2:$A$402,0))="","",INDEX(Community_Register!$B$2:$B$402,MATCH($A347,Community_Register!$A$2:$A$402,0))),""))</f>
        <v/>
      </c>
      <c r="D347" s="11">
        <f>IF(OR($C347="",NOT(ISNUMBER($C347))),"",FLOOR($C347,10))</f>
        <v/>
      </c>
      <c r="I347" s="11">
        <f>IF(OR($G347="",$H347="",NOT(ISNUMBER($G347)),NOT(ISNUMBER($H347))),"",$H347-$G347)</f>
        <v/>
      </c>
    </row>
    <row r="348">
      <c r="B348" s="11">
        <f>IF($A348="","",IFERROR(IF(INDEX(Community_Register!$B$2:$B$402,MATCH($A348,Community_Register!$A$2:$A$402,0))="","",INDEX(Community_Register!$B$2:$B$402,MATCH($A348,Community_Register!$A$2:$A$402,0))),""))</f>
        <v/>
      </c>
      <c r="D348" s="11">
        <f>IF(OR($C348="",NOT(ISNUMBER($C348))),"",FLOOR($C348,10))</f>
        <v/>
      </c>
      <c r="I348" s="11">
        <f>IF(OR($G348="",$H348="",NOT(ISNUMBER($G348)),NOT(ISNUMBER($H348))),"",$H348-$G348)</f>
        <v/>
      </c>
    </row>
    <row r="349">
      <c r="B349" s="11">
        <f>IF($A349="","",IFERROR(IF(INDEX(Community_Register!$B$2:$B$402,MATCH($A349,Community_Register!$A$2:$A$402,0))="","",INDEX(Community_Register!$B$2:$B$402,MATCH($A349,Community_Register!$A$2:$A$402,0))),""))</f>
        <v/>
      </c>
      <c r="D349" s="11">
        <f>IF(OR($C349="",NOT(ISNUMBER($C349))),"",FLOOR($C349,10))</f>
        <v/>
      </c>
      <c r="I349" s="11">
        <f>IF(OR($G349="",$H349="",NOT(ISNUMBER($G349)),NOT(ISNUMBER($H349))),"",$H349-$G349)</f>
        <v/>
      </c>
    </row>
    <row r="350">
      <c r="B350" s="11">
        <f>IF($A350="","",IFERROR(IF(INDEX(Community_Register!$B$2:$B$402,MATCH($A350,Community_Register!$A$2:$A$402,0))="","",INDEX(Community_Register!$B$2:$B$402,MATCH($A350,Community_Register!$A$2:$A$402,0))),""))</f>
        <v/>
      </c>
      <c r="D350" s="11">
        <f>IF(OR($C350="",NOT(ISNUMBER($C350))),"",FLOOR($C350,10))</f>
        <v/>
      </c>
      <c r="I350" s="11">
        <f>IF(OR($G350="",$H350="",NOT(ISNUMBER($G350)),NOT(ISNUMBER($H350))),"",$H350-$G350)</f>
        <v/>
      </c>
    </row>
    <row r="351">
      <c r="B351" s="11">
        <f>IF($A351="","",IFERROR(IF(INDEX(Community_Register!$B$2:$B$402,MATCH($A351,Community_Register!$A$2:$A$402,0))="","",INDEX(Community_Register!$B$2:$B$402,MATCH($A351,Community_Register!$A$2:$A$402,0))),""))</f>
        <v/>
      </c>
      <c r="D351" s="11">
        <f>IF(OR($C351="",NOT(ISNUMBER($C351))),"",FLOOR($C351,10))</f>
        <v/>
      </c>
      <c r="I351" s="11">
        <f>IF(OR($G351="",$H351="",NOT(ISNUMBER($G351)),NOT(ISNUMBER($H351))),"",$H351-$G351)</f>
        <v/>
      </c>
    </row>
    <row r="352">
      <c r="B352" s="11">
        <f>IF($A352="","",IFERROR(IF(INDEX(Community_Register!$B$2:$B$402,MATCH($A352,Community_Register!$A$2:$A$402,0))="","",INDEX(Community_Register!$B$2:$B$402,MATCH($A352,Community_Register!$A$2:$A$402,0))),""))</f>
        <v/>
      </c>
      <c r="D352" s="11">
        <f>IF(OR($C352="",NOT(ISNUMBER($C352))),"",FLOOR($C352,10))</f>
        <v/>
      </c>
      <c r="I352" s="11">
        <f>IF(OR($G352="",$H352="",NOT(ISNUMBER($G352)),NOT(ISNUMBER($H352))),"",$H352-$G352)</f>
        <v/>
      </c>
    </row>
    <row r="353">
      <c r="B353" s="11">
        <f>IF($A353="","",IFERROR(IF(INDEX(Community_Register!$B$2:$B$402,MATCH($A353,Community_Register!$A$2:$A$402,0))="","",INDEX(Community_Register!$B$2:$B$402,MATCH($A353,Community_Register!$A$2:$A$402,0))),""))</f>
        <v/>
      </c>
      <c r="D353" s="11">
        <f>IF(OR($C353="",NOT(ISNUMBER($C353))),"",FLOOR($C353,10))</f>
        <v/>
      </c>
      <c r="I353" s="11">
        <f>IF(OR($G353="",$H353="",NOT(ISNUMBER($G353)),NOT(ISNUMBER($H353))),"",$H353-$G353)</f>
        <v/>
      </c>
    </row>
    <row r="354">
      <c r="B354" s="11">
        <f>IF($A354="","",IFERROR(IF(INDEX(Community_Register!$B$2:$B$402,MATCH($A354,Community_Register!$A$2:$A$402,0))="","",INDEX(Community_Register!$B$2:$B$402,MATCH($A354,Community_Register!$A$2:$A$402,0))),""))</f>
        <v/>
      </c>
      <c r="D354" s="11">
        <f>IF(OR($C354="",NOT(ISNUMBER($C354))),"",FLOOR($C354,10))</f>
        <v/>
      </c>
      <c r="I354" s="11">
        <f>IF(OR($G354="",$H354="",NOT(ISNUMBER($G354)),NOT(ISNUMBER($H354))),"",$H354-$G354)</f>
        <v/>
      </c>
    </row>
    <row r="355">
      <c r="B355" s="11">
        <f>IF($A355="","",IFERROR(IF(INDEX(Community_Register!$B$2:$B$402,MATCH($A355,Community_Register!$A$2:$A$402,0))="","",INDEX(Community_Register!$B$2:$B$402,MATCH($A355,Community_Register!$A$2:$A$402,0))),""))</f>
        <v/>
      </c>
      <c r="D355" s="11">
        <f>IF(OR($C355="",NOT(ISNUMBER($C355))),"",FLOOR($C355,10))</f>
        <v/>
      </c>
      <c r="I355" s="11">
        <f>IF(OR($G355="",$H355="",NOT(ISNUMBER($G355)),NOT(ISNUMBER($H355))),"",$H355-$G355)</f>
        <v/>
      </c>
    </row>
    <row r="356">
      <c r="B356" s="11">
        <f>IF($A356="","",IFERROR(IF(INDEX(Community_Register!$B$2:$B$402,MATCH($A356,Community_Register!$A$2:$A$402,0))="","",INDEX(Community_Register!$B$2:$B$402,MATCH($A356,Community_Register!$A$2:$A$402,0))),""))</f>
        <v/>
      </c>
      <c r="D356" s="11">
        <f>IF(OR($C356="",NOT(ISNUMBER($C356))),"",FLOOR($C356,10))</f>
        <v/>
      </c>
      <c r="I356" s="11">
        <f>IF(OR($G356="",$H356="",NOT(ISNUMBER($G356)),NOT(ISNUMBER($H356))),"",$H356-$G356)</f>
        <v/>
      </c>
    </row>
    <row r="357">
      <c r="B357" s="11">
        <f>IF($A357="","",IFERROR(IF(INDEX(Community_Register!$B$2:$B$402,MATCH($A357,Community_Register!$A$2:$A$402,0))="","",INDEX(Community_Register!$B$2:$B$402,MATCH($A357,Community_Register!$A$2:$A$402,0))),""))</f>
        <v/>
      </c>
      <c r="D357" s="11">
        <f>IF(OR($C357="",NOT(ISNUMBER($C357))),"",FLOOR($C357,10))</f>
        <v/>
      </c>
      <c r="I357" s="11">
        <f>IF(OR($G357="",$H357="",NOT(ISNUMBER($G357)),NOT(ISNUMBER($H357))),"",$H357-$G357)</f>
        <v/>
      </c>
    </row>
    <row r="358">
      <c r="B358" s="11">
        <f>IF($A358="","",IFERROR(IF(INDEX(Community_Register!$B$2:$B$402,MATCH($A358,Community_Register!$A$2:$A$402,0))="","",INDEX(Community_Register!$B$2:$B$402,MATCH($A358,Community_Register!$A$2:$A$402,0))),""))</f>
        <v/>
      </c>
      <c r="D358" s="11">
        <f>IF(OR($C358="",NOT(ISNUMBER($C358))),"",FLOOR($C358,10))</f>
        <v/>
      </c>
      <c r="I358" s="11">
        <f>IF(OR($G358="",$H358="",NOT(ISNUMBER($G358)),NOT(ISNUMBER($H358))),"",$H358-$G358)</f>
        <v/>
      </c>
    </row>
    <row r="359">
      <c r="B359" s="11">
        <f>IF($A359="","",IFERROR(IF(INDEX(Community_Register!$B$2:$B$402,MATCH($A359,Community_Register!$A$2:$A$402,0))="","",INDEX(Community_Register!$B$2:$B$402,MATCH($A359,Community_Register!$A$2:$A$402,0))),""))</f>
        <v/>
      </c>
      <c r="D359" s="11">
        <f>IF(OR($C359="",NOT(ISNUMBER($C359))),"",FLOOR($C359,10))</f>
        <v/>
      </c>
      <c r="I359" s="11">
        <f>IF(OR($G359="",$H359="",NOT(ISNUMBER($G359)),NOT(ISNUMBER($H359))),"",$H359-$G359)</f>
        <v/>
      </c>
    </row>
    <row r="360">
      <c r="B360" s="11">
        <f>IF($A360="","",IFERROR(IF(INDEX(Community_Register!$B$2:$B$402,MATCH($A360,Community_Register!$A$2:$A$402,0))="","",INDEX(Community_Register!$B$2:$B$402,MATCH($A360,Community_Register!$A$2:$A$402,0))),""))</f>
        <v/>
      </c>
      <c r="D360" s="11">
        <f>IF(OR($C360="",NOT(ISNUMBER($C360))),"",FLOOR($C360,10))</f>
        <v/>
      </c>
      <c r="I360" s="11">
        <f>IF(OR($G360="",$H360="",NOT(ISNUMBER($G360)),NOT(ISNUMBER($H360))),"",$H360-$G360)</f>
        <v/>
      </c>
    </row>
    <row r="361">
      <c r="B361" s="11">
        <f>IF($A361="","",IFERROR(IF(INDEX(Community_Register!$B$2:$B$402,MATCH($A361,Community_Register!$A$2:$A$402,0))="","",INDEX(Community_Register!$B$2:$B$402,MATCH($A361,Community_Register!$A$2:$A$402,0))),""))</f>
        <v/>
      </c>
      <c r="D361" s="11">
        <f>IF(OR($C361="",NOT(ISNUMBER($C361))),"",FLOOR($C361,10))</f>
        <v/>
      </c>
      <c r="I361" s="11">
        <f>IF(OR($G361="",$H361="",NOT(ISNUMBER($G361)),NOT(ISNUMBER($H361))),"",$H361-$G361)</f>
        <v/>
      </c>
    </row>
    <row r="362">
      <c r="B362" s="11">
        <f>IF($A362="","",IFERROR(IF(INDEX(Community_Register!$B$2:$B$402,MATCH($A362,Community_Register!$A$2:$A$402,0))="","",INDEX(Community_Register!$B$2:$B$402,MATCH($A362,Community_Register!$A$2:$A$402,0))),""))</f>
        <v/>
      </c>
      <c r="D362" s="11">
        <f>IF(OR($C362="",NOT(ISNUMBER($C362))),"",FLOOR($C362,10))</f>
        <v/>
      </c>
      <c r="I362" s="11">
        <f>IF(OR($G362="",$H362="",NOT(ISNUMBER($G362)),NOT(ISNUMBER($H362))),"",$H362-$G362)</f>
        <v/>
      </c>
    </row>
    <row r="363">
      <c r="B363" s="11">
        <f>IF($A363="","",IFERROR(IF(INDEX(Community_Register!$B$2:$B$402,MATCH($A363,Community_Register!$A$2:$A$402,0))="","",INDEX(Community_Register!$B$2:$B$402,MATCH($A363,Community_Register!$A$2:$A$402,0))),""))</f>
        <v/>
      </c>
      <c r="D363" s="11">
        <f>IF(OR($C363="",NOT(ISNUMBER($C363))),"",FLOOR($C363,10))</f>
        <v/>
      </c>
      <c r="I363" s="11">
        <f>IF(OR($G363="",$H363="",NOT(ISNUMBER($G363)),NOT(ISNUMBER($H363))),"",$H363-$G363)</f>
        <v/>
      </c>
    </row>
    <row r="364">
      <c r="B364" s="11">
        <f>IF($A364="","",IFERROR(IF(INDEX(Community_Register!$B$2:$B$402,MATCH($A364,Community_Register!$A$2:$A$402,0))="","",INDEX(Community_Register!$B$2:$B$402,MATCH($A364,Community_Register!$A$2:$A$402,0))),""))</f>
        <v/>
      </c>
      <c r="D364" s="11">
        <f>IF(OR($C364="",NOT(ISNUMBER($C364))),"",FLOOR($C364,10))</f>
        <v/>
      </c>
      <c r="I364" s="11">
        <f>IF(OR($G364="",$H364="",NOT(ISNUMBER($G364)),NOT(ISNUMBER($H364))),"",$H364-$G364)</f>
        <v/>
      </c>
    </row>
    <row r="365">
      <c r="B365" s="11">
        <f>IF($A365="","",IFERROR(IF(INDEX(Community_Register!$B$2:$B$402,MATCH($A365,Community_Register!$A$2:$A$402,0))="","",INDEX(Community_Register!$B$2:$B$402,MATCH($A365,Community_Register!$A$2:$A$402,0))),""))</f>
        <v/>
      </c>
      <c r="D365" s="11">
        <f>IF(OR($C365="",NOT(ISNUMBER($C365))),"",FLOOR($C365,10))</f>
        <v/>
      </c>
      <c r="I365" s="11">
        <f>IF(OR($G365="",$H365="",NOT(ISNUMBER($G365)),NOT(ISNUMBER($H365))),"",$H365-$G365)</f>
        <v/>
      </c>
    </row>
    <row r="366">
      <c r="B366" s="11">
        <f>IF($A366="","",IFERROR(IF(INDEX(Community_Register!$B$2:$B$402,MATCH($A366,Community_Register!$A$2:$A$402,0))="","",INDEX(Community_Register!$B$2:$B$402,MATCH($A366,Community_Register!$A$2:$A$402,0))),""))</f>
        <v/>
      </c>
      <c r="D366" s="11">
        <f>IF(OR($C366="",NOT(ISNUMBER($C366))),"",FLOOR($C366,10))</f>
        <v/>
      </c>
      <c r="I366" s="11">
        <f>IF(OR($G366="",$H366="",NOT(ISNUMBER($G366)),NOT(ISNUMBER($H366))),"",$H366-$G366)</f>
        <v/>
      </c>
    </row>
    <row r="367">
      <c r="B367" s="11">
        <f>IF($A367="","",IFERROR(IF(INDEX(Community_Register!$B$2:$B$402,MATCH($A367,Community_Register!$A$2:$A$402,0))="","",INDEX(Community_Register!$B$2:$B$402,MATCH($A367,Community_Register!$A$2:$A$402,0))),""))</f>
        <v/>
      </c>
      <c r="D367" s="11">
        <f>IF(OR($C367="",NOT(ISNUMBER($C367))),"",FLOOR($C367,10))</f>
        <v/>
      </c>
      <c r="I367" s="11">
        <f>IF(OR($G367="",$H367="",NOT(ISNUMBER($G367)),NOT(ISNUMBER($H367))),"",$H367-$G367)</f>
        <v/>
      </c>
    </row>
    <row r="368">
      <c r="B368" s="11">
        <f>IF($A368="","",IFERROR(IF(INDEX(Community_Register!$B$2:$B$402,MATCH($A368,Community_Register!$A$2:$A$402,0))="","",INDEX(Community_Register!$B$2:$B$402,MATCH($A368,Community_Register!$A$2:$A$402,0))),""))</f>
        <v/>
      </c>
      <c r="D368" s="11">
        <f>IF(OR($C368="",NOT(ISNUMBER($C368))),"",FLOOR($C368,10))</f>
        <v/>
      </c>
      <c r="I368" s="11">
        <f>IF(OR($G368="",$H368="",NOT(ISNUMBER($G368)),NOT(ISNUMBER($H368))),"",$H368-$G368)</f>
        <v/>
      </c>
    </row>
    <row r="369">
      <c r="B369" s="11">
        <f>IF($A369="","",IFERROR(IF(INDEX(Community_Register!$B$2:$B$402,MATCH($A369,Community_Register!$A$2:$A$402,0))="","",INDEX(Community_Register!$B$2:$B$402,MATCH($A369,Community_Register!$A$2:$A$402,0))),""))</f>
        <v/>
      </c>
      <c r="D369" s="11">
        <f>IF(OR($C369="",NOT(ISNUMBER($C369))),"",FLOOR($C369,10))</f>
        <v/>
      </c>
      <c r="I369" s="11">
        <f>IF(OR($G369="",$H369="",NOT(ISNUMBER($G369)),NOT(ISNUMBER($H369))),"",$H369-$G369)</f>
        <v/>
      </c>
    </row>
    <row r="370">
      <c r="B370" s="11">
        <f>IF($A370="","",IFERROR(IF(INDEX(Community_Register!$B$2:$B$402,MATCH($A370,Community_Register!$A$2:$A$402,0))="","",INDEX(Community_Register!$B$2:$B$402,MATCH($A370,Community_Register!$A$2:$A$402,0))),""))</f>
        <v/>
      </c>
      <c r="D370" s="11">
        <f>IF(OR($C370="",NOT(ISNUMBER($C370))),"",FLOOR($C370,10))</f>
        <v/>
      </c>
      <c r="I370" s="11">
        <f>IF(OR($G370="",$H370="",NOT(ISNUMBER($G370)),NOT(ISNUMBER($H370))),"",$H370-$G370)</f>
        <v/>
      </c>
    </row>
    <row r="371">
      <c r="B371" s="11">
        <f>IF($A371="","",IFERROR(IF(INDEX(Community_Register!$B$2:$B$402,MATCH($A371,Community_Register!$A$2:$A$402,0))="","",INDEX(Community_Register!$B$2:$B$402,MATCH($A371,Community_Register!$A$2:$A$402,0))),""))</f>
        <v/>
      </c>
      <c r="D371" s="11">
        <f>IF(OR($C371="",NOT(ISNUMBER($C371))),"",FLOOR($C371,10))</f>
        <v/>
      </c>
      <c r="I371" s="11">
        <f>IF(OR($G371="",$H371="",NOT(ISNUMBER($G371)),NOT(ISNUMBER($H371))),"",$H371-$G371)</f>
        <v/>
      </c>
    </row>
    <row r="372">
      <c r="B372" s="11">
        <f>IF($A372="","",IFERROR(IF(INDEX(Community_Register!$B$2:$B$402,MATCH($A372,Community_Register!$A$2:$A$402,0))="","",INDEX(Community_Register!$B$2:$B$402,MATCH($A372,Community_Register!$A$2:$A$402,0))),""))</f>
        <v/>
      </c>
      <c r="D372" s="11">
        <f>IF(OR($C372="",NOT(ISNUMBER($C372))),"",FLOOR($C372,10))</f>
        <v/>
      </c>
      <c r="I372" s="11">
        <f>IF(OR($G372="",$H372="",NOT(ISNUMBER($G372)),NOT(ISNUMBER($H372))),"",$H372-$G372)</f>
        <v/>
      </c>
    </row>
    <row r="373">
      <c r="B373" s="11">
        <f>IF($A373="","",IFERROR(IF(INDEX(Community_Register!$B$2:$B$402,MATCH($A373,Community_Register!$A$2:$A$402,0))="","",INDEX(Community_Register!$B$2:$B$402,MATCH($A373,Community_Register!$A$2:$A$402,0))),""))</f>
        <v/>
      </c>
      <c r="D373" s="11">
        <f>IF(OR($C373="",NOT(ISNUMBER($C373))),"",FLOOR($C373,10))</f>
        <v/>
      </c>
      <c r="I373" s="11">
        <f>IF(OR($G373="",$H373="",NOT(ISNUMBER($G373)),NOT(ISNUMBER($H373))),"",$H373-$G373)</f>
        <v/>
      </c>
    </row>
    <row r="374">
      <c r="B374" s="11">
        <f>IF($A374="","",IFERROR(IF(INDEX(Community_Register!$B$2:$B$402,MATCH($A374,Community_Register!$A$2:$A$402,0))="","",INDEX(Community_Register!$B$2:$B$402,MATCH($A374,Community_Register!$A$2:$A$402,0))),""))</f>
        <v/>
      </c>
      <c r="D374" s="11">
        <f>IF(OR($C374="",NOT(ISNUMBER($C374))),"",FLOOR($C374,10))</f>
        <v/>
      </c>
      <c r="I374" s="11">
        <f>IF(OR($G374="",$H374="",NOT(ISNUMBER($G374)),NOT(ISNUMBER($H374))),"",$H374-$G374)</f>
        <v/>
      </c>
    </row>
    <row r="375">
      <c r="B375" s="11">
        <f>IF($A375="","",IFERROR(IF(INDEX(Community_Register!$B$2:$B$402,MATCH($A375,Community_Register!$A$2:$A$402,0))="","",INDEX(Community_Register!$B$2:$B$402,MATCH($A375,Community_Register!$A$2:$A$402,0))),""))</f>
        <v/>
      </c>
      <c r="D375" s="11">
        <f>IF(OR($C375="",NOT(ISNUMBER($C375))),"",FLOOR($C375,10))</f>
        <v/>
      </c>
      <c r="I375" s="11">
        <f>IF(OR($G375="",$H375="",NOT(ISNUMBER($G375)),NOT(ISNUMBER($H375))),"",$H375-$G375)</f>
        <v/>
      </c>
    </row>
    <row r="376">
      <c r="B376" s="11">
        <f>IF($A376="","",IFERROR(IF(INDEX(Community_Register!$B$2:$B$402,MATCH($A376,Community_Register!$A$2:$A$402,0))="","",INDEX(Community_Register!$B$2:$B$402,MATCH($A376,Community_Register!$A$2:$A$402,0))),""))</f>
        <v/>
      </c>
      <c r="D376" s="11">
        <f>IF(OR($C376="",NOT(ISNUMBER($C376))),"",FLOOR($C376,10))</f>
        <v/>
      </c>
      <c r="I376" s="11">
        <f>IF(OR($G376="",$H376="",NOT(ISNUMBER($G376)),NOT(ISNUMBER($H376))),"",$H376-$G376)</f>
        <v/>
      </c>
    </row>
    <row r="377">
      <c r="B377" s="11">
        <f>IF($A377="","",IFERROR(IF(INDEX(Community_Register!$B$2:$B$402,MATCH($A377,Community_Register!$A$2:$A$402,0))="","",INDEX(Community_Register!$B$2:$B$402,MATCH($A377,Community_Register!$A$2:$A$402,0))),""))</f>
        <v/>
      </c>
      <c r="D377" s="11">
        <f>IF(OR($C377="",NOT(ISNUMBER($C377))),"",FLOOR($C377,10))</f>
        <v/>
      </c>
      <c r="I377" s="11">
        <f>IF(OR($G377="",$H377="",NOT(ISNUMBER($G377)),NOT(ISNUMBER($H377))),"",$H377-$G377)</f>
        <v/>
      </c>
    </row>
    <row r="378">
      <c r="B378" s="11">
        <f>IF($A378="","",IFERROR(IF(INDEX(Community_Register!$B$2:$B$402,MATCH($A378,Community_Register!$A$2:$A$402,0))="","",INDEX(Community_Register!$B$2:$B$402,MATCH($A378,Community_Register!$A$2:$A$402,0))),""))</f>
        <v/>
      </c>
      <c r="D378" s="11">
        <f>IF(OR($C378="",NOT(ISNUMBER($C378))),"",FLOOR($C378,10))</f>
        <v/>
      </c>
      <c r="I378" s="11">
        <f>IF(OR($G378="",$H378="",NOT(ISNUMBER($G378)),NOT(ISNUMBER($H378))),"",$H378-$G378)</f>
        <v/>
      </c>
    </row>
    <row r="379">
      <c r="B379" s="11">
        <f>IF($A379="","",IFERROR(IF(INDEX(Community_Register!$B$2:$B$402,MATCH($A379,Community_Register!$A$2:$A$402,0))="","",INDEX(Community_Register!$B$2:$B$402,MATCH($A379,Community_Register!$A$2:$A$402,0))),""))</f>
        <v/>
      </c>
      <c r="D379" s="11">
        <f>IF(OR($C379="",NOT(ISNUMBER($C379))),"",FLOOR($C379,10))</f>
        <v/>
      </c>
      <c r="I379" s="11">
        <f>IF(OR($G379="",$H379="",NOT(ISNUMBER($G379)),NOT(ISNUMBER($H379))),"",$H379-$G379)</f>
        <v/>
      </c>
    </row>
    <row r="380">
      <c r="B380" s="11">
        <f>IF($A380="","",IFERROR(IF(INDEX(Community_Register!$B$2:$B$402,MATCH($A380,Community_Register!$A$2:$A$402,0))="","",INDEX(Community_Register!$B$2:$B$402,MATCH($A380,Community_Register!$A$2:$A$402,0))),""))</f>
        <v/>
      </c>
      <c r="D380" s="11">
        <f>IF(OR($C380="",NOT(ISNUMBER($C380))),"",FLOOR($C380,10))</f>
        <v/>
      </c>
      <c r="I380" s="11">
        <f>IF(OR($G380="",$H380="",NOT(ISNUMBER($G380)),NOT(ISNUMBER($H380))),"",$H380-$G380)</f>
        <v/>
      </c>
    </row>
    <row r="381">
      <c r="B381" s="11">
        <f>IF($A381="","",IFERROR(IF(INDEX(Community_Register!$B$2:$B$402,MATCH($A381,Community_Register!$A$2:$A$402,0))="","",INDEX(Community_Register!$B$2:$B$402,MATCH($A381,Community_Register!$A$2:$A$402,0))),""))</f>
        <v/>
      </c>
      <c r="D381" s="11">
        <f>IF(OR($C381="",NOT(ISNUMBER($C381))),"",FLOOR($C381,10))</f>
        <v/>
      </c>
      <c r="I381" s="11">
        <f>IF(OR($G381="",$H381="",NOT(ISNUMBER($G381)),NOT(ISNUMBER($H381))),"",$H381-$G381)</f>
        <v/>
      </c>
    </row>
    <row r="382">
      <c r="B382" s="11">
        <f>IF($A382="","",IFERROR(IF(INDEX(Community_Register!$B$2:$B$402,MATCH($A382,Community_Register!$A$2:$A$402,0))="","",INDEX(Community_Register!$B$2:$B$402,MATCH($A382,Community_Register!$A$2:$A$402,0))),""))</f>
        <v/>
      </c>
      <c r="D382" s="11">
        <f>IF(OR($C382="",NOT(ISNUMBER($C382))),"",FLOOR($C382,10))</f>
        <v/>
      </c>
      <c r="I382" s="11">
        <f>IF(OR($G382="",$H382="",NOT(ISNUMBER($G382)),NOT(ISNUMBER($H382))),"",$H382-$G382)</f>
        <v/>
      </c>
    </row>
    <row r="383">
      <c r="B383" s="11">
        <f>IF($A383="","",IFERROR(IF(INDEX(Community_Register!$B$2:$B$402,MATCH($A383,Community_Register!$A$2:$A$402,0))="","",INDEX(Community_Register!$B$2:$B$402,MATCH($A383,Community_Register!$A$2:$A$402,0))),""))</f>
        <v/>
      </c>
      <c r="D383" s="11">
        <f>IF(OR($C383="",NOT(ISNUMBER($C383))),"",FLOOR($C383,10))</f>
        <v/>
      </c>
      <c r="I383" s="11">
        <f>IF(OR($G383="",$H383="",NOT(ISNUMBER($G383)),NOT(ISNUMBER($H383))),"",$H383-$G383)</f>
        <v/>
      </c>
    </row>
    <row r="384">
      <c r="B384" s="11">
        <f>IF($A384="","",IFERROR(IF(INDEX(Community_Register!$B$2:$B$402,MATCH($A384,Community_Register!$A$2:$A$402,0))="","",INDEX(Community_Register!$B$2:$B$402,MATCH($A384,Community_Register!$A$2:$A$402,0))),""))</f>
        <v/>
      </c>
      <c r="D384" s="11">
        <f>IF(OR($C384="",NOT(ISNUMBER($C384))),"",FLOOR($C384,10))</f>
        <v/>
      </c>
      <c r="I384" s="11">
        <f>IF(OR($G384="",$H384="",NOT(ISNUMBER($G384)),NOT(ISNUMBER($H384))),"",$H384-$G384)</f>
        <v/>
      </c>
    </row>
    <row r="385">
      <c r="B385" s="11">
        <f>IF($A385="","",IFERROR(IF(INDEX(Community_Register!$B$2:$B$402,MATCH($A385,Community_Register!$A$2:$A$402,0))="","",INDEX(Community_Register!$B$2:$B$402,MATCH($A385,Community_Register!$A$2:$A$402,0))),""))</f>
        <v/>
      </c>
      <c r="D385" s="11">
        <f>IF(OR($C385="",NOT(ISNUMBER($C385))),"",FLOOR($C385,10))</f>
        <v/>
      </c>
      <c r="I385" s="11">
        <f>IF(OR($G385="",$H385="",NOT(ISNUMBER($G385)),NOT(ISNUMBER($H385))),"",$H385-$G385)</f>
        <v/>
      </c>
    </row>
    <row r="386">
      <c r="B386" s="11">
        <f>IF($A386="","",IFERROR(IF(INDEX(Community_Register!$B$2:$B$402,MATCH($A386,Community_Register!$A$2:$A$402,0))="","",INDEX(Community_Register!$B$2:$B$402,MATCH($A386,Community_Register!$A$2:$A$402,0))),""))</f>
        <v/>
      </c>
      <c r="D386" s="11">
        <f>IF(OR($C386="",NOT(ISNUMBER($C386))),"",FLOOR($C386,10))</f>
        <v/>
      </c>
      <c r="I386" s="11">
        <f>IF(OR($G386="",$H386="",NOT(ISNUMBER($G386)),NOT(ISNUMBER($H386))),"",$H386-$G386)</f>
        <v/>
      </c>
    </row>
    <row r="387">
      <c r="B387" s="11">
        <f>IF($A387="","",IFERROR(IF(INDEX(Community_Register!$B$2:$B$402,MATCH($A387,Community_Register!$A$2:$A$402,0))="","",INDEX(Community_Register!$B$2:$B$402,MATCH($A387,Community_Register!$A$2:$A$402,0))),""))</f>
        <v/>
      </c>
      <c r="D387" s="11">
        <f>IF(OR($C387="",NOT(ISNUMBER($C387))),"",FLOOR($C387,10))</f>
        <v/>
      </c>
      <c r="I387" s="11">
        <f>IF(OR($G387="",$H387="",NOT(ISNUMBER($G387)),NOT(ISNUMBER($H387))),"",$H387-$G387)</f>
        <v/>
      </c>
    </row>
    <row r="388">
      <c r="B388" s="11">
        <f>IF($A388="","",IFERROR(IF(INDEX(Community_Register!$B$2:$B$402,MATCH($A388,Community_Register!$A$2:$A$402,0))="","",INDEX(Community_Register!$B$2:$B$402,MATCH($A388,Community_Register!$A$2:$A$402,0))),""))</f>
        <v/>
      </c>
      <c r="D388" s="11">
        <f>IF(OR($C388="",NOT(ISNUMBER($C388))),"",FLOOR($C388,10))</f>
        <v/>
      </c>
      <c r="I388" s="11">
        <f>IF(OR($G388="",$H388="",NOT(ISNUMBER($G388)),NOT(ISNUMBER($H388))),"",$H388-$G388)</f>
        <v/>
      </c>
    </row>
    <row r="389">
      <c r="B389" s="11">
        <f>IF($A389="","",IFERROR(IF(INDEX(Community_Register!$B$2:$B$402,MATCH($A389,Community_Register!$A$2:$A$402,0))="","",INDEX(Community_Register!$B$2:$B$402,MATCH($A389,Community_Register!$A$2:$A$402,0))),""))</f>
        <v/>
      </c>
      <c r="D389" s="11">
        <f>IF(OR($C389="",NOT(ISNUMBER($C389))),"",FLOOR($C389,10))</f>
        <v/>
      </c>
      <c r="I389" s="11">
        <f>IF(OR($G389="",$H389="",NOT(ISNUMBER($G389)),NOT(ISNUMBER($H389))),"",$H389-$G389)</f>
        <v/>
      </c>
    </row>
    <row r="390">
      <c r="B390" s="11">
        <f>IF($A390="","",IFERROR(IF(INDEX(Community_Register!$B$2:$B$402,MATCH($A390,Community_Register!$A$2:$A$402,0))="","",INDEX(Community_Register!$B$2:$B$402,MATCH($A390,Community_Register!$A$2:$A$402,0))),""))</f>
        <v/>
      </c>
      <c r="D390" s="11">
        <f>IF(OR($C390="",NOT(ISNUMBER($C390))),"",FLOOR($C390,10))</f>
        <v/>
      </c>
      <c r="I390" s="11">
        <f>IF(OR($G390="",$H390="",NOT(ISNUMBER($G390)),NOT(ISNUMBER($H390))),"",$H390-$G390)</f>
        <v/>
      </c>
    </row>
    <row r="391">
      <c r="B391" s="11">
        <f>IF($A391="","",IFERROR(IF(INDEX(Community_Register!$B$2:$B$402,MATCH($A391,Community_Register!$A$2:$A$402,0))="","",INDEX(Community_Register!$B$2:$B$402,MATCH($A391,Community_Register!$A$2:$A$402,0))),""))</f>
        <v/>
      </c>
      <c r="D391" s="11">
        <f>IF(OR($C391="",NOT(ISNUMBER($C391))),"",FLOOR($C391,10))</f>
        <v/>
      </c>
      <c r="I391" s="11">
        <f>IF(OR($G391="",$H391="",NOT(ISNUMBER($G391)),NOT(ISNUMBER($H391))),"",$H391-$G391)</f>
        <v/>
      </c>
    </row>
    <row r="392">
      <c r="B392" s="11">
        <f>IF($A392="","",IFERROR(IF(INDEX(Community_Register!$B$2:$B$402,MATCH($A392,Community_Register!$A$2:$A$402,0))="","",INDEX(Community_Register!$B$2:$B$402,MATCH($A392,Community_Register!$A$2:$A$402,0))),""))</f>
        <v/>
      </c>
      <c r="D392" s="11">
        <f>IF(OR($C392="",NOT(ISNUMBER($C392))),"",FLOOR($C392,10))</f>
        <v/>
      </c>
      <c r="I392" s="11">
        <f>IF(OR($G392="",$H392="",NOT(ISNUMBER($G392)),NOT(ISNUMBER($H392))),"",$H392-$G392)</f>
        <v/>
      </c>
    </row>
    <row r="393">
      <c r="B393" s="11">
        <f>IF($A393="","",IFERROR(IF(INDEX(Community_Register!$B$2:$B$402,MATCH($A393,Community_Register!$A$2:$A$402,0))="","",INDEX(Community_Register!$B$2:$B$402,MATCH($A393,Community_Register!$A$2:$A$402,0))),""))</f>
        <v/>
      </c>
      <c r="D393" s="11">
        <f>IF(OR($C393="",NOT(ISNUMBER($C393))),"",FLOOR($C393,10))</f>
        <v/>
      </c>
      <c r="I393" s="11">
        <f>IF(OR($G393="",$H393="",NOT(ISNUMBER($G393)),NOT(ISNUMBER($H393))),"",$H393-$G393)</f>
        <v/>
      </c>
    </row>
    <row r="394">
      <c r="B394" s="11">
        <f>IF($A394="","",IFERROR(IF(INDEX(Community_Register!$B$2:$B$402,MATCH($A394,Community_Register!$A$2:$A$402,0))="","",INDEX(Community_Register!$B$2:$B$402,MATCH($A394,Community_Register!$A$2:$A$402,0))),""))</f>
        <v/>
      </c>
      <c r="D394" s="11">
        <f>IF(OR($C394="",NOT(ISNUMBER($C394))),"",FLOOR($C394,10))</f>
        <v/>
      </c>
      <c r="I394" s="11">
        <f>IF(OR($G394="",$H394="",NOT(ISNUMBER($G394)),NOT(ISNUMBER($H394))),"",$H394-$G394)</f>
        <v/>
      </c>
    </row>
    <row r="395">
      <c r="B395" s="11">
        <f>IF($A395="","",IFERROR(IF(INDEX(Community_Register!$B$2:$B$402,MATCH($A395,Community_Register!$A$2:$A$402,0))="","",INDEX(Community_Register!$B$2:$B$402,MATCH($A395,Community_Register!$A$2:$A$402,0))),""))</f>
        <v/>
      </c>
      <c r="D395" s="11">
        <f>IF(OR($C395="",NOT(ISNUMBER($C395))),"",FLOOR($C395,10))</f>
        <v/>
      </c>
      <c r="I395" s="11">
        <f>IF(OR($G395="",$H395="",NOT(ISNUMBER($G395)),NOT(ISNUMBER($H395))),"",$H395-$G395)</f>
        <v/>
      </c>
    </row>
    <row r="396">
      <c r="B396" s="11">
        <f>IF($A396="","",IFERROR(IF(INDEX(Community_Register!$B$2:$B$402,MATCH($A396,Community_Register!$A$2:$A$402,0))="","",INDEX(Community_Register!$B$2:$B$402,MATCH($A396,Community_Register!$A$2:$A$402,0))),""))</f>
        <v/>
      </c>
      <c r="D396" s="11">
        <f>IF(OR($C396="",NOT(ISNUMBER($C396))),"",FLOOR($C396,10))</f>
        <v/>
      </c>
      <c r="I396" s="11">
        <f>IF(OR($G396="",$H396="",NOT(ISNUMBER($G396)),NOT(ISNUMBER($H396))),"",$H396-$G396)</f>
        <v/>
      </c>
    </row>
    <row r="397">
      <c r="B397" s="11">
        <f>IF($A397="","",IFERROR(IF(INDEX(Community_Register!$B$2:$B$402,MATCH($A397,Community_Register!$A$2:$A$402,0))="","",INDEX(Community_Register!$B$2:$B$402,MATCH($A397,Community_Register!$A$2:$A$402,0))),""))</f>
        <v/>
      </c>
      <c r="D397" s="11">
        <f>IF(OR($C397="",NOT(ISNUMBER($C397))),"",FLOOR($C397,10))</f>
        <v/>
      </c>
      <c r="I397" s="11">
        <f>IF(OR($G397="",$H397="",NOT(ISNUMBER($G397)),NOT(ISNUMBER($H397))),"",$H397-$G397)</f>
        <v/>
      </c>
    </row>
    <row r="398">
      <c r="B398" s="11">
        <f>IF($A398="","",IFERROR(IF(INDEX(Community_Register!$B$2:$B$402,MATCH($A398,Community_Register!$A$2:$A$402,0))="","",INDEX(Community_Register!$B$2:$B$402,MATCH($A398,Community_Register!$A$2:$A$402,0))),""))</f>
        <v/>
      </c>
      <c r="D398" s="11">
        <f>IF(OR($C398="",NOT(ISNUMBER($C398))),"",FLOOR($C398,10))</f>
        <v/>
      </c>
      <c r="I398" s="11">
        <f>IF(OR($G398="",$H398="",NOT(ISNUMBER($G398)),NOT(ISNUMBER($H398))),"",$H398-$G398)</f>
        <v/>
      </c>
    </row>
    <row r="399">
      <c r="B399" s="11">
        <f>IF($A399="","",IFERROR(IF(INDEX(Community_Register!$B$2:$B$402,MATCH($A399,Community_Register!$A$2:$A$402,0))="","",INDEX(Community_Register!$B$2:$B$402,MATCH($A399,Community_Register!$A$2:$A$402,0))),""))</f>
        <v/>
      </c>
      <c r="D399" s="11">
        <f>IF(OR($C399="",NOT(ISNUMBER($C399))),"",FLOOR($C399,10))</f>
        <v/>
      </c>
      <c r="I399" s="11">
        <f>IF(OR($G399="",$H399="",NOT(ISNUMBER($G399)),NOT(ISNUMBER($H399))),"",$H399-$G399)</f>
        <v/>
      </c>
    </row>
    <row r="400">
      <c r="B400" s="11">
        <f>IF($A400="","",IFERROR(IF(INDEX(Community_Register!$B$2:$B$402,MATCH($A400,Community_Register!$A$2:$A$402,0))="","",INDEX(Community_Register!$B$2:$B$402,MATCH($A400,Community_Register!$A$2:$A$402,0))),""))</f>
        <v/>
      </c>
      <c r="D400" s="11">
        <f>IF(OR($C400="",NOT(ISNUMBER($C400))),"",FLOOR($C400,10))</f>
        <v/>
      </c>
      <c r="I400" s="11">
        <f>IF(OR($G400="",$H400="",NOT(ISNUMBER($G400)),NOT(ISNUMBER($H400))),"",$H400-$G400)</f>
        <v/>
      </c>
    </row>
    <row r="401">
      <c r="B401" s="11">
        <f>IF($A401="","",IFERROR(IF(INDEX(Community_Register!$B$2:$B$402,MATCH($A401,Community_Register!$A$2:$A$402,0))="","",INDEX(Community_Register!$B$2:$B$402,MATCH($A401,Community_Register!$A$2:$A$402,0))),""))</f>
        <v/>
      </c>
      <c r="D401" s="11">
        <f>IF(OR($C401="",NOT(ISNUMBER($C401))),"",FLOOR($C401,10))</f>
        <v/>
      </c>
      <c r="I401" s="11">
        <f>IF(OR($G401="",$H401="",NOT(ISNUMBER($G401)),NOT(ISNUMBER($H401))),"",$H401-$G401)</f>
        <v/>
      </c>
    </row>
    <row r="402">
      <c r="B402" s="11">
        <f>IF($A402="","",IFERROR(IF(INDEX(Community_Register!$B$2:$B$402,MATCH($A402,Community_Register!$A$2:$A$402,0))="","",INDEX(Community_Register!$B$2:$B$402,MATCH($A402,Community_Register!$A$2:$A$402,0))),""))</f>
        <v/>
      </c>
      <c r="D402" s="11">
        <f>IF(OR($C402="",NOT(ISNUMBER($C402))),"",FLOOR($C402,10))</f>
        <v/>
      </c>
      <c r="I402" s="11">
        <f>IF(OR($G402="",$H402="",NOT(ISNUMBER($G402)),NOT(ISNUMBER($H402))),"",$H402-$G402)</f>
        <v/>
      </c>
    </row>
  </sheetData>
  <autoFilter ref="A1:U1"/>
  <dataValidations count="5">
    <dataValidation sqref="J2:J402" showDropDown="0" showInputMessage="0" showErrorMessage="0" allowBlank="1" errorTitle="Value not in the controlled vocabulary" error="Use the dropdown. Free-typed variants corrupt every count." type="list">
      <formula1>"1,2,3,4,5"</formula1>
    </dataValidation>
    <dataValidation sqref="N2:N402" showDropDown="0" showInputMessage="0" showErrorMessage="0" allowBlank="1" errorTitle="Value not in the controlled vocabulary" error="Use the dropdown. Free-typed variants corrupt every count." type="list">
      <formula1>"yes,no"</formula1>
    </dataValidation>
    <dataValidation sqref="O2:O402" showDropDown="0" showInputMessage="0" showErrorMessage="0" allowBlank="1" errorTitle="Value not in the controlled vocabulary" error="Use the dropdown. Free-typed variants corrupt every count." type="list">
      <formula1>"A,B,C"</formula1>
    </dataValidation>
    <dataValidation sqref="P2:P402" showDropDown="0" showInputMessage="0" showErrorMessage="0" allowBlank="1" errorTitle="Value not in the controlled vocabulary" error="Use the dropdown. Free-typed variants corrupt every count." type="list">
      <formula1>"first intervention,major new project,unclear"</formula1>
    </dataValidation>
    <dataValidation sqref="Q2:Q402" showDropDown="0" showInputMessage="0" showErrorMessage="0" allowBlank="1" errorTitle="Value not in the controlled vocabulary" error="Use the dropdown. Free-typed variants corrupt every count." type="list">
      <formula1>"core (2020-2021),extension (2019),no,uncertain"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4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22" customWidth="1" min="10" max="10"/>
    <col width="18" customWidth="1" min="11" max="11"/>
    <col width="18" customWidth="1" min="12" max="12"/>
    <col width="18" customWidth="1" min="13" max="13"/>
    <col width="24" customWidth="1" min="14" max="14"/>
    <col width="18" customWidth="1" min="15" max="15"/>
    <col width="18" customWidth="1" min="16" max="16"/>
    <col width="18" customWidth="1" min="17" max="17"/>
    <col width="40" customWidth="1" min="18" max="18"/>
    <col width="18" customWidth="1" min="19" max="19"/>
    <col width="18" customWidth="1" min="20" max="20"/>
    <col width="18" customWidth="1" min="21" max="21"/>
    <col width="18" customWidth="1" min="22" max="22"/>
    <col width="36" customWidth="1" min="23" max="23"/>
    <col width="96" customWidth="1" min="25" max="25"/>
  </cols>
  <sheetData>
    <row r="1" ht="30" customHeight="1">
      <c r="A1" s="9" t="inlineStr">
        <is>
          <t>site_id</t>
        </is>
      </c>
      <c r="B1" s="9" t="inlineStr">
        <is>
          <t>community_name</t>
        </is>
      </c>
      <c r="C1" s="9" t="inlineStr">
        <is>
          <t>polygon_area_ha</t>
        </is>
      </c>
      <c r="D1" s="9" t="inlineStr">
        <is>
          <t>polygon_file_id</t>
        </is>
      </c>
      <c r="E1" s="9" t="inlineStr">
        <is>
          <t>polygon_imagery_date</t>
        </is>
      </c>
      <c r="F1" s="9" t="inlineStr">
        <is>
          <t>polygon_imagery_source</t>
        </is>
      </c>
      <c r="G1" s="9" t="inlineStr">
        <is>
          <t>polygon_confidence</t>
        </is>
      </c>
      <c r="H1" s="9" t="inlineStr">
        <is>
          <t>below_minimum_flag</t>
        </is>
      </c>
      <c r="I1" s="9" t="inlineStr">
        <is>
          <t>reference_circle</t>
        </is>
      </c>
      <c r="J1" s="9" t="inlineStr">
        <is>
          <t>equal_area_circle_radius_m</t>
        </is>
      </c>
      <c r="K1" s="9" t="inlineStr">
        <is>
          <t>polygon_redrawn</t>
        </is>
      </c>
      <c r="L1" s="9" t="inlineStr">
        <is>
          <t>redraw_area_ha</t>
        </is>
      </c>
      <c r="M1" s="9" t="inlineStr">
        <is>
          <t>polygon_iou</t>
        </is>
      </c>
      <c r="N1" s="9" t="inlineStr">
        <is>
          <t>documentary_managed_area_ha</t>
        </is>
      </c>
      <c r="O1" s="9" t="inlineStr">
        <is>
          <t>documentary_area_basis</t>
        </is>
      </c>
      <c r="P1" s="9" t="inlineStr">
        <is>
          <t>area_ratio</t>
        </is>
      </c>
      <c r="Q1" s="9" t="inlineStr">
        <is>
          <t>area_agreement_tier</t>
        </is>
      </c>
      <c r="R1" s="9" t="inlineStr">
        <is>
          <t>agreement_note</t>
        </is>
      </c>
      <c r="S1" s="9" t="inlineStr">
        <is>
          <t>controls_translated</t>
        </is>
      </c>
      <c r="T1" s="9" t="inlineStr">
        <is>
          <t>drawn_by</t>
        </is>
      </c>
      <c r="U1" s="9" t="inlineStr">
        <is>
          <t>drawn_date</t>
        </is>
      </c>
      <c r="V1" s="9" t="inlineStr">
        <is>
          <t>redraw_date</t>
        </is>
      </c>
      <c r="W1" s="9" t="inlineStr">
        <is>
          <t>notes</t>
        </is>
      </c>
      <c r="Y1" s="10" t="inlineStr">
        <is>
          <t>THE MEASUREMENT GEOMETRY. This sheet, not the documentary area, defines the ground every metric is computed over.</t>
        </is>
      </c>
    </row>
    <row r="2">
      <c r="B2" s="11">
        <f>IF($A2="","",IFERROR(IF(INDEX(Community_Register!$B$2:$B$402,MATCH($A2,Community_Register!$A$2:$A$402,0))="","",INDEX(Community_Register!$B$2:$B$402,MATCH($A2,Community_Register!$A$2:$A$402,0))),""))</f>
        <v/>
      </c>
      <c r="H2" s="11">
        <f>IF($C2="","",IF($C2&lt;1,"yes","no"))</f>
        <v/>
      </c>
      <c r="I2" s="11">
        <f>IF($C2="","",IF($C2&lt;2.6,"r75",IF($C2&lt;5.2,"r110",IF($C2&lt;9.9,"r150",IF($C2&lt;19.8,"r210","r300")))))</f>
        <v/>
      </c>
      <c r="J2" s="11">
        <f>IF($C2="","",ROUND(SQRT($C2*10000/PI()),1))</f>
        <v/>
      </c>
      <c r="N2" s="11">
        <f>IF($A2="","",IFERROR(IF(INDEX(Community_Register!$S$2:$S$402,MATCH($A2,Community_Register!$A$2:$A$402,0))="","",INDEX(Community_Register!$S$2:$S$402,MATCH($A2,Community_Register!$A$2:$A$402,0))),""))</f>
        <v/>
      </c>
      <c r="O2" s="11">
        <f>IF($A2="","",IFERROR(IF(INDEX(Community_Register!$V$2:$V$402,MATCH($A2,Community_Register!$A$2:$A$402,0))="","",INDEX(Community_Register!$V$2:$V$402,MATCH($A2,Community_Register!$A$2:$A$402,0))),""))</f>
        <v/>
      </c>
      <c r="P2" s="11">
        <f>IF(OR($C2="",$N2="",NOT(ISNUMBER($N2))),"",$N2/$C2)</f>
        <v/>
      </c>
      <c r="Q2" s="11">
        <f>IF($C2="","",IF(OR($N2="",NOT(ISNUMBER($N2))),"B",IF(ABS($P2-1)&lt;=0.3,"A",IF(OR($P2&gt;2,$P2&lt;0.5),"C","B"))))</f>
        <v/>
      </c>
      <c r="Y2" s="12" t="inlineStr"/>
    </row>
    <row r="3">
      <c r="B3" s="11">
        <f>IF($A3="","",IFERROR(IF(INDEX(Community_Register!$B$2:$B$402,MATCH($A3,Community_Register!$A$2:$A$402,0))="","",INDEX(Community_Register!$B$2:$B$402,MATCH($A3,Community_Register!$A$2:$A$402,0))),""))</f>
        <v/>
      </c>
      <c r="H3" s="11">
        <f>IF($C3="","",IF($C3&lt;1,"yes","no"))</f>
        <v/>
      </c>
      <c r="I3" s="11">
        <f>IF($C3="","",IF($C3&lt;2.6,"r75",IF($C3&lt;5.2,"r110",IF($C3&lt;9.9,"r150",IF($C3&lt;19.8,"r210","r300")))))</f>
        <v/>
      </c>
      <c r="J3" s="11">
        <f>IF($C3="","",ROUND(SQRT($C3*10000/PI()),1))</f>
        <v/>
      </c>
      <c r="N3" s="11">
        <f>IF($A3="","",IFERROR(IF(INDEX(Community_Register!$S$2:$S$402,MATCH($A3,Community_Register!$A$2:$A$402,0))="","",INDEX(Community_Register!$S$2:$S$402,MATCH($A3,Community_Register!$A$2:$A$402,0))),""))</f>
        <v/>
      </c>
      <c r="O3" s="11">
        <f>IF($A3="","",IFERROR(IF(INDEX(Community_Register!$V$2:$V$402,MATCH($A3,Community_Register!$A$2:$A$402,0))="","",INDEX(Community_Register!$V$2:$V$402,MATCH($A3,Community_Register!$A$2:$A$402,0))),""))</f>
        <v/>
      </c>
      <c r="P3" s="11">
        <f>IF(OR($C3="",$N3="",NOT(ISNUMBER($N3))),"",$N3/$C3)</f>
        <v/>
      </c>
      <c r="Q3" s="11">
        <f>IF($C3="","",IF(OR($N3="",NOT(ISNUMBER($N3))),"B",IF(ABS($P3-1)&lt;=0.3,"A",IF(OR($P3&gt;2,$P3&lt;0.5),"C","B"))))</f>
        <v/>
      </c>
      <c r="Y3" s="12" t="inlineStr">
        <is>
          <t>YOU supply: polygon_area_ha, polygon_file_id, the imagery date and source, polygon_confidence, the redraw fields, agreement_note and controls_translated. Everything else on this sheet computes itself.</t>
        </is>
      </c>
    </row>
    <row r="4">
      <c r="B4" s="11">
        <f>IF($A4="","",IFERROR(IF(INDEX(Community_Register!$B$2:$B$402,MATCH($A4,Community_Register!$A$2:$A$402,0))="","",INDEX(Community_Register!$B$2:$B$402,MATCH($A4,Community_Register!$A$2:$A$402,0))),""))</f>
        <v/>
      </c>
      <c r="H4" s="11">
        <f>IF($C4="","",IF($C4&lt;1,"yes","no"))</f>
        <v/>
      </c>
      <c r="I4" s="11">
        <f>IF($C4="","",IF($C4&lt;2.6,"r75",IF($C4&lt;5.2,"r110",IF($C4&lt;9.9,"r150",IF($C4&lt;19.8,"r210","r300")))))</f>
        <v/>
      </c>
      <c r="J4" s="11">
        <f>IF($C4="","",ROUND(SQRT($C4*10000/PI()),1))</f>
        <v/>
      </c>
      <c r="N4" s="11">
        <f>IF($A4="","",IFERROR(IF(INDEX(Community_Register!$S$2:$S$402,MATCH($A4,Community_Register!$A$2:$A$402,0))="","",INDEX(Community_Register!$S$2:$S$402,MATCH($A4,Community_Register!$A$2:$A$402,0))),""))</f>
        <v/>
      </c>
      <c r="O4" s="11">
        <f>IF($A4="","",IFERROR(IF(INDEX(Community_Register!$V$2:$V$402,MATCH($A4,Community_Register!$A$2:$A$402,0))="","",INDEX(Community_Register!$V$2:$V$402,MATCH($A4,Community_Register!$A$2:$A$402,0))),""))</f>
        <v/>
      </c>
      <c r="P4" s="11">
        <f>IF(OR($C4="",$N4="",NOT(ISNUMBER($N4))),"",$N4/$C4)</f>
        <v/>
      </c>
      <c r="Q4" s="11">
        <f>IF($C4="","",IF(OR($N4="",NOT(ISNUMBER($N4))),"B",IF(ABS($P4-1)&lt;=0.3,"A",IF(OR($P4&gt;2,$P4&lt;0.5),"C","B"))))</f>
        <v/>
      </c>
      <c r="Y4" s="12" t="inlineStr"/>
    </row>
    <row r="5">
      <c r="B5" s="11">
        <f>IF($A5="","",IFERROR(IF(INDEX(Community_Register!$B$2:$B$402,MATCH($A5,Community_Register!$A$2:$A$402,0))="","",INDEX(Community_Register!$B$2:$B$402,MATCH($A5,Community_Register!$A$2:$A$402,0))),""))</f>
        <v/>
      </c>
      <c r="H5" s="11">
        <f>IF($C5="","",IF($C5&lt;1,"yes","no"))</f>
        <v/>
      </c>
      <c r="I5" s="11">
        <f>IF($C5="","",IF($C5&lt;2.6,"r75",IF($C5&lt;5.2,"r110",IF($C5&lt;9.9,"r150",IF($C5&lt;19.8,"r210","r300")))))</f>
        <v/>
      </c>
      <c r="J5" s="11">
        <f>IF($C5="","",ROUND(SQRT($C5*10000/PI()),1))</f>
        <v/>
      </c>
      <c r="N5" s="11">
        <f>IF($A5="","",IFERROR(IF(INDEX(Community_Register!$S$2:$S$402,MATCH($A5,Community_Register!$A$2:$A$402,0))="","",INDEX(Community_Register!$S$2:$S$402,MATCH($A5,Community_Register!$A$2:$A$402,0))),""))</f>
        <v/>
      </c>
      <c r="O5" s="11">
        <f>IF($A5="","",IFERROR(IF(INDEX(Community_Register!$V$2:$V$402,MATCH($A5,Community_Register!$A$2:$A$402,0))="","",INDEX(Community_Register!$V$2:$V$402,MATCH($A5,Community_Register!$A$2:$A$402,0))),""))</f>
        <v/>
      </c>
      <c r="P5" s="11">
        <f>IF(OR($C5="",$N5="",NOT(ISNUMBER($N5))),"",$N5/$C5)</f>
        <v/>
      </c>
      <c r="Q5" s="11">
        <f>IF($C5="","",IF(OR($N5="",NOT(ISNUMBER($N5))),"B",IF(ABS($P5-1)&lt;=0.3,"A",IF(OR($P5&gt;2,$P5&lt;0.5),"C","B"))))</f>
        <v/>
      </c>
      <c r="Y5" s="12" t="inlineStr">
        <is>
          <t>The four documentary columns are READ-ONLY LOOKUPS from Community_Register. They cannot be typed and cannot drift. Enter the documentary area once, there.</t>
        </is>
      </c>
    </row>
    <row r="6">
      <c r="B6" s="11">
        <f>IF($A6="","",IFERROR(IF(INDEX(Community_Register!$B$2:$B$402,MATCH($A6,Community_Register!$A$2:$A$402,0))="","",INDEX(Community_Register!$B$2:$B$402,MATCH($A6,Community_Register!$A$2:$A$402,0))),""))</f>
        <v/>
      </c>
      <c r="H6" s="11">
        <f>IF($C6="","",IF($C6&lt;1,"yes","no"))</f>
        <v/>
      </c>
      <c r="I6" s="11">
        <f>IF($C6="","",IF($C6&lt;2.6,"r75",IF($C6&lt;5.2,"r110",IF($C6&lt;9.9,"r150",IF($C6&lt;19.8,"r210","r300")))))</f>
        <v/>
      </c>
      <c r="J6" s="11">
        <f>IF($C6="","",ROUND(SQRT($C6*10000/PI()),1))</f>
        <v/>
      </c>
      <c r="N6" s="11">
        <f>IF($A6="","",IFERROR(IF(INDEX(Community_Register!$S$2:$S$402,MATCH($A6,Community_Register!$A$2:$A$402,0))="","",INDEX(Community_Register!$S$2:$S$402,MATCH($A6,Community_Register!$A$2:$A$402,0))),""))</f>
        <v/>
      </c>
      <c r="O6" s="11">
        <f>IF($A6="","",IFERROR(IF(INDEX(Community_Register!$V$2:$V$402,MATCH($A6,Community_Register!$A$2:$A$402,0))="","",INDEX(Community_Register!$V$2:$V$402,MATCH($A6,Community_Register!$A$2:$A$402,0))),""))</f>
        <v/>
      </c>
      <c r="P6" s="11">
        <f>IF(OR($C6="",$N6="",NOT(ISNUMBER($N6))),"",$N6/$C6)</f>
        <v/>
      </c>
      <c r="Q6" s="11">
        <f>IF($C6="","",IF(OR($N6="",NOT(ISNUMBER($N6))),"B",IF(ABS($P6-1)&lt;=0.3,"A",IF(OR($P6&gt;2,$P6&lt;0.5),"C","B"))))</f>
        <v/>
      </c>
      <c r="Y6" s="12" t="inlineStr"/>
    </row>
    <row r="7">
      <c r="B7" s="11">
        <f>IF($A7="","",IFERROR(IF(INDEX(Community_Register!$B$2:$B$402,MATCH($A7,Community_Register!$A$2:$A$402,0))="","",INDEX(Community_Register!$B$2:$B$402,MATCH($A7,Community_Register!$A$2:$A$402,0))),""))</f>
        <v/>
      </c>
      <c r="H7" s="11">
        <f>IF($C7="","",IF($C7&lt;1,"yes","no"))</f>
        <v/>
      </c>
      <c r="I7" s="11">
        <f>IF($C7="","",IF($C7&lt;2.6,"r75",IF($C7&lt;5.2,"r110",IF($C7&lt;9.9,"r150",IF($C7&lt;19.8,"r210","r300")))))</f>
        <v/>
      </c>
      <c r="J7" s="11">
        <f>IF($C7="","",ROUND(SQRT($C7*10000/PI()),1))</f>
        <v/>
      </c>
      <c r="N7" s="11">
        <f>IF($A7="","",IFERROR(IF(INDEX(Community_Register!$S$2:$S$402,MATCH($A7,Community_Register!$A$2:$A$402,0))="","",INDEX(Community_Register!$S$2:$S$402,MATCH($A7,Community_Register!$A$2:$A$402,0))),""))</f>
        <v/>
      </c>
      <c r="O7" s="11">
        <f>IF($A7="","",IFERROR(IF(INDEX(Community_Register!$V$2:$V$402,MATCH($A7,Community_Register!$A$2:$A$402,0))="","",INDEX(Community_Register!$V$2:$V$402,MATCH($A7,Community_Register!$A$2:$A$402,0))),""))</f>
        <v/>
      </c>
      <c r="P7" s="11">
        <f>IF(OR($C7="",$N7="",NOT(ISNUMBER($N7))),"",$N7/$C7)</f>
        <v/>
      </c>
      <c r="Q7" s="11">
        <f>IF($C7="","",IF(OR($N7="",NOT(ISNUMBER($N7))),"B",IF(ABS($P7-1)&lt;=0.3,"A",IF(OR($P7&gt;2,$P7&lt;0.5),"C","B"))))</f>
        <v/>
      </c>
      <c r="Y7" s="12" t="inlineStr">
        <is>
          <t>reference_circle is matched to the polygon's AREA — r75 under 2.6 ha, r110 to 5.2, r150 to 9.9, r210 to 19.8, r300 above. Rescaling a 2-hectare polygon against a 7-hectare reference distribution biases every score at that site, and nothing downstream would reveal it.</t>
        </is>
      </c>
    </row>
    <row r="8">
      <c r="B8" s="11">
        <f>IF($A8="","",IFERROR(IF(INDEX(Community_Register!$B$2:$B$402,MATCH($A8,Community_Register!$A$2:$A$402,0))="","",INDEX(Community_Register!$B$2:$B$402,MATCH($A8,Community_Register!$A$2:$A$402,0))),""))</f>
        <v/>
      </c>
      <c r="H8" s="11">
        <f>IF($C8="","",IF($C8&lt;1,"yes","no"))</f>
        <v/>
      </c>
      <c r="I8" s="11">
        <f>IF($C8="","",IF($C8&lt;2.6,"r75",IF($C8&lt;5.2,"r110",IF($C8&lt;9.9,"r150",IF($C8&lt;19.8,"r210","r300")))))</f>
        <v/>
      </c>
      <c r="J8" s="11">
        <f>IF($C8="","",ROUND(SQRT($C8*10000/PI()),1))</f>
        <v/>
      </c>
      <c r="N8" s="11">
        <f>IF($A8="","",IFERROR(IF(INDEX(Community_Register!$S$2:$S$402,MATCH($A8,Community_Register!$A$2:$A$402,0))="","",INDEX(Community_Register!$S$2:$S$402,MATCH($A8,Community_Register!$A$2:$A$402,0))),""))</f>
        <v/>
      </c>
      <c r="O8" s="11">
        <f>IF($A8="","",IFERROR(IF(INDEX(Community_Register!$V$2:$V$402,MATCH($A8,Community_Register!$A$2:$A$402,0))="","",INDEX(Community_Register!$V$2:$V$402,MATCH($A8,Community_Register!$A$2:$A$402,0))),""))</f>
        <v/>
      </c>
      <c r="P8" s="11">
        <f>IF(OR($C8="",$N8="",NOT(ISNUMBER($N8))),"",$N8/$C8)</f>
        <v/>
      </c>
      <c r="Q8" s="11">
        <f>IF($C8="","",IF(OR($N8="",NOT(ISNUMBER($N8))),"B",IF(ABS($P8-1)&lt;=0.3,"A",IF(OR($P8&gt;2,$P8&lt;0.5),"C","B"))))</f>
        <v/>
      </c>
      <c r="Y8" s="12" t="inlineStr"/>
    </row>
    <row r="9">
      <c r="B9" s="11">
        <f>IF($A9="","",IFERROR(IF(INDEX(Community_Register!$B$2:$B$402,MATCH($A9,Community_Register!$A$2:$A$402,0))="","",INDEX(Community_Register!$B$2:$B$402,MATCH($A9,Community_Register!$A$2:$A$402,0))),""))</f>
        <v/>
      </c>
      <c r="H9" s="11">
        <f>IF($C9="","",IF($C9&lt;1,"yes","no"))</f>
        <v/>
      </c>
      <c r="I9" s="11">
        <f>IF($C9="","",IF($C9&lt;2.6,"r75",IF($C9&lt;5.2,"r110",IF($C9&lt;9.9,"r150",IF($C9&lt;19.8,"r210","r300")))))</f>
        <v/>
      </c>
      <c r="J9" s="11">
        <f>IF($C9="","",ROUND(SQRT($C9*10000/PI()),1))</f>
        <v/>
      </c>
      <c r="N9" s="11">
        <f>IF($A9="","",IFERROR(IF(INDEX(Community_Register!$S$2:$S$402,MATCH($A9,Community_Register!$A$2:$A$402,0))="","",INDEX(Community_Register!$S$2:$S$402,MATCH($A9,Community_Register!$A$2:$A$402,0))),""))</f>
        <v/>
      </c>
      <c r="O9" s="11">
        <f>IF($A9="","",IFERROR(IF(INDEX(Community_Register!$V$2:$V$402,MATCH($A9,Community_Register!$A$2:$A$402,0))="","",INDEX(Community_Register!$V$2:$V$402,MATCH($A9,Community_Register!$A$2:$A$402,0))),""))</f>
        <v/>
      </c>
      <c r="P9" s="11">
        <f>IF(OR($C9="",$N9="",NOT(ISNUMBER($N9))),"",$N9/$C9)</f>
        <v/>
      </c>
      <c r="Q9" s="11">
        <f>IF($C9="","",IF(OR($N9="",NOT(ISNUMBER($N9))),"B",IF(ABS($P9-1)&lt;=0.3,"A",IF(OR($P9&gt;2,$P9&lt;0.5),"C","B"))))</f>
        <v/>
      </c>
      <c r="Y9" s="12" t="inlineStr">
        <is>
          <t>equal_area_circle_radius_m is sqrt(area/pi) in metres. It is the alternative measurement geometry for sensitivity check SC1: a circle of the SAME AREA as the polygon, so that SC1 isolates the effect of SHAPE alone. It is computed here rather than by hand.</t>
        </is>
      </c>
    </row>
    <row r="10">
      <c r="B10" s="11">
        <f>IF($A10="","",IFERROR(IF(INDEX(Community_Register!$B$2:$B$402,MATCH($A10,Community_Register!$A$2:$A$402,0))="","",INDEX(Community_Register!$B$2:$B$402,MATCH($A10,Community_Register!$A$2:$A$402,0))),""))</f>
        <v/>
      </c>
      <c r="H10" s="11">
        <f>IF($C10="","",IF($C10&lt;1,"yes","no"))</f>
        <v/>
      </c>
      <c r="I10" s="11">
        <f>IF($C10="","",IF($C10&lt;2.6,"r75",IF($C10&lt;5.2,"r110",IF($C10&lt;9.9,"r150",IF($C10&lt;19.8,"r210","r300")))))</f>
        <v/>
      </c>
      <c r="J10" s="11">
        <f>IF($C10="","",ROUND(SQRT($C10*10000/PI()),1))</f>
        <v/>
      </c>
      <c r="N10" s="11">
        <f>IF($A10="","",IFERROR(IF(INDEX(Community_Register!$S$2:$S$402,MATCH($A10,Community_Register!$A$2:$A$402,0))="","",INDEX(Community_Register!$S$2:$S$402,MATCH($A10,Community_Register!$A$2:$A$402,0))),""))</f>
        <v/>
      </c>
      <c r="O10" s="11">
        <f>IF($A10="","",IFERROR(IF(INDEX(Community_Register!$V$2:$V$402,MATCH($A10,Community_Register!$A$2:$A$402,0))="","",INDEX(Community_Register!$V$2:$V$402,MATCH($A10,Community_Register!$A$2:$A$402,0))),""))</f>
        <v/>
      </c>
      <c r="P10" s="11">
        <f>IF(OR($C10="",$N10="",NOT(ISNUMBER($N10))),"",$N10/$C10)</f>
        <v/>
      </c>
      <c r="Q10" s="11">
        <f>IF($C10="","",IF(OR($N10="",NOT(ISNUMBER($N10))),"B",IF(ABS($P10-1)&lt;=0.3,"A",IF(OR($P10&gt;2,$P10&lt;0.5),"C","B"))))</f>
        <v/>
      </c>
      <c r="Y10" s="12" t="inlineStr"/>
    </row>
    <row r="11">
      <c r="B11" s="11">
        <f>IF($A11="","",IFERROR(IF(INDEX(Community_Register!$B$2:$B$402,MATCH($A11,Community_Register!$A$2:$A$402,0))="","",INDEX(Community_Register!$B$2:$B$402,MATCH($A11,Community_Register!$A$2:$A$402,0))),""))</f>
        <v/>
      </c>
      <c r="H11" s="11">
        <f>IF($C11="","",IF($C11&lt;1,"yes","no"))</f>
        <v/>
      </c>
      <c r="I11" s="11">
        <f>IF($C11="","",IF($C11&lt;2.6,"r75",IF($C11&lt;5.2,"r110",IF($C11&lt;9.9,"r150",IF($C11&lt;19.8,"r210","r300")))))</f>
        <v/>
      </c>
      <c r="J11" s="11">
        <f>IF($C11="","",ROUND(SQRT($C11*10000/PI()),1))</f>
        <v/>
      </c>
      <c r="N11" s="11">
        <f>IF($A11="","",IFERROR(IF(INDEX(Community_Register!$S$2:$S$402,MATCH($A11,Community_Register!$A$2:$A$402,0))="","",INDEX(Community_Register!$S$2:$S$402,MATCH($A11,Community_Register!$A$2:$A$402,0))),""))</f>
        <v/>
      </c>
      <c r="O11" s="11">
        <f>IF($A11="","",IFERROR(IF(INDEX(Community_Register!$V$2:$V$402,MATCH($A11,Community_Register!$A$2:$A$402,0))="","",INDEX(Community_Register!$V$2:$V$402,MATCH($A11,Community_Register!$A$2:$A$402,0))),""))</f>
        <v/>
      </c>
      <c r="P11" s="11">
        <f>IF(OR($C11="",$N11="",NOT(ISNUMBER($N11))),"",$N11/$C11)</f>
        <v/>
      </c>
      <c r="Q11" s="11">
        <f>IF($C11="","",IF(OR($N11="",NOT(ISNUMBER($N11))),"B",IF(ABS($P11-1)&lt;=0.3,"A",IF(OR($P11&gt;2,$P11&lt;0.5),"C","B"))))</f>
        <v/>
      </c>
      <c r="Y11" s="12" t="inlineStr">
        <is>
          <t>area_agreement_tier: A within 30 per cent, B where there is no documentary figure or a gap of 30 to 100 per cent, C beyond a factor of two. A site with a polygon and no documentary figure is tier B, never blank. The polygon stands in every case — the tier records how well corroborated it is, not which number wins.</t>
        </is>
      </c>
    </row>
    <row r="12">
      <c r="B12" s="11">
        <f>IF($A12="","",IFERROR(IF(INDEX(Community_Register!$B$2:$B$402,MATCH($A12,Community_Register!$A$2:$A$402,0))="","",INDEX(Community_Register!$B$2:$B$402,MATCH($A12,Community_Register!$A$2:$A$402,0))),""))</f>
        <v/>
      </c>
      <c r="H12" s="11">
        <f>IF($C12="","",IF($C12&lt;1,"yes","no"))</f>
        <v/>
      </c>
      <c r="I12" s="11">
        <f>IF($C12="","",IF($C12&lt;2.6,"r75",IF($C12&lt;5.2,"r110",IF($C12&lt;9.9,"r150",IF($C12&lt;19.8,"r210","r300")))))</f>
        <v/>
      </c>
      <c r="J12" s="11">
        <f>IF($C12="","",ROUND(SQRT($C12*10000/PI()),1))</f>
        <v/>
      </c>
      <c r="N12" s="11">
        <f>IF($A12="","",IFERROR(IF(INDEX(Community_Register!$S$2:$S$402,MATCH($A12,Community_Register!$A$2:$A$402,0))="","",INDEX(Community_Register!$S$2:$S$402,MATCH($A12,Community_Register!$A$2:$A$402,0))),""))</f>
        <v/>
      </c>
      <c r="O12" s="11">
        <f>IF($A12="","",IFERROR(IF(INDEX(Community_Register!$V$2:$V$402,MATCH($A12,Community_Register!$A$2:$A$402,0))="","",INDEX(Community_Register!$V$2:$V$402,MATCH($A12,Community_Register!$A$2:$A$402,0))),""))</f>
        <v/>
      </c>
      <c r="P12" s="11">
        <f>IF(OR($C12="",$N12="",NOT(ISNUMBER($N12))),"",$N12/$C12)</f>
        <v/>
      </c>
      <c r="Q12" s="11">
        <f>IF($C12="","",IF(OR($N12="",NOT(ISNUMBER($N12))),"B",IF(ABS($P12-1)&lt;=0.3,"A",IF(OR($P12&gt;2,$P12&lt;0.5),"C","B"))))</f>
        <v/>
      </c>
      <c r="Y12" s="12" t="inlineStr"/>
    </row>
    <row r="13">
      <c r="B13" s="11">
        <f>IF($A13="","",IFERROR(IF(INDEX(Community_Register!$B$2:$B$402,MATCH($A13,Community_Register!$A$2:$A$402,0))="","",INDEX(Community_Register!$B$2:$B$402,MATCH($A13,Community_Register!$A$2:$A$402,0))),""))</f>
        <v/>
      </c>
      <c r="H13" s="11">
        <f>IF($C13="","",IF($C13&lt;1,"yes","no"))</f>
        <v/>
      </c>
      <c r="I13" s="11">
        <f>IF($C13="","",IF($C13&lt;2.6,"r75",IF($C13&lt;5.2,"r110",IF($C13&lt;9.9,"r150",IF($C13&lt;19.8,"r210","r300")))))</f>
        <v/>
      </c>
      <c r="J13" s="11">
        <f>IF($C13="","",ROUND(SQRT($C13*10000/PI()),1))</f>
        <v/>
      </c>
      <c r="N13" s="11">
        <f>IF($A13="","",IFERROR(IF(INDEX(Community_Register!$S$2:$S$402,MATCH($A13,Community_Register!$A$2:$A$402,0))="","",INDEX(Community_Register!$S$2:$S$402,MATCH($A13,Community_Register!$A$2:$A$402,0))),""))</f>
        <v/>
      </c>
      <c r="O13" s="11">
        <f>IF($A13="","",IFERROR(IF(INDEX(Community_Register!$V$2:$V$402,MATCH($A13,Community_Register!$A$2:$A$402,0))="","",INDEX(Community_Register!$V$2:$V$402,MATCH($A13,Community_Register!$A$2:$A$402,0))),""))</f>
        <v/>
      </c>
      <c r="P13" s="11">
        <f>IF(OR($C13="",$N13="",NOT(ISNUMBER($N13))),"",$N13/$C13)</f>
        <v/>
      </c>
      <c r="Q13" s="11">
        <f>IF($C13="","",IF(OR($N13="",NOT(ISNUMBER($N13))),"B",IF(ABS($P13-1)&lt;=0.3,"A",IF(OR($P13&gt;2,$P13&lt;0.5),"C","B"))))</f>
        <v/>
      </c>
      <c r="Y13" s="12" t="inlineStr">
        <is>
          <t>A gap beyond a factor of two usually has one cause: the source quoted the TOTAL HOLDING. The second commonest is a genuinely non-contiguous holding whose detached parcels the polygon excludes. parcel_structure on Community_Register is what separates the two. Record what you found in agreement_note.</t>
        </is>
      </c>
    </row>
    <row r="14">
      <c r="B14" s="11">
        <f>IF($A14="","",IFERROR(IF(INDEX(Community_Register!$B$2:$B$402,MATCH($A14,Community_Register!$A$2:$A$402,0))="","",INDEX(Community_Register!$B$2:$B$402,MATCH($A14,Community_Register!$A$2:$A$402,0))),""))</f>
        <v/>
      </c>
      <c r="H14" s="11">
        <f>IF($C14="","",IF($C14&lt;1,"yes","no"))</f>
        <v/>
      </c>
      <c r="I14" s="11">
        <f>IF($C14="","",IF($C14&lt;2.6,"r75",IF($C14&lt;5.2,"r110",IF($C14&lt;9.9,"r150",IF($C14&lt;19.8,"r210","r300")))))</f>
        <v/>
      </c>
      <c r="J14" s="11">
        <f>IF($C14="","",ROUND(SQRT($C14*10000/PI()),1))</f>
        <v/>
      </c>
      <c r="N14" s="11">
        <f>IF($A14="","",IFERROR(IF(INDEX(Community_Register!$S$2:$S$402,MATCH($A14,Community_Register!$A$2:$A$402,0))="","",INDEX(Community_Register!$S$2:$S$402,MATCH($A14,Community_Register!$A$2:$A$402,0))),""))</f>
        <v/>
      </c>
      <c r="O14" s="11">
        <f>IF($A14="","",IFERROR(IF(INDEX(Community_Register!$V$2:$V$402,MATCH($A14,Community_Register!$A$2:$A$402,0))="","",INDEX(Community_Register!$V$2:$V$402,MATCH($A14,Community_Register!$A$2:$A$402,0))),""))</f>
        <v/>
      </c>
      <c r="P14" s="11">
        <f>IF(OR($C14="",$N14="",NOT(ISNUMBER($N14))),"",$N14/$C14)</f>
        <v/>
      </c>
      <c r="Q14" s="11">
        <f>IF($C14="","",IF(OR($N14="",NOT(ISNUMBER($N14))),"B",IF(ABS($P14-1)&lt;=0.3,"A",IF(OR($P14&gt;2,$P14&lt;0.5),"C","B"))))</f>
        <v/>
      </c>
      <c r="Y14" s="12" t="inlineStr"/>
    </row>
    <row r="15">
      <c r="B15" s="11">
        <f>IF($A15="","",IFERROR(IF(INDEX(Community_Register!$B$2:$B$402,MATCH($A15,Community_Register!$A$2:$A$402,0))="","",INDEX(Community_Register!$B$2:$B$402,MATCH($A15,Community_Register!$A$2:$A$402,0))),""))</f>
        <v/>
      </c>
      <c r="H15" s="11">
        <f>IF($C15="","",IF($C15&lt;1,"yes","no"))</f>
        <v/>
      </c>
      <c r="I15" s="11">
        <f>IF($C15="","",IF($C15&lt;2.6,"r75",IF($C15&lt;5.2,"r110",IF($C15&lt;9.9,"r150",IF($C15&lt;19.8,"r210","r300")))))</f>
        <v/>
      </c>
      <c r="J15" s="11">
        <f>IF($C15="","",ROUND(SQRT($C15*10000/PI()),1))</f>
        <v/>
      </c>
      <c r="N15" s="11">
        <f>IF($A15="","",IFERROR(IF(INDEX(Community_Register!$S$2:$S$402,MATCH($A15,Community_Register!$A$2:$A$402,0))="","",INDEX(Community_Register!$S$2:$S$402,MATCH($A15,Community_Register!$A$2:$A$402,0))),""))</f>
        <v/>
      </c>
      <c r="O15" s="11">
        <f>IF($A15="","",IFERROR(IF(INDEX(Community_Register!$V$2:$V$402,MATCH($A15,Community_Register!$A$2:$A$402,0))="","",INDEX(Community_Register!$V$2:$V$402,MATCH($A15,Community_Register!$A$2:$A$402,0))),""))</f>
        <v/>
      </c>
      <c r="P15" s="11">
        <f>IF(OR($C15="",$N15="",NOT(ISNUMBER($N15))),"",$N15/$C15)</f>
        <v/>
      </c>
      <c r="Q15" s="11">
        <f>IF($C15="","",IF(OR($N15="",NOT(ISNUMBER($N15))),"B",IF(ABS($P15-1)&lt;=0.3,"A",IF(OR($P15&gt;2,$P15&lt;0.5),"C","B"))))</f>
        <v/>
      </c>
      <c r="Y15" s="12" t="inlineStr">
        <is>
          <t>MINIMUM 1.0 HECTARE. Below it the site falls back to a 75 m circle and is flagged; below_minimum_flag says so automatically.</t>
        </is>
      </c>
    </row>
    <row r="16">
      <c r="B16" s="11">
        <f>IF($A16="","",IFERROR(IF(INDEX(Community_Register!$B$2:$B$402,MATCH($A16,Community_Register!$A$2:$A$402,0))="","",INDEX(Community_Register!$B$2:$B$402,MATCH($A16,Community_Register!$A$2:$A$402,0))),""))</f>
        <v/>
      </c>
      <c r="H16" s="11">
        <f>IF($C16="","",IF($C16&lt;1,"yes","no"))</f>
        <v/>
      </c>
      <c r="I16" s="11">
        <f>IF($C16="","",IF($C16&lt;2.6,"r75",IF($C16&lt;5.2,"r110",IF($C16&lt;9.9,"r150",IF($C16&lt;19.8,"r210","r300")))))</f>
        <v/>
      </c>
      <c r="J16" s="11">
        <f>IF($C16="","",ROUND(SQRT($C16*10000/PI()),1))</f>
        <v/>
      </c>
      <c r="N16" s="11">
        <f>IF($A16="","",IFERROR(IF(INDEX(Community_Register!$S$2:$S$402,MATCH($A16,Community_Register!$A$2:$A$402,0))="","",INDEX(Community_Register!$S$2:$S$402,MATCH($A16,Community_Register!$A$2:$A$402,0))),""))</f>
        <v/>
      </c>
      <c r="O16" s="11">
        <f>IF($A16="","",IFERROR(IF(INDEX(Community_Register!$V$2:$V$402,MATCH($A16,Community_Register!$A$2:$A$402,0))="","",INDEX(Community_Register!$V$2:$V$402,MATCH($A16,Community_Register!$A$2:$A$402,0))),""))</f>
        <v/>
      </c>
      <c r="P16" s="11">
        <f>IF(OR($C16="",$N16="",NOT(ISNUMBER($N16))),"",$N16/$C16)</f>
        <v/>
      </c>
      <c r="Q16" s="11">
        <f>IF($C16="","",IF(OR($N16="",NOT(ISNUMBER($N16))),"B",IF(ABS($P16-1)&lt;=0.3,"A",IF(OR($P16&gt;2,$P16&lt;0.5),"C","B"))))</f>
        <v/>
      </c>
    </row>
    <row r="17">
      <c r="B17" s="11">
        <f>IF($A17="","",IFERROR(IF(INDEX(Community_Register!$B$2:$B$402,MATCH($A17,Community_Register!$A$2:$A$402,0))="","",INDEX(Community_Register!$B$2:$B$402,MATCH($A17,Community_Register!$A$2:$A$402,0))),""))</f>
        <v/>
      </c>
      <c r="H17" s="11">
        <f>IF($C17="","",IF($C17&lt;1,"yes","no"))</f>
        <v/>
      </c>
      <c r="I17" s="11">
        <f>IF($C17="","",IF($C17&lt;2.6,"r75",IF($C17&lt;5.2,"r110",IF($C17&lt;9.9,"r150",IF($C17&lt;19.8,"r210","r300")))))</f>
        <v/>
      </c>
      <c r="J17" s="11">
        <f>IF($C17="","",ROUND(SQRT($C17*10000/PI()),1))</f>
        <v/>
      </c>
      <c r="N17" s="11">
        <f>IF($A17="","",IFERROR(IF(INDEX(Community_Register!$S$2:$S$402,MATCH($A17,Community_Register!$A$2:$A$402,0))="","",INDEX(Community_Register!$S$2:$S$402,MATCH($A17,Community_Register!$A$2:$A$402,0))),""))</f>
        <v/>
      </c>
      <c r="O17" s="11">
        <f>IF($A17="","",IFERROR(IF(INDEX(Community_Register!$V$2:$V$402,MATCH($A17,Community_Register!$A$2:$A$402,0))="","",INDEX(Community_Register!$V$2:$V$402,MATCH($A17,Community_Register!$A$2:$A$402,0))),""))</f>
        <v/>
      </c>
      <c r="P17" s="11">
        <f>IF(OR($C17="",$N17="",NOT(ISNUMBER($N17))),"",$N17/$C17)</f>
        <v/>
      </c>
      <c r="Q17" s="11">
        <f>IF($C17="","",IF(OR($N17="",NOT(ISNUMBER($N17))),"B",IF(ABS($P17-1)&lt;=0.3,"A",IF(OR($P17&gt;2,$P17&lt;0.5),"C","B"))))</f>
        <v/>
      </c>
    </row>
    <row r="18">
      <c r="B18" s="11">
        <f>IF($A18="","",IFERROR(IF(INDEX(Community_Register!$B$2:$B$402,MATCH($A18,Community_Register!$A$2:$A$402,0))="","",INDEX(Community_Register!$B$2:$B$402,MATCH($A18,Community_Register!$A$2:$A$402,0))),""))</f>
        <v/>
      </c>
      <c r="H18" s="11">
        <f>IF($C18="","",IF($C18&lt;1,"yes","no"))</f>
        <v/>
      </c>
      <c r="I18" s="11">
        <f>IF($C18="","",IF($C18&lt;2.6,"r75",IF($C18&lt;5.2,"r110",IF($C18&lt;9.9,"r150",IF($C18&lt;19.8,"r210","r300")))))</f>
        <v/>
      </c>
      <c r="J18" s="11">
        <f>IF($C18="","",ROUND(SQRT($C18*10000/PI()),1))</f>
        <v/>
      </c>
      <c r="N18" s="11">
        <f>IF($A18="","",IFERROR(IF(INDEX(Community_Register!$S$2:$S$402,MATCH($A18,Community_Register!$A$2:$A$402,0))="","",INDEX(Community_Register!$S$2:$S$402,MATCH($A18,Community_Register!$A$2:$A$402,0))),""))</f>
        <v/>
      </c>
      <c r="O18" s="11">
        <f>IF($A18="","",IFERROR(IF(INDEX(Community_Register!$V$2:$V$402,MATCH($A18,Community_Register!$A$2:$A$402,0))="","",INDEX(Community_Register!$V$2:$V$402,MATCH($A18,Community_Register!$A$2:$A$402,0))),""))</f>
        <v/>
      </c>
      <c r="P18" s="11">
        <f>IF(OR($C18="",$N18="",NOT(ISNUMBER($N18))),"",$N18/$C18)</f>
        <v/>
      </c>
      <c r="Q18" s="11">
        <f>IF($C18="","",IF(OR($N18="",NOT(ISNUMBER($N18))),"B",IF(ABS($P18-1)&lt;=0.3,"A",IF(OR($P18&gt;2,$P18&lt;0.5),"C","B"))))</f>
        <v/>
      </c>
    </row>
    <row r="19">
      <c r="B19" s="11">
        <f>IF($A19="","",IFERROR(IF(INDEX(Community_Register!$B$2:$B$402,MATCH($A19,Community_Register!$A$2:$A$402,0))="","",INDEX(Community_Register!$B$2:$B$402,MATCH($A19,Community_Register!$A$2:$A$402,0))),""))</f>
        <v/>
      </c>
      <c r="H19" s="11">
        <f>IF($C19="","",IF($C19&lt;1,"yes","no"))</f>
        <v/>
      </c>
      <c r="I19" s="11">
        <f>IF($C19="","",IF($C19&lt;2.6,"r75",IF($C19&lt;5.2,"r110",IF($C19&lt;9.9,"r150",IF($C19&lt;19.8,"r210","r300")))))</f>
        <v/>
      </c>
      <c r="J19" s="11">
        <f>IF($C19="","",ROUND(SQRT($C19*10000/PI()),1))</f>
        <v/>
      </c>
      <c r="N19" s="11">
        <f>IF($A19="","",IFERROR(IF(INDEX(Community_Register!$S$2:$S$402,MATCH($A19,Community_Register!$A$2:$A$402,0))="","",INDEX(Community_Register!$S$2:$S$402,MATCH($A19,Community_Register!$A$2:$A$402,0))),""))</f>
        <v/>
      </c>
      <c r="O19" s="11">
        <f>IF($A19="","",IFERROR(IF(INDEX(Community_Register!$V$2:$V$402,MATCH($A19,Community_Register!$A$2:$A$402,0))="","",INDEX(Community_Register!$V$2:$V$402,MATCH($A19,Community_Register!$A$2:$A$402,0))),""))</f>
        <v/>
      </c>
      <c r="P19" s="11">
        <f>IF(OR($C19="",$N19="",NOT(ISNUMBER($N19))),"",$N19/$C19)</f>
        <v/>
      </c>
      <c r="Q19" s="11">
        <f>IF($C19="","",IF(OR($N19="",NOT(ISNUMBER($N19))),"B",IF(ABS($P19-1)&lt;=0.3,"A",IF(OR($P19&gt;2,$P19&lt;0.5),"C","B"))))</f>
        <v/>
      </c>
    </row>
    <row r="20">
      <c r="B20" s="11">
        <f>IF($A20="","",IFERROR(IF(INDEX(Community_Register!$B$2:$B$402,MATCH($A20,Community_Register!$A$2:$A$402,0))="","",INDEX(Community_Register!$B$2:$B$402,MATCH($A20,Community_Register!$A$2:$A$402,0))),""))</f>
        <v/>
      </c>
      <c r="H20" s="11">
        <f>IF($C20="","",IF($C20&lt;1,"yes","no"))</f>
        <v/>
      </c>
      <c r="I20" s="11">
        <f>IF($C20="","",IF($C20&lt;2.6,"r75",IF($C20&lt;5.2,"r110",IF($C20&lt;9.9,"r150",IF($C20&lt;19.8,"r210","r300")))))</f>
        <v/>
      </c>
      <c r="J20" s="11">
        <f>IF($C20="","",ROUND(SQRT($C20*10000/PI()),1))</f>
        <v/>
      </c>
      <c r="N20" s="11">
        <f>IF($A20="","",IFERROR(IF(INDEX(Community_Register!$S$2:$S$402,MATCH($A20,Community_Register!$A$2:$A$402,0))="","",INDEX(Community_Register!$S$2:$S$402,MATCH($A20,Community_Register!$A$2:$A$402,0))),""))</f>
        <v/>
      </c>
      <c r="O20" s="11">
        <f>IF($A20="","",IFERROR(IF(INDEX(Community_Register!$V$2:$V$402,MATCH($A20,Community_Register!$A$2:$A$402,0))="","",INDEX(Community_Register!$V$2:$V$402,MATCH($A20,Community_Register!$A$2:$A$402,0))),""))</f>
        <v/>
      </c>
      <c r="P20" s="11">
        <f>IF(OR($C20="",$N20="",NOT(ISNUMBER($N20))),"",$N20/$C20)</f>
        <v/>
      </c>
      <c r="Q20" s="11">
        <f>IF($C20="","",IF(OR($N20="",NOT(ISNUMBER($N20))),"B",IF(ABS($P20-1)&lt;=0.3,"A",IF(OR($P20&gt;2,$P20&lt;0.5),"C","B"))))</f>
        <v/>
      </c>
    </row>
    <row r="21">
      <c r="B21" s="11">
        <f>IF($A21="","",IFERROR(IF(INDEX(Community_Register!$B$2:$B$402,MATCH($A21,Community_Register!$A$2:$A$402,0))="","",INDEX(Community_Register!$B$2:$B$402,MATCH($A21,Community_Register!$A$2:$A$402,0))),""))</f>
        <v/>
      </c>
      <c r="H21" s="11">
        <f>IF($C21="","",IF($C21&lt;1,"yes","no"))</f>
        <v/>
      </c>
      <c r="I21" s="11">
        <f>IF($C21="","",IF($C21&lt;2.6,"r75",IF($C21&lt;5.2,"r110",IF($C21&lt;9.9,"r150",IF($C21&lt;19.8,"r210","r300")))))</f>
        <v/>
      </c>
      <c r="J21" s="11">
        <f>IF($C21="","",ROUND(SQRT($C21*10000/PI()),1))</f>
        <v/>
      </c>
      <c r="N21" s="11">
        <f>IF($A21="","",IFERROR(IF(INDEX(Community_Register!$S$2:$S$402,MATCH($A21,Community_Register!$A$2:$A$402,0))="","",INDEX(Community_Register!$S$2:$S$402,MATCH($A21,Community_Register!$A$2:$A$402,0))),""))</f>
        <v/>
      </c>
      <c r="O21" s="11">
        <f>IF($A21="","",IFERROR(IF(INDEX(Community_Register!$V$2:$V$402,MATCH($A21,Community_Register!$A$2:$A$402,0))="","",INDEX(Community_Register!$V$2:$V$402,MATCH($A21,Community_Register!$A$2:$A$402,0))),""))</f>
        <v/>
      </c>
      <c r="P21" s="11">
        <f>IF(OR($C21="",$N21="",NOT(ISNUMBER($N21))),"",$N21/$C21)</f>
        <v/>
      </c>
      <c r="Q21" s="11">
        <f>IF($C21="","",IF(OR($N21="",NOT(ISNUMBER($N21))),"B",IF(ABS($P21-1)&lt;=0.3,"A",IF(OR($P21&gt;2,$P21&lt;0.5),"C","B"))))</f>
        <v/>
      </c>
    </row>
    <row r="22">
      <c r="B22" s="11">
        <f>IF($A22="","",IFERROR(IF(INDEX(Community_Register!$B$2:$B$402,MATCH($A22,Community_Register!$A$2:$A$402,0))="","",INDEX(Community_Register!$B$2:$B$402,MATCH($A22,Community_Register!$A$2:$A$402,0))),""))</f>
        <v/>
      </c>
      <c r="H22" s="11">
        <f>IF($C22="","",IF($C22&lt;1,"yes","no"))</f>
        <v/>
      </c>
      <c r="I22" s="11">
        <f>IF($C22="","",IF($C22&lt;2.6,"r75",IF($C22&lt;5.2,"r110",IF($C22&lt;9.9,"r150",IF($C22&lt;19.8,"r210","r300")))))</f>
        <v/>
      </c>
      <c r="J22" s="11">
        <f>IF($C22="","",ROUND(SQRT($C22*10000/PI()),1))</f>
        <v/>
      </c>
      <c r="N22" s="11">
        <f>IF($A22="","",IFERROR(IF(INDEX(Community_Register!$S$2:$S$402,MATCH($A22,Community_Register!$A$2:$A$402,0))="","",INDEX(Community_Register!$S$2:$S$402,MATCH($A22,Community_Register!$A$2:$A$402,0))),""))</f>
        <v/>
      </c>
      <c r="O22" s="11">
        <f>IF($A22="","",IFERROR(IF(INDEX(Community_Register!$V$2:$V$402,MATCH($A22,Community_Register!$A$2:$A$402,0))="","",INDEX(Community_Register!$V$2:$V$402,MATCH($A22,Community_Register!$A$2:$A$402,0))),""))</f>
        <v/>
      </c>
      <c r="P22" s="11">
        <f>IF(OR($C22="",$N22="",NOT(ISNUMBER($N22))),"",$N22/$C22)</f>
        <v/>
      </c>
      <c r="Q22" s="11">
        <f>IF($C22="","",IF(OR($N22="",NOT(ISNUMBER($N22))),"B",IF(ABS($P22-1)&lt;=0.3,"A",IF(OR($P22&gt;2,$P22&lt;0.5),"C","B"))))</f>
        <v/>
      </c>
    </row>
    <row r="23">
      <c r="B23" s="11">
        <f>IF($A23="","",IFERROR(IF(INDEX(Community_Register!$B$2:$B$402,MATCH($A23,Community_Register!$A$2:$A$402,0))="","",INDEX(Community_Register!$B$2:$B$402,MATCH($A23,Community_Register!$A$2:$A$402,0))),""))</f>
        <v/>
      </c>
      <c r="H23" s="11">
        <f>IF($C23="","",IF($C23&lt;1,"yes","no"))</f>
        <v/>
      </c>
      <c r="I23" s="11">
        <f>IF($C23="","",IF($C23&lt;2.6,"r75",IF($C23&lt;5.2,"r110",IF($C23&lt;9.9,"r150",IF($C23&lt;19.8,"r210","r300")))))</f>
        <v/>
      </c>
      <c r="J23" s="11">
        <f>IF($C23="","",ROUND(SQRT($C23*10000/PI()),1))</f>
        <v/>
      </c>
      <c r="N23" s="11">
        <f>IF($A23="","",IFERROR(IF(INDEX(Community_Register!$S$2:$S$402,MATCH($A23,Community_Register!$A$2:$A$402,0))="","",INDEX(Community_Register!$S$2:$S$402,MATCH($A23,Community_Register!$A$2:$A$402,0))),""))</f>
        <v/>
      </c>
      <c r="O23" s="11">
        <f>IF($A23="","",IFERROR(IF(INDEX(Community_Register!$V$2:$V$402,MATCH($A23,Community_Register!$A$2:$A$402,0))="","",INDEX(Community_Register!$V$2:$V$402,MATCH($A23,Community_Register!$A$2:$A$402,0))),""))</f>
        <v/>
      </c>
      <c r="P23" s="11">
        <f>IF(OR($C23="",$N23="",NOT(ISNUMBER($N23))),"",$N23/$C23)</f>
        <v/>
      </c>
      <c r="Q23" s="11">
        <f>IF($C23="","",IF(OR($N23="",NOT(ISNUMBER($N23))),"B",IF(ABS($P23-1)&lt;=0.3,"A",IF(OR($P23&gt;2,$P23&lt;0.5),"C","B"))))</f>
        <v/>
      </c>
    </row>
    <row r="24">
      <c r="B24" s="11">
        <f>IF($A24="","",IFERROR(IF(INDEX(Community_Register!$B$2:$B$402,MATCH($A24,Community_Register!$A$2:$A$402,0))="","",INDEX(Community_Register!$B$2:$B$402,MATCH($A24,Community_Register!$A$2:$A$402,0))),""))</f>
        <v/>
      </c>
      <c r="H24" s="11">
        <f>IF($C24="","",IF($C24&lt;1,"yes","no"))</f>
        <v/>
      </c>
      <c r="I24" s="11">
        <f>IF($C24="","",IF($C24&lt;2.6,"r75",IF($C24&lt;5.2,"r110",IF($C24&lt;9.9,"r150",IF($C24&lt;19.8,"r210","r300")))))</f>
        <v/>
      </c>
      <c r="J24" s="11">
        <f>IF($C24="","",ROUND(SQRT($C24*10000/PI()),1))</f>
        <v/>
      </c>
      <c r="N24" s="11">
        <f>IF($A24="","",IFERROR(IF(INDEX(Community_Register!$S$2:$S$402,MATCH($A24,Community_Register!$A$2:$A$402,0))="","",INDEX(Community_Register!$S$2:$S$402,MATCH($A24,Community_Register!$A$2:$A$402,0))),""))</f>
        <v/>
      </c>
      <c r="O24" s="11">
        <f>IF($A24="","",IFERROR(IF(INDEX(Community_Register!$V$2:$V$402,MATCH($A24,Community_Register!$A$2:$A$402,0))="","",INDEX(Community_Register!$V$2:$V$402,MATCH($A24,Community_Register!$A$2:$A$402,0))),""))</f>
        <v/>
      </c>
      <c r="P24" s="11">
        <f>IF(OR($C24="",$N24="",NOT(ISNUMBER($N24))),"",$N24/$C24)</f>
        <v/>
      </c>
      <c r="Q24" s="11">
        <f>IF($C24="","",IF(OR($N24="",NOT(ISNUMBER($N24))),"B",IF(ABS($P24-1)&lt;=0.3,"A",IF(OR($P24&gt;2,$P24&lt;0.5),"C","B"))))</f>
        <v/>
      </c>
    </row>
    <row r="25">
      <c r="B25" s="11">
        <f>IF($A25="","",IFERROR(IF(INDEX(Community_Register!$B$2:$B$402,MATCH($A25,Community_Register!$A$2:$A$402,0))="","",INDEX(Community_Register!$B$2:$B$402,MATCH($A25,Community_Register!$A$2:$A$402,0))),""))</f>
        <v/>
      </c>
      <c r="H25" s="11">
        <f>IF($C25="","",IF($C25&lt;1,"yes","no"))</f>
        <v/>
      </c>
      <c r="I25" s="11">
        <f>IF($C25="","",IF($C25&lt;2.6,"r75",IF($C25&lt;5.2,"r110",IF($C25&lt;9.9,"r150",IF($C25&lt;19.8,"r210","r300")))))</f>
        <v/>
      </c>
      <c r="J25" s="11">
        <f>IF($C25="","",ROUND(SQRT($C25*10000/PI()),1))</f>
        <v/>
      </c>
      <c r="N25" s="11">
        <f>IF($A25="","",IFERROR(IF(INDEX(Community_Register!$S$2:$S$402,MATCH($A25,Community_Register!$A$2:$A$402,0))="","",INDEX(Community_Register!$S$2:$S$402,MATCH($A25,Community_Register!$A$2:$A$402,0))),""))</f>
        <v/>
      </c>
      <c r="O25" s="11">
        <f>IF($A25="","",IFERROR(IF(INDEX(Community_Register!$V$2:$V$402,MATCH($A25,Community_Register!$A$2:$A$402,0))="","",INDEX(Community_Register!$V$2:$V$402,MATCH($A25,Community_Register!$A$2:$A$402,0))),""))</f>
        <v/>
      </c>
      <c r="P25" s="11">
        <f>IF(OR($C25="",$N25="",NOT(ISNUMBER($N25))),"",$N25/$C25)</f>
        <v/>
      </c>
      <c r="Q25" s="11">
        <f>IF($C25="","",IF(OR($N25="",NOT(ISNUMBER($N25))),"B",IF(ABS($P25-1)&lt;=0.3,"A",IF(OR($P25&gt;2,$P25&lt;0.5),"C","B"))))</f>
        <v/>
      </c>
    </row>
    <row r="26">
      <c r="B26" s="11">
        <f>IF($A26="","",IFERROR(IF(INDEX(Community_Register!$B$2:$B$402,MATCH($A26,Community_Register!$A$2:$A$402,0))="","",INDEX(Community_Register!$B$2:$B$402,MATCH($A26,Community_Register!$A$2:$A$402,0))),""))</f>
        <v/>
      </c>
      <c r="H26" s="11">
        <f>IF($C26="","",IF($C26&lt;1,"yes","no"))</f>
        <v/>
      </c>
      <c r="I26" s="11">
        <f>IF($C26="","",IF($C26&lt;2.6,"r75",IF($C26&lt;5.2,"r110",IF($C26&lt;9.9,"r150",IF($C26&lt;19.8,"r210","r300")))))</f>
        <v/>
      </c>
      <c r="J26" s="11">
        <f>IF($C26="","",ROUND(SQRT($C26*10000/PI()),1))</f>
        <v/>
      </c>
      <c r="N26" s="11">
        <f>IF($A26="","",IFERROR(IF(INDEX(Community_Register!$S$2:$S$402,MATCH($A26,Community_Register!$A$2:$A$402,0))="","",INDEX(Community_Register!$S$2:$S$402,MATCH($A26,Community_Register!$A$2:$A$402,0))),""))</f>
        <v/>
      </c>
      <c r="O26" s="11">
        <f>IF($A26="","",IFERROR(IF(INDEX(Community_Register!$V$2:$V$402,MATCH($A26,Community_Register!$A$2:$A$402,0))="","",INDEX(Community_Register!$V$2:$V$402,MATCH($A26,Community_Register!$A$2:$A$402,0))),""))</f>
        <v/>
      </c>
      <c r="P26" s="11">
        <f>IF(OR($C26="",$N26="",NOT(ISNUMBER($N26))),"",$N26/$C26)</f>
        <v/>
      </c>
      <c r="Q26" s="11">
        <f>IF($C26="","",IF(OR($N26="",NOT(ISNUMBER($N26))),"B",IF(ABS($P26-1)&lt;=0.3,"A",IF(OR($P26&gt;2,$P26&lt;0.5),"C","B"))))</f>
        <v/>
      </c>
    </row>
    <row r="27">
      <c r="B27" s="11">
        <f>IF($A27="","",IFERROR(IF(INDEX(Community_Register!$B$2:$B$402,MATCH($A27,Community_Register!$A$2:$A$402,0))="","",INDEX(Community_Register!$B$2:$B$402,MATCH($A27,Community_Register!$A$2:$A$402,0))),""))</f>
        <v/>
      </c>
      <c r="H27" s="11">
        <f>IF($C27="","",IF($C27&lt;1,"yes","no"))</f>
        <v/>
      </c>
      <c r="I27" s="11">
        <f>IF($C27="","",IF($C27&lt;2.6,"r75",IF($C27&lt;5.2,"r110",IF($C27&lt;9.9,"r150",IF($C27&lt;19.8,"r210","r300")))))</f>
        <v/>
      </c>
      <c r="J27" s="11">
        <f>IF($C27="","",ROUND(SQRT($C27*10000/PI()),1))</f>
        <v/>
      </c>
      <c r="N27" s="11">
        <f>IF($A27="","",IFERROR(IF(INDEX(Community_Register!$S$2:$S$402,MATCH($A27,Community_Register!$A$2:$A$402,0))="","",INDEX(Community_Register!$S$2:$S$402,MATCH($A27,Community_Register!$A$2:$A$402,0))),""))</f>
        <v/>
      </c>
      <c r="O27" s="11">
        <f>IF($A27="","",IFERROR(IF(INDEX(Community_Register!$V$2:$V$402,MATCH($A27,Community_Register!$A$2:$A$402,0))="","",INDEX(Community_Register!$V$2:$V$402,MATCH($A27,Community_Register!$A$2:$A$402,0))),""))</f>
        <v/>
      </c>
      <c r="P27" s="11">
        <f>IF(OR($C27="",$N27="",NOT(ISNUMBER($N27))),"",$N27/$C27)</f>
        <v/>
      </c>
      <c r="Q27" s="11">
        <f>IF($C27="","",IF(OR($N27="",NOT(ISNUMBER($N27))),"B",IF(ABS($P27-1)&lt;=0.3,"A",IF(OR($P27&gt;2,$P27&lt;0.5),"C","B"))))</f>
        <v/>
      </c>
    </row>
    <row r="28">
      <c r="B28" s="11">
        <f>IF($A28="","",IFERROR(IF(INDEX(Community_Register!$B$2:$B$402,MATCH($A28,Community_Register!$A$2:$A$402,0))="","",INDEX(Community_Register!$B$2:$B$402,MATCH($A28,Community_Register!$A$2:$A$402,0))),""))</f>
        <v/>
      </c>
      <c r="H28" s="11">
        <f>IF($C28="","",IF($C28&lt;1,"yes","no"))</f>
        <v/>
      </c>
      <c r="I28" s="11">
        <f>IF($C28="","",IF($C28&lt;2.6,"r75",IF($C28&lt;5.2,"r110",IF($C28&lt;9.9,"r150",IF($C28&lt;19.8,"r210","r300")))))</f>
        <v/>
      </c>
      <c r="J28" s="11">
        <f>IF($C28="","",ROUND(SQRT($C28*10000/PI()),1))</f>
        <v/>
      </c>
      <c r="N28" s="11">
        <f>IF($A28="","",IFERROR(IF(INDEX(Community_Register!$S$2:$S$402,MATCH($A28,Community_Register!$A$2:$A$402,0))="","",INDEX(Community_Register!$S$2:$S$402,MATCH($A28,Community_Register!$A$2:$A$402,0))),""))</f>
        <v/>
      </c>
      <c r="O28" s="11">
        <f>IF($A28="","",IFERROR(IF(INDEX(Community_Register!$V$2:$V$402,MATCH($A28,Community_Register!$A$2:$A$402,0))="","",INDEX(Community_Register!$V$2:$V$402,MATCH($A28,Community_Register!$A$2:$A$402,0))),""))</f>
        <v/>
      </c>
      <c r="P28" s="11">
        <f>IF(OR($C28="",$N28="",NOT(ISNUMBER($N28))),"",$N28/$C28)</f>
        <v/>
      </c>
      <c r="Q28" s="11">
        <f>IF($C28="","",IF(OR($N28="",NOT(ISNUMBER($N28))),"B",IF(ABS($P28-1)&lt;=0.3,"A",IF(OR($P28&gt;2,$P28&lt;0.5),"C","B"))))</f>
        <v/>
      </c>
    </row>
    <row r="29">
      <c r="B29" s="11">
        <f>IF($A29="","",IFERROR(IF(INDEX(Community_Register!$B$2:$B$402,MATCH($A29,Community_Register!$A$2:$A$402,0))="","",INDEX(Community_Register!$B$2:$B$402,MATCH($A29,Community_Register!$A$2:$A$402,0))),""))</f>
        <v/>
      </c>
      <c r="H29" s="11">
        <f>IF($C29="","",IF($C29&lt;1,"yes","no"))</f>
        <v/>
      </c>
      <c r="I29" s="11">
        <f>IF($C29="","",IF($C29&lt;2.6,"r75",IF($C29&lt;5.2,"r110",IF($C29&lt;9.9,"r150",IF($C29&lt;19.8,"r210","r300")))))</f>
        <v/>
      </c>
      <c r="J29" s="11">
        <f>IF($C29="","",ROUND(SQRT($C29*10000/PI()),1))</f>
        <v/>
      </c>
      <c r="N29" s="11">
        <f>IF($A29="","",IFERROR(IF(INDEX(Community_Register!$S$2:$S$402,MATCH($A29,Community_Register!$A$2:$A$402,0))="","",INDEX(Community_Register!$S$2:$S$402,MATCH($A29,Community_Register!$A$2:$A$402,0))),""))</f>
        <v/>
      </c>
      <c r="O29" s="11">
        <f>IF($A29="","",IFERROR(IF(INDEX(Community_Register!$V$2:$V$402,MATCH($A29,Community_Register!$A$2:$A$402,0))="","",INDEX(Community_Register!$V$2:$V$402,MATCH($A29,Community_Register!$A$2:$A$402,0))),""))</f>
        <v/>
      </c>
      <c r="P29" s="11">
        <f>IF(OR($C29="",$N29="",NOT(ISNUMBER($N29))),"",$N29/$C29)</f>
        <v/>
      </c>
      <c r="Q29" s="11">
        <f>IF($C29="","",IF(OR($N29="",NOT(ISNUMBER($N29))),"B",IF(ABS($P29-1)&lt;=0.3,"A",IF(OR($P29&gt;2,$P29&lt;0.5),"C","B"))))</f>
        <v/>
      </c>
    </row>
    <row r="30">
      <c r="B30" s="11">
        <f>IF($A30="","",IFERROR(IF(INDEX(Community_Register!$B$2:$B$402,MATCH($A30,Community_Register!$A$2:$A$402,0))="","",INDEX(Community_Register!$B$2:$B$402,MATCH($A30,Community_Register!$A$2:$A$402,0))),""))</f>
        <v/>
      </c>
      <c r="H30" s="11">
        <f>IF($C30="","",IF($C30&lt;1,"yes","no"))</f>
        <v/>
      </c>
      <c r="I30" s="11">
        <f>IF($C30="","",IF($C30&lt;2.6,"r75",IF($C30&lt;5.2,"r110",IF($C30&lt;9.9,"r150",IF($C30&lt;19.8,"r210","r300")))))</f>
        <v/>
      </c>
      <c r="J30" s="11">
        <f>IF($C30="","",ROUND(SQRT($C30*10000/PI()),1))</f>
        <v/>
      </c>
      <c r="N30" s="11">
        <f>IF($A30="","",IFERROR(IF(INDEX(Community_Register!$S$2:$S$402,MATCH($A30,Community_Register!$A$2:$A$402,0))="","",INDEX(Community_Register!$S$2:$S$402,MATCH($A30,Community_Register!$A$2:$A$402,0))),""))</f>
        <v/>
      </c>
      <c r="O30" s="11">
        <f>IF($A30="","",IFERROR(IF(INDEX(Community_Register!$V$2:$V$402,MATCH($A30,Community_Register!$A$2:$A$402,0))="","",INDEX(Community_Register!$V$2:$V$402,MATCH($A30,Community_Register!$A$2:$A$402,0))),""))</f>
        <v/>
      </c>
      <c r="P30" s="11">
        <f>IF(OR($C30="",$N30="",NOT(ISNUMBER($N30))),"",$N30/$C30)</f>
        <v/>
      </c>
      <c r="Q30" s="11">
        <f>IF($C30="","",IF(OR($N30="",NOT(ISNUMBER($N30))),"B",IF(ABS($P30-1)&lt;=0.3,"A",IF(OR($P30&gt;2,$P30&lt;0.5),"C","B"))))</f>
        <v/>
      </c>
    </row>
    <row r="31">
      <c r="B31" s="11">
        <f>IF($A31="","",IFERROR(IF(INDEX(Community_Register!$B$2:$B$402,MATCH($A31,Community_Register!$A$2:$A$402,0))="","",INDEX(Community_Register!$B$2:$B$402,MATCH($A31,Community_Register!$A$2:$A$402,0))),""))</f>
        <v/>
      </c>
      <c r="H31" s="11">
        <f>IF($C31="","",IF($C31&lt;1,"yes","no"))</f>
        <v/>
      </c>
      <c r="I31" s="11">
        <f>IF($C31="","",IF($C31&lt;2.6,"r75",IF($C31&lt;5.2,"r110",IF($C31&lt;9.9,"r150",IF($C31&lt;19.8,"r210","r300")))))</f>
        <v/>
      </c>
      <c r="J31" s="11">
        <f>IF($C31="","",ROUND(SQRT($C31*10000/PI()),1))</f>
        <v/>
      </c>
      <c r="N31" s="11">
        <f>IF($A31="","",IFERROR(IF(INDEX(Community_Register!$S$2:$S$402,MATCH($A31,Community_Register!$A$2:$A$402,0))="","",INDEX(Community_Register!$S$2:$S$402,MATCH($A31,Community_Register!$A$2:$A$402,0))),""))</f>
        <v/>
      </c>
      <c r="O31" s="11">
        <f>IF($A31="","",IFERROR(IF(INDEX(Community_Register!$V$2:$V$402,MATCH($A31,Community_Register!$A$2:$A$402,0))="","",INDEX(Community_Register!$V$2:$V$402,MATCH($A31,Community_Register!$A$2:$A$402,0))),""))</f>
        <v/>
      </c>
      <c r="P31" s="11">
        <f>IF(OR($C31="",$N31="",NOT(ISNUMBER($N31))),"",$N31/$C31)</f>
        <v/>
      </c>
      <c r="Q31" s="11">
        <f>IF($C31="","",IF(OR($N31="",NOT(ISNUMBER($N31))),"B",IF(ABS($P31-1)&lt;=0.3,"A",IF(OR($P31&gt;2,$P31&lt;0.5),"C","B"))))</f>
        <v/>
      </c>
    </row>
    <row r="32">
      <c r="B32" s="11">
        <f>IF($A32="","",IFERROR(IF(INDEX(Community_Register!$B$2:$B$402,MATCH($A32,Community_Register!$A$2:$A$402,0))="","",INDEX(Community_Register!$B$2:$B$402,MATCH($A32,Community_Register!$A$2:$A$402,0))),""))</f>
        <v/>
      </c>
      <c r="H32" s="11">
        <f>IF($C32="","",IF($C32&lt;1,"yes","no"))</f>
        <v/>
      </c>
      <c r="I32" s="11">
        <f>IF($C32="","",IF($C32&lt;2.6,"r75",IF($C32&lt;5.2,"r110",IF($C32&lt;9.9,"r150",IF($C32&lt;19.8,"r210","r300")))))</f>
        <v/>
      </c>
      <c r="J32" s="11">
        <f>IF($C32="","",ROUND(SQRT($C32*10000/PI()),1))</f>
        <v/>
      </c>
      <c r="N32" s="11">
        <f>IF($A32="","",IFERROR(IF(INDEX(Community_Register!$S$2:$S$402,MATCH($A32,Community_Register!$A$2:$A$402,0))="","",INDEX(Community_Register!$S$2:$S$402,MATCH($A32,Community_Register!$A$2:$A$402,0))),""))</f>
        <v/>
      </c>
      <c r="O32" s="11">
        <f>IF($A32="","",IFERROR(IF(INDEX(Community_Register!$V$2:$V$402,MATCH($A32,Community_Register!$A$2:$A$402,0))="","",INDEX(Community_Register!$V$2:$V$402,MATCH($A32,Community_Register!$A$2:$A$402,0))),""))</f>
        <v/>
      </c>
      <c r="P32" s="11">
        <f>IF(OR($C32="",$N32="",NOT(ISNUMBER($N32))),"",$N32/$C32)</f>
        <v/>
      </c>
      <c r="Q32" s="11">
        <f>IF($C32="","",IF(OR($N32="",NOT(ISNUMBER($N32))),"B",IF(ABS($P32-1)&lt;=0.3,"A",IF(OR($P32&gt;2,$P32&lt;0.5),"C","B"))))</f>
        <v/>
      </c>
    </row>
    <row r="33">
      <c r="B33" s="11">
        <f>IF($A33="","",IFERROR(IF(INDEX(Community_Register!$B$2:$B$402,MATCH($A33,Community_Register!$A$2:$A$402,0))="","",INDEX(Community_Register!$B$2:$B$402,MATCH($A33,Community_Register!$A$2:$A$402,0))),""))</f>
        <v/>
      </c>
      <c r="H33" s="11">
        <f>IF($C33="","",IF($C33&lt;1,"yes","no"))</f>
        <v/>
      </c>
      <c r="I33" s="11">
        <f>IF($C33="","",IF($C33&lt;2.6,"r75",IF($C33&lt;5.2,"r110",IF($C33&lt;9.9,"r150",IF($C33&lt;19.8,"r210","r300")))))</f>
        <v/>
      </c>
      <c r="J33" s="11">
        <f>IF($C33="","",ROUND(SQRT($C33*10000/PI()),1))</f>
        <v/>
      </c>
      <c r="N33" s="11">
        <f>IF($A33="","",IFERROR(IF(INDEX(Community_Register!$S$2:$S$402,MATCH($A33,Community_Register!$A$2:$A$402,0))="","",INDEX(Community_Register!$S$2:$S$402,MATCH($A33,Community_Register!$A$2:$A$402,0))),""))</f>
        <v/>
      </c>
      <c r="O33" s="11">
        <f>IF($A33="","",IFERROR(IF(INDEX(Community_Register!$V$2:$V$402,MATCH($A33,Community_Register!$A$2:$A$402,0))="","",INDEX(Community_Register!$V$2:$V$402,MATCH($A33,Community_Register!$A$2:$A$402,0))),""))</f>
        <v/>
      </c>
      <c r="P33" s="11">
        <f>IF(OR($C33="",$N33="",NOT(ISNUMBER($N33))),"",$N33/$C33)</f>
        <v/>
      </c>
      <c r="Q33" s="11">
        <f>IF($C33="","",IF(OR($N33="",NOT(ISNUMBER($N33))),"B",IF(ABS($P33-1)&lt;=0.3,"A",IF(OR($P33&gt;2,$P33&lt;0.5),"C","B"))))</f>
        <v/>
      </c>
    </row>
    <row r="34">
      <c r="B34" s="11">
        <f>IF($A34="","",IFERROR(IF(INDEX(Community_Register!$B$2:$B$402,MATCH($A34,Community_Register!$A$2:$A$402,0))="","",INDEX(Community_Register!$B$2:$B$402,MATCH($A34,Community_Register!$A$2:$A$402,0))),""))</f>
        <v/>
      </c>
      <c r="H34" s="11">
        <f>IF($C34="","",IF($C34&lt;1,"yes","no"))</f>
        <v/>
      </c>
      <c r="I34" s="11">
        <f>IF($C34="","",IF($C34&lt;2.6,"r75",IF($C34&lt;5.2,"r110",IF($C34&lt;9.9,"r150",IF($C34&lt;19.8,"r210","r300")))))</f>
        <v/>
      </c>
      <c r="J34" s="11">
        <f>IF($C34="","",ROUND(SQRT($C34*10000/PI()),1))</f>
        <v/>
      </c>
      <c r="N34" s="11">
        <f>IF($A34="","",IFERROR(IF(INDEX(Community_Register!$S$2:$S$402,MATCH($A34,Community_Register!$A$2:$A$402,0))="","",INDEX(Community_Register!$S$2:$S$402,MATCH($A34,Community_Register!$A$2:$A$402,0))),""))</f>
        <v/>
      </c>
      <c r="O34" s="11">
        <f>IF($A34="","",IFERROR(IF(INDEX(Community_Register!$V$2:$V$402,MATCH($A34,Community_Register!$A$2:$A$402,0))="","",INDEX(Community_Register!$V$2:$V$402,MATCH($A34,Community_Register!$A$2:$A$402,0))),""))</f>
        <v/>
      </c>
      <c r="P34" s="11">
        <f>IF(OR($C34="",$N34="",NOT(ISNUMBER($N34))),"",$N34/$C34)</f>
        <v/>
      </c>
      <c r="Q34" s="11">
        <f>IF($C34="","",IF(OR($N34="",NOT(ISNUMBER($N34))),"B",IF(ABS($P34-1)&lt;=0.3,"A",IF(OR($P34&gt;2,$P34&lt;0.5),"C","B"))))</f>
        <v/>
      </c>
    </row>
    <row r="35">
      <c r="B35" s="11">
        <f>IF($A35="","",IFERROR(IF(INDEX(Community_Register!$B$2:$B$402,MATCH($A35,Community_Register!$A$2:$A$402,0))="","",INDEX(Community_Register!$B$2:$B$402,MATCH($A35,Community_Register!$A$2:$A$402,0))),""))</f>
        <v/>
      </c>
      <c r="H35" s="11">
        <f>IF($C35="","",IF($C35&lt;1,"yes","no"))</f>
        <v/>
      </c>
      <c r="I35" s="11">
        <f>IF($C35="","",IF($C35&lt;2.6,"r75",IF($C35&lt;5.2,"r110",IF($C35&lt;9.9,"r150",IF($C35&lt;19.8,"r210","r300")))))</f>
        <v/>
      </c>
      <c r="J35" s="11">
        <f>IF($C35="","",ROUND(SQRT($C35*10000/PI()),1))</f>
        <v/>
      </c>
      <c r="N35" s="11">
        <f>IF($A35="","",IFERROR(IF(INDEX(Community_Register!$S$2:$S$402,MATCH($A35,Community_Register!$A$2:$A$402,0))="","",INDEX(Community_Register!$S$2:$S$402,MATCH($A35,Community_Register!$A$2:$A$402,0))),""))</f>
        <v/>
      </c>
      <c r="O35" s="11">
        <f>IF($A35="","",IFERROR(IF(INDEX(Community_Register!$V$2:$V$402,MATCH($A35,Community_Register!$A$2:$A$402,0))="","",INDEX(Community_Register!$V$2:$V$402,MATCH($A35,Community_Register!$A$2:$A$402,0))),""))</f>
        <v/>
      </c>
      <c r="P35" s="11">
        <f>IF(OR($C35="",$N35="",NOT(ISNUMBER($N35))),"",$N35/$C35)</f>
        <v/>
      </c>
      <c r="Q35" s="11">
        <f>IF($C35="","",IF(OR($N35="",NOT(ISNUMBER($N35))),"B",IF(ABS($P35-1)&lt;=0.3,"A",IF(OR($P35&gt;2,$P35&lt;0.5),"C","B"))))</f>
        <v/>
      </c>
    </row>
    <row r="36">
      <c r="B36" s="11">
        <f>IF($A36="","",IFERROR(IF(INDEX(Community_Register!$B$2:$B$402,MATCH($A36,Community_Register!$A$2:$A$402,0))="","",INDEX(Community_Register!$B$2:$B$402,MATCH($A36,Community_Register!$A$2:$A$402,0))),""))</f>
        <v/>
      </c>
      <c r="H36" s="11">
        <f>IF($C36="","",IF($C36&lt;1,"yes","no"))</f>
        <v/>
      </c>
      <c r="I36" s="11">
        <f>IF($C36="","",IF($C36&lt;2.6,"r75",IF($C36&lt;5.2,"r110",IF($C36&lt;9.9,"r150",IF($C36&lt;19.8,"r210","r300")))))</f>
        <v/>
      </c>
      <c r="J36" s="11">
        <f>IF($C36="","",ROUND(SQRT($C36*10000/PI()),1))</f>
        <v/>
      </c>
      <c r="N36" s="11">
        <f>IF($A36="","",IFERROR(IF(INDEX(Community_Register!$S$2:$S$402,MATCH($A36,Community_Register!$A$2:$A$402,0))="","",INDEX(Community_Register!$S$2:$S$402,MATCH($A36,Community_Register!$A$2:$A$402,0))),""))</f>
        <v/>
      </c>
      <c r="O36" s="11">
        <f>IF($A36="","",IFERROR(IF(INDEX(Community_Register!$V$2:$V$402,MATCH($A36,Community_Register!$A$2:$A$402,0))="","",INDEX(Community_Register!$V$2:$V$402,MATCH($A36,Community_Register!$A$2:$A$402,0))),""))</f>
        <v/>
      </c>
      <c r="P36" s="11">
        <f>IF(OR($C36="",$N36="",NOT(ISNUMBER($N36))),"",$N36/$C36)</f>
        <v/>
      </c>
      <c r="Q36" s="11">
        <f>IF($C36="","",IF(OR($N36="",NOT(ISNUMBER($N36))),"B",IF(ABS($P36-1)&lt;=0.3,"A",IF(OR($P36&gt;2,$P36&lt;0.5),"C","B"))))</f>
        <v/>
      </c>
    </row>
    <row r="37">
      <c r="B37" s="11">
        <f>IF($A37="","",IFERROR(IF(INDEX(Community_Register!$B$2:$B$402,MATCH($A37,Community_Register!$A$2:$A$402,0))="","",INDEX(Community_Register!$B$2:$B$402,MATCH($A37,Community_Register!$A$2:$A$402,0))),""))</f>
        <v/>
      </c>
      <c r="H37" s="11">
        <f>IF($C37="","",IF($C37&lt;1,"yes","no"))</f>
        <v/>
      </c>
      <c r="I37" s="11">
        <f>IF($C37="","",IF($C37&lt;2.6,"r75",IF($C37&lt;5.2,"r110",IF($C37&lt;9.9,"r150",IF($C37&lt;19.8,"r210","r300")))))</f>
        <v/>
      </c>
      <c r="J37" s="11">
        <f>IF($C37="","",ROUND(SQRT($C37*10000/PI()),1))</f>
        <v/>
      </c>
      <c r="N37" s="11">
        <f>IF($A37="","",IFERROR(IF(INDEX(Community_Register!$S$2:$S$402,MATCH($A37,Community_Register!$A$2:$A$402,0))="","",INDEX(Community_Register!$S$2:$S$402,MATCH($A37,Community_Register!$A$2:$A$402,0))),""))</f>
        <v/>
      </c>
      <c r="O37" s="11">
        <f>IF($A37="","",IFERROR(IF(INDEX(Community_Register!$V$2:$V$402,MATCH($A37,Community_Register!$A$2:$A$402,0))="","",INDEX(Community_Register!$V$2:$V$402,MATCH($A37,Community_Register!$A$2:$A$402,0))),""))</f>
        <v/>
      </c>
      <c r="P37" s="11">
        <f>IF(OR($C37="",$N37="",NOT(ISNUMBER($N37))),"",$N37/$C37)</f>
        <v/>
      </c>
      <c r="Q37" s="11">
        <f>IF($C37="","",IF(OR($N37="",NOT(ISNUMBER($N37))),"B",IF(ABS($P37-1)&lt;=0.3,"A",IF(OR($P37&gt;2,$P37&lt;0.5),"C","B"))))</f>
        <v/>
      </c>
    </row>
    <row r="38">
      <c r="B38" s="11">
        <f>IF($A38="","",IFERROR(IF(INDEX(Community_Register!$B$2:$B$402,MATCH($A38,Community_Register!$A$2:$A$402,0))="","",INDEX(Community_Register!$B$2:$B$402,MATCH($A38,Community_Register!$A$2:$A$402,0))),""))</f>
        <v/>
      </c>
      <c r="H38" s="11">
        <f>IF($C38="","",IF($C38&lt;1,"yes","no"))</f>
        <v/>
      </c>
      <c r="I38" s="11">
        <f>IF($C38="","",IF($C38&lt;2.6,"r75",IF($C38&lt;5.2,"r110",IF($C38&lt;9.9,"r150",IF($C38&lt;19.8,"r210","r300")))))</f>
        <v/>
      </c>
      <c r="J38" s="11">
        <f>IF($C38="","",ROUND(SQRT($C38*10000/PI()),1))</f>
        <v/>
      </c>
      <c r="N38" s="11">
        <f>IF($A38="","",IFERROR(IF(INDEX(Community_Register!$S$2:$S$402,MATCH($A38,Community_Register!$A$2:$A$402,0))="","",INDEX(Community_Register!$S$2:$S$402,MATCH($A38,Community_Register!$A$2:$A$402,0))),""))</f>
        <v/>
      </c>
      <c r="O38" s="11">
        <f>IF($A38="","",IFERROR(IF(INDEX(Community_Register!$V$2:$V$402,MATCH($A38,Community_Register!$A$2:$A$402,0))="","",INDEX(Community_Register!$V$2:$V$402,MATCH($A38,Community_Register!$A$2:$A$402,0))),""))</f>
        <v/>
      </c>
      <c r="P38" s="11">
        <f>IF(OR($C38="",$N38="",NOT(ISNUMBER($N38))),"",$N38/$C38)</f>
        <v/>
      </c>
      <c r="Q38" s="11">
        <f>IF($C38="","",IF(OR($N38="",NOT(ISNUMBER($N38))),"B",IF(ABS($P38-1)&lt;=0.3,"A",IF(OR($P38&gt;2,$P38&lt;0.5),"C","B"))))</f>
        <v/>
      </c>
    </row>
    <row r="39">
      <c r="B39" s="11">
        <f>IF($A39="","",IFERROR(IF(INDEX(Community_Register!$B$2:$B$402,MATCH($A39,Community_Register!$A$2:$A$402,0))="","",INDEX(Community_Register!$B$2:$B$402,MATCH($A39,Community_Register!$A$2:$A$402,0))),""))</f>
        <v/>
      </c>
      <c r="H39" s="11">
        <f>IF($C39="","",IF($C39&lt;1,"yes","no"))</f>
        <v/>
      </c>
      <c r="I39" s="11">
        <f>IF($C39="","",IF($C39&lt;2.6,"r75",IF($C39&lt;5.2,"r110",IF($C39&lt;9.9,"r150",IF($C39&lt;19.8,"r210","r300")))))</f>
        <v/>
      </c>
      <c r="J39" s="11">
        <f>IF($C39="","",ROUND(SQRT($C39*10000/PI()),1))</f>
        <v/>
      </c>
      <c r="N39" s="11">
        <f>IF($A39="","",IFERROR(IF(INDEX(Community_Register!$S$2:$S$402,MATCH($A39,Community_Register!$A$2:$A$402,0))="","",INDEX(Community_Register!$S$2:$S$402,MATCH($A39,Community_Register!$A$2:$A$402,0))),""))</f>
        <v/>
      </c>
      <c r="O39" s="11">
        <f>IF($A39="","",IFERROR(IF(INDEX(Community_Register!$V$2:$V$402,MATCH($A39,Community_Register!$A$2:$A$402,0))="","",INDEX(Community_Register!$V$2:$V$402,MATCH($A39,Community_Register!$A$2:$A$402,0))),""))</f>
        <v/>
      </c>
      <c r="P39" s="11">
        <f>IF(OR($C39="",$N39="",NOT(ISNUMBER($N39))),"",$N39/$C39)</f>
        <v/>
      </c>
      <c r="Q39" s="11">
        <f>IF($C39="","",IF(OR($N39="",NOT(ISNUMBER($N39))),"B",IF(ABS($P39-1)&lt;=0.3,"A",IF(OR($P39&gt;2,$P39&lt;0.5),"C","B"))))</f>
        <v/>
      </c>
    </row>
    <row r="40">
      <c r="B40" s="11">
        <f>IF($A40="","",IFERROR(IF(INDEX(Community_Register!$B$2:$B$402,MATCH($A40,Community_Register!$A$2:$A$402,0))="","",INDEX(Community_Register!$B$2:$B$402,MATCH($A40,Community_Register!$A$2:$A$402,0))),""))</f>
        <v/>
      </c>
      <c r="H40" s="11">
        <f>IF($C40="","",IF($C40&lt;1,"yes","no"))</f>
        <v/>
      </c>
      <c r="I40" s="11">
        <f>IF($C40="","",IF($C40&lt;2.6,"r75",IF($C40&lt;5.2,"r110",IF($C40&lt;9.9,"r150",IF($C40&lt;19.8,"r210","r300")))))</f>
        <v/>
      </c>
      <c r="J40" s="11">
        <f>IF($C40="","",ROUND(SQRT($C40*10000/PI()),1))</f>
        <v/>
      </c>
      <c r="N40" s="11">
        <f>IF($A40="","",IFERROR(IF(INDEX(Community_Register!$S$2:$S$402,MATCH($A40,Community_Register!$A$2:$A$402,0))="","",INDEX(Community_Register!$S$2:$S$402,MATCH($A40,Community_Register!$A$2:$A$402,0))),""))</f>
        <v/>
      </c>
      <c r="O40" s="11">
        <f>IF($A40="","",IFERROR(IF(INDEX(Community_Register!$V$2:$V$402,MATCH($A40,Community_Register!$A$2:$A$402,0))="","",INDEX(Community_Register!$V$2:$V$402,MATCH($A40,Community_Register!$A$2:$A$402,0))),""))</f>
        <v/>
      </c>
      <c r="P40" s="11">
        <f>IF(OR($C40="",$N40="",NOT(ISNUMBER($N40))),"",$N40/$C40)</f>
        <v/>
      </c>
      <c r="Q40" s="11">
        <f>IF($C40="","",IF(OR($N40="",NOT(ISNUMBER($N40))),"B",IF(ABS($P40-1)&lt;=0.3,"A",IF(OR($P40&gt;2,$P40&lt;0.5),"C","B"))))</f>
        <v/>
      </c>
    </row>
    <row r="41">
      <c r="B41" s="11">
        <f>IF($A41="","",IFERROR(IF(INDEX(Community_Register!$B$2:$B$402,MATCH($A41,Community_Register!$A$2:$A$402,0))="","",INDEX(Community_Register!$B$2:$B$402,MATCH($A41,Community_Register!$A$2:$A$402,0))),""))</f>
        <v/>
      </c>
      <c r="H41" s="11">
        <f>IF($C41="","",IF($C41&lt;1,"yes","no"))</f>
        <v/>
      </c>
      <c r="I41" s="11">
        <f>IF($C41="","",IF($C41&lt;2.6,"r75",IF($C41&lt;5.2,"r110",IF($C41&lt;9.9,"r150",IF($C41&lt;19.8,"r210","r300")))))</f>
        <v/>
      </c>
      <c r="J41" s="11">
        <f>IF($C41="","",ROUND(SQRT($C41*10000/PI()),1))</f>
        <v/>
      </c>
      <c r="N41" s="11">
        <f>IF($A41="","",IFERROR(IF(INDEX(Community_Register!$S$2:$S$402,MATCH($A41,Community_Register!$A$2:$A$402,0))="","",INDEX(Community_Register!$S$2:$S$402,MATCH($A41,Community_Register!$A$2:$A$402,0))),""))</f>
        <v/>
      </c>
      <c r="O41" s="11">
        <f>IF($A41="","",IFERROR(IF(INDEX(Community_Register!$V$2:$V$402,MATCH($A41,Community_Register!$A$2:$A$402,0))="","",INDEX(Community_Register!$V$2:$V$402,MATCH($A41,Community_Register!$A$2:$A$402,0))),""))</f>
        <v/>
      </c>
      <c r="P41" s="11">
        <f>IF(OR($C41="",$N41="",NOT(ISNUMBER($N41))),"",$N41/$C41)</f>
        <v/>
      </c>
      <c r="Q41" s="11">
        <f>IF($C41="","",IF(OR($N41="",NOT(ISNUMBER($N41))),"B",IF(ABS($P41-1)&lt;=0.3,"A",IF(OR($P41&gt;2,$P41&lt;0.5),"C","B"))))</f>
        <v/>
      </c>
    </row>
    <row r="42">
      <c r="B42" s="11">
        <f>IF($A42="","",IFERROR(IF(INDEX(Community_Register!$B$2:$B$402,MATCH($A42,Community_Register!$A$2:$A$402,0))="","",INDEX(Community_Register!$B$2:$B$402,MATCH($A42,Community_Register!$A$2:$A$402,0))),""))</f>
        <v/>
      </c>
      <c r="H42" s="11">
        <f>IF($C42="","",IF($C42&lt;1,"yes","no"))</f>
        <v/>
      </c>
      <c r="I42" s="11">
        <f>IF($C42="","",IF($C42&lt;2.6,"r75",IF($C42&lt;5.2,"r110",IF($C42&lt;9.9,"r150",IF($C42&lt;19.8,"r210","r300")))))</f>
        <v/>
      </c>
      <c r="J42" s="11">
        <f>IF($C42="","",ROUND(SQRT($C42*10000/PI()),1))</f>
        <v/>
      </c>
      <c r="N42" s="11">
        <f>IF($A42="","",IFERROR(IF(INDEX(Community_Register!$S$2:$S$402,MATCH($A42,Community_Register!$A$2:$A$402,0))="","",INDEX(Community_Register!$S$2:$S$402,MATCH($A42,Community_Register!$A$2:$A$402,0))),""))</f>
        <v/>
      </c>
      <c r="O42" s="11">
        <f>IF($A42="","",IFERROR(IF(INDEX(Community_Register!$V$2:$V$402,MATCH($A42,Community_Register!$A$2:$A$402,0))="","",INDEX(Community_Register!$V$2:$V$402,MATCH($A42,Community_Register!$A$2:$A$402,0))),""))</f>
        <v/>
      </c>
      <c r="P42" s="11">
        <f>IF(OR($C42="",$N42="",NOT(ISNUMBER($N42))),"",$N42/$C42)</f>
        <v/>
      </c>
      <c r="Q42" s="11">
        <f>IF($C42="","",IF(OR($N42="",NOT(ISNUMBER($N42))),"B",IF(ABS($P42-1)&lt;=0.3,"A",IF(OR($P42&gt;2,$P42&lt;0.5),"C","B"))))</f>
        <v/>
      </c>
    </row>
    <row r="43">
      <c r="B43" s="11">
        <f>IF($A43="","",IFERROR(IF(INDEX(Community_Register!$B$2:$B$402,MATCH($A43,Community_Register!$A$2:$A$402,0))="","",INDEX(Community_Register!$B$2:$B$402,MATCH($A43,Community_Register!$A$2:$A$402,0))),""))</f>
        <v/>
      </c>
      <c r="H43" s="11">
        <f>IF($C43="","",IF($C43&lt;1,"yes","no"))</f>
        <v/>
      </c>
      <c r="I43" s="11">
        <f>IF($C43="","",IF($C43&lt;2.6,"r75",IF($C43&lt;5.2,"r110",IF($C43&lt;9.9,"r150",IF($C43&lt;19.8,"r210","r300")))))</f>
        <v/>
      </c>
      <c r="J43" s="11">
        <f>IF($C43="","",ROUND(SQRT($C43*10000/PI()),1))</f>
        <v/>
      </c>
      <c r="N43" s="11">
        <f>IF($A43="","",IFERROR(IF(INDEX(Community_Register!$S$2:$S$402,MATCH($A43,Community_Register!$A$2:$A$402,0))="","",INDEX(Community_Register!$S$2:$S$402,MATCH($A43,Community_Register!$A$2:$A$402,0))),""))</f>
        <v/>
      </c>
      <c r="O43" s="11">
        <f>IF($A43="","",IFERROR(IF(INDEX(Community_Register!$V$2:$V$402,MATCH($A43,Community_Register!$A$2:$A$402,0))="","",INDEX(Community_Register!$V$2:$V$402,MATCH($A43,Community_Register!$A$2:$A$402,0))),""))</f>
        <v/>
      </c>
      <c r="P43" s="11">
        <f>IF(OR($C43="",$N43="",NOT(ISNUMBER($N43))),"",$N43/$C43)</f>
        <v/>
      </c>
      <c r="Q43" s="11">
        <f>IF($C43="","",IF(OR($N43="",NOT(ISNUMBER($N43))),"B",IF(ABS($P43-1)&lt;=0.3,"A",IF(OR($P43&gt;2,$P43&lt;0.5),"C","B"))))</f>
        <v/>
      </c>
    </row>
    <row r="44">
      <c r="B44" s="11">
        <f>IF($A44="","",IFERROR(IF(INDEX(Community_Register!$B$2:$B$402,MATCH($A44,Community_Register!$A$2:$A$402,0))="","",INDEX(Community_Register!$B$2:$B$402,MATCH($A44,Community_Register!$A$2:$A$402,0))),""))</f>
        <v/>
      </c>
      <c r="H44" s="11">
        <f>IF($C44="","",IF($C44&lt;1,"yes","no"))</f>
        <v/>
      </c>
      <c r="I44" s="11">
        <f>IF($C44="","",IF($C44&lt;2.6,"r75",IF($C44&lt;5.2,"r110",IF($C44&lt;9.9,"r150",IF($C44&lt;19.8,"r210","r300")))))</f>
        <v/>
      </c>
      <c r="J44" s="11">
        <f>IF($C44="","",ROUND(SQRT($C44*10000/PI()),1))</f>
        <v/>
      </c>
      <c r="N44" s="11">
        <f>IF($A44="","",IFERROR(IF(INDEX(Community_Register!$S$2:$S$402,MATCH($A44,Community_Register!$A$2:$A$402,0))="","",INDEX(Community_Register!$S$2:$S$402,MATCH($A44,Community_Register!$A$2:$A$402,0))),""))</f>
        <v/>
      </c>
      <c r="O44" s="11">
        <f>IF($A44="","",IFERROR(IF(INDEX(Community_Register!$V$2:$V$402,MATCH($A44,Community_Register!$A$2:$A$402,0))="","",INDEX(Community_Register!$V$2:$V$402,MATCH($A44,Community_Register!$A$2:$A$402,0))),""))</f>
        <v/>
      </c>
      <c r="P44" s="11">
        <f>IF(OR($C44="",$N44="",NOT(ISNUMBER($N44))),"",$N44/$C44)</f>
        <v/>
      </c>
      <c r="Q44" s="11">
        <f>IF($C44="","",IF(OR($N44="",NOT(ISNUMBER($N44))),"B",IF(ABS($P44-1)&lt;=0.3,"A",IF(OR($P44&gt;2,$P44&lt;0.5),"C","B"))))</f>
        <v/>
      </c>
    </row>
    <row r="45">
      <c r="B45" s="11">
        <f>IF($A45="","",IFERROR(IF(INDEX(Community_Register!$B$2:$B$402,MATCH($A45,Community_Register!$A$2:$A$402,0))="","",INDEX(Community_Register!$B$2:$B$402,MATCH($A45,Community_Register!$A$2:$A$402,0))),""))</f>
        <v/>
      </c>
      <c r="H45" s="11">
        <f>IF($C45="","",IF($C45&lt;1,"yes","no"))</f>
        <v/>
      </c>
      <c r="I45" s="11">
        <f>IF($C45="","",IF($C45&lt;2.6,"r75",IF($C45&lt;5.2,"r110",IF($C45&lt;9.9,"r150",IF($C45&lt;19.8,"r210","r300")))))</f>
        <v/>
      </c>
      <c r="J45" s="11">
        <f>IF($C45="","",ROUND(SQRT($C45*10000/PI()),1))</f>
        <v/>
      </c>
      <c r="N45" s="11">
        <f>IF($A45="","",IFERROR(IF(INDEX(Community_Register!$S$2:$S$402,MATCH($A45,Community_Register!$A$2:$A$402,0))="","",INDEX(Community_Register!$S$2:$S$402,MATCH($A45,Community_Register!$A$2:$A$402,0))),""))</f>
        <v/>
      </c>
      <c r="O45" s="11">
        <f>IF($A45="","",IFERROR(IF(INDEX(Community_Register!$V$2:$V$402,MATCH($A45,Community_Register!$A$2:$A$402,0))="","",INDEX(Community_Register!$V$2:$V$402,MATCH($A45,Community_Register!$A$2:$A$402,0))),""))</f>
        <v/>
      </c>
      <c r="P45" s="11">
        <f>IF(OR($C45="",$N45="",NOT(ISNUMBER($N45))),"",$N45/$C45)</f>
        <v/>
      </c>
      <c r="Q45" s="11">
        <f>IF($C45="","",IF(OR($N45="",NOT(ISNUMBER($N45))),"B",IF(ABS($P45-1)&lt;=0.3,"A",IF(OR($P45&gt;2,$P45&lt;0.5),"C","B"))))</f>
        <v/>
      </c>
    </row>
    <row r="46">
      <c r="B46" s="11">
        <f>IF($A46="","",IFERROR(IF(INDEX(Community_Register!$B$2:$B$402,MATCH($A46,Community_Register!$A$2:$A$402,0))="","",INDEX(Community_Register!$B$2:$B$402,MATCH($A46,Community_Register!$A$2:$A$402,0))),""))</f>
        <v/>
      </c>
      <c r="H46" s="11">
        <f>IF($C46="","",IF($C46&lt;1,"yes","no"))</f>
        <v/>
      </c>
      <c r="I46" s="11">
        <f>IF($C46="","",IF($C46&lt;2.6,"r75",IF($C46&lt;5.2,"r110",IF($C46&lt;9.9,"r150",IF($C46&lt;19.8,"r210","r300")))))</f>
        <v/>
      </c>
      <c r="J46" s="11">
        <f>IF($C46="","",ROUND(SQRT($C46*10000/PI()),1))</f>
        <v/>
      </c>
      <c r="N46" s="11">
        <f>IF($A46="","",IFERROR(IF(INDEX(Community_Register!$S$2:$S$402,MATCH($A46,Community_Register!$A$2:$A$402,0))="","",INDEX(Community_Register!$S$2:$S$402,MATCH($A46,Community_Register!$A$2:$A$402,0))),""))</f>
        <v/>
      </c>
      <c r="O46" s="11">
        <f>IF($A46="","",IFERROR(IF(INDEX(Community_Register!$V$2:$V$402,MATCH($A46,Community_Register!$A$2:$A$402,0))="","",INDEX(Community_Register!$V$2:$V$402,MATCH($A46,Community_Register!$A$2:$A$402,0))),""))</f>
        <v/>
      </c>
      <c r="P46" s="11">
        <f>IF(OR($C46="",$N46="",NOT(ISNUMBER($N46))),"",$N46/$C46)</f>
        <v/>
      </c>
      <c r="Q46" s="11">
        <f>IF($C46="","",IF(OR($N46="",NOT(ISNUMBER($N46))),"B",IF(ABS($P46-1)&lt;=0.3,"A",IF(OR($P46&gt;2,$P46&lt;0.5),"C","B"))))</f>
        <v/>
      </c>
    </row>
    <row r="47">
      <c r="B47" s="11">
        <f>IF($A47="","",IFERROR(IF(INDEX(Community_Register!$B$2:$B$402,MATCH($A47,Community_Register!$A$2:$A$402,0))="","",INDEX(Community_Register!$B$2:$B$402,MATCH($A47,Community_Register!$A$2:$A$402,0))),""))</f>
        <v/>
      </c>
      <c r="H47" s="11">
        <f>IF($C47="","",IF($C47&lt;1,"yes","no"))</f>
        <v/>
      </c>
      <c r="I47" s="11">
        <f>IF($C47="","",IF($C47&lt;2.6,"r75",IF($C47&lt;5.2,"r110",IF($C47&lt;9.9,"r150",IF($C47&lt;19.8,"r210","r300")))))</f>
        <v/>
      </c>
      <c r="J47" s="11">
        <f>IF($C47="","",ROUND(SQRT($C47*10000/PI()),1))</f>
        <v/>
      </c>
      <c r="N47" s="11">
        <f>IF($A47="","",IFERROR(IF(INDEX(Community_Register!$S$2:$S$402,MATCH($A47,Community_Register!$A$2:$A$402,0))="","",INDEX(Community_Register!$S$2:$S$402,MATCH($A47,Community_Register!$A$2:$A$402,0))),""))</f>
        <v/>
      </c>
      <c r="O47" s="11">
        <f>IF($A47="","",IFERROR(IF(INDEX(Community_Register!$V$2:$V$402,MATCH($A47,Community_Register!$A$2:$A$402,0))="","",INDEX(Community_Register!$V$2:$V$402,MATCH($A47,Community_Register!$A$2:$A$402,0))),""))</f>
        <v/>
      </c>
      <c r="P47" s="11">
        <f>IF(OR($C47="",$N47="",NOT(ISNUMBER($N47))),"",$N47/$C47)</f>
        <v/>
      </c>
      <c r="Q47" s="11">
        <f>IF($C47="","",IF(OR($N47="",NOT(ISNUMBER($N47))),"B",IF(ABS($P47-1)&lt;=0.3,"A",IF(OR($P47&gt;2,$P47&lt;0.5),"C","B"))))</f>
        <v/>
      </c>
    </row>
    <row r="48">
      <c r="B48" s="11">
        <f>IF($A48="","",IFERROR(IF(INDEX(Community_Register!$B$2:$B$402,MATCH($A48,Community_Register!$A$2:$A$402,0))="","",INDEX(Community_Register!$B$2:$B$402,MATCH($A48,Community_Register!$A$2:$A$402,0))),""))</f>
        <v/>
      </c>
      <c r="H48" s="11">
        <f>IF($C48="","",IF($C48&lt;1,"yes","no"))</f>
        <v/>
      </c>
      <c r="I48" s="11">
        <f>IF($C48="","",IF($C48&lt;2.6,"r75",IF($C48&lt;5.2,"r110",IF($C48&lt;9.9,"r150",IF($C48&lt;19.8,"r210","r300")))))</f>
        <v/>
      </c>
      <c r="J48" s="11">
        <f>IF($C48="","",ROUND(SQRT($C48*10000/PI()),1))</f>
        <v/>
      </c>
      <c r="N48" s="11">
        <f>IF($A48="","",IFERROR(IF(INDEX(Community_Register!$S$2:$S$402,MATCH($A48,Community_Register!$A$2:$A$402,0))="","",INDEX(Community_Register!$S$2:$S$402,MATCH($A48,Community_Register!$A$2:$A$402,0))),""))</f>
        <v/>
      </c>
      <c r="O48" s="11">
        <f>IF($A48="","",IFERROR(IF(INDEX(Community_Register!$V$2:$V$402,MATCH($A48,Community_Register!$A$2:$A$402,0))="","",INDEX(Community_Register!$V$2:$V$402,MATCH($A48,Community_Register!$A$2:$A$402,0))),""))</f>
        <v/>
      </c>
      <c r="P48" s="11">
        <f>IF(OR($C48="",$N48="",NOT(ISNUMBER($N48))),"",$N48/$C48)</f>
        <v/>
      </c>
      <c r="Q48" s="11">
        <f>IF($C48="","",IF(OR($N48="",NOT(ISNUMBER($N48))),"B",IF(ABS($P48-1)&lt;=0.3,"A",IF(OR($P48&gt;2,$P48&lt;0.5),"C","B"))))</f>
        <v/>
      </c>
    </row>
    <row r="49">
      <c r="B49" s="11">
        <f>IF($A49="","",IFERROR(IF(INDEX(Community_Register!$B$2:$B$402,MATCH($A49,Community_Register!$A$2:$A$402,0))="","",INDEX(Community_Register!$B$2:$B$402,MATCH($A49,Community_Register!$A$2:$A$402,0))),""))</f>
        <v/>
      </c>
      <c r="H49" s="11">
        <f>IF($C49="","",IF($C49&lt;1,"yes","no"))</f>
        <v/>
      </c>
      <c r="I49" s="11">
        <f>IF($C49="","",IF($C49&lt;2.6,"r75",IF($C49&lt;5.2,"r110",IF($C49&lt;9.9,"r150",IF($C49&lt;19.8,"r210","r300")))))</f>
        <v/>
      </c>
      <c r="J49" s="11">
        <f>IF($C49="","",ROUND(SQRT($C49*10000/PI()),1))</f>
        <v/>
      </c>
      <c r="N49" s="11">
        <f>IF($A49="","",IFERROR(IF(INDEX(Community_Register!$S$2:$S$402,MATCH($A49,Community_Register!$A$2:$A$402,0))="","",INDEX(Community_Register!$S$2:$S$402,MATCH($A49,Community_Register!$A$2:$A$402,0))),""))</f>
        <v/>
      </c>
      <c r="O49" s="11">
        <f>IF($A49="","",IFERROR(IF(INDEX(Community_Register!$V$2:$V$402,MATCH($A49,Community_Register!$A$2:$A$402,0))="","",INDEX(Community_Register!$V$2:$V$402,MATCH($A49,Community_Register!$A$2:$A$402,0))),""))</f>
        <v/>
      </c>
      <c r="P49" s="11">
        <f>IF(OR($C49="",$N49="",NOT(ISNUMBER($N49))),"",$N49/$C49)</f>
        <v/>
      </c>
      <c r="Q49" s="11">
        <f>IF($C49="","",IF(OR($N49="",NOT(ISNUMBER($N49))),"B",IF(ABS($P49-1)&lt;=0.3,"A",IF(OR($P49&gt;2,$P49&lt;0.5),"C","B"))))</f>
        <v/>
      </c>
    </row>
    <row r="50">
      <c r="B50" s="11">
        <f>IF($A50="","",IFERROR(IF(INDEX(Community_Register!$B$2:$B$402,MATCH($A50,Community_Register!$A$2:$A$402,0))="","",INDEX(Community_Register!$B$2:$B$402,MATCH($A50,Community_Register!$A$2:$A$402,0))),""))</f>
        <v/>
      </c>
      <c r="H50" s="11">
        <f>IF($C50="","",IF($C50&lt;1,"yes","no"))</f>
        <v/>
      </c>
      <c r="I50" s="11">
        <f>IF($C50="","",IF($C50&lt;2.6,"r75",IF($C50&lt;5.2,"r110",IF($C50&lt;9.9,"r150",IF($C50&lt;19.8,"r210","r300")))))</f>
        <v/>
      </c>
      <c r="J50" s="11">
        <f>IF($C50="","",ROUND(SQRT($C50*10000/PI()),1))</f>
        <v/>
      </c>
      <c r="N50" s="11">
        <f>IF($A50="","",IFERROR(IF(INDEX(Community_Register!$S$2:$S$402,MATCH($A50,Community_Register!$A$2:$A$402,0))="","",INDEX(Community_Register!$S$2:$S$402,MATCH($A50,Community_Register!$A$2:$A$402,0))),""))</f>
        <v/>
      </c>
      <c r="O50" s="11">
        <f>IF($A50="","",IFERROR(IF(INDEX(Community_Register!$V$2:$V$402,MATCH($A50,Community_Register!$A$2:$A$402,0))="","",INDEX(Community_Register!$V$2:$V$402,MATCH($A50,Community_Register!$A$2:$A$402,0))),""))</f>
        <v/>
      </c>
      <c r="P50" s="11">
        <f>IF(OR($C50="",$N50="",NOT(ISNUMBER($N50))),"",$N50/$C50)</f>
        <v/>
      </c>
      <c r="Q50" s="11">
        <f>IF($C50="","",IF(OR($N50="",NOT(ISNUMBER($N50))),"B",IF(ABS($P50-1)&lt;=0.3,"A",IF(OR($P50&gt;2,$P50&lt;0.5),"C","B"))))</f>
        <v/>
      </c>
    </row>
    <row r="51">
      <c r="B51" s="11">
        <f>IF($A51="","",IFERROR(IF(INDEX(Community_Register!$B$2:$B$402,MATCH($A51,Community_Register!$A$2:$A$402,0))="","",INDEX(Community_Register!$B$2:$B$402,MATCH($A51,Community_Register!$A$2:$A$402,0))),""))</f>
        <v/>
      </c>
      <c r="H51" s="11">
        <f>IF($C51="","",IF($C51&lt;1,"yes","no"))</f>
        <v/>
      </c>
      <c r="I51" s="11">
        <f>IF($C51="","",IF($C51&lt;2.6,"r75",IF($C51&lt;5.2,"r110",IF($C51&lt;9.9,"r150",IF($C51&lt;19.8,"r210","r300")))))</f>
        <v/>
      </c>
      <c r="J51" s="11">
        <f>IF($C51="","",ROUND(SQRT($C51*10000/PI()),1))</f>
        <v/>
      </c>
      <c r="N51" s="11">
        <f>IF($A51="","",IFERROR(IF(INDEX(Community_Register!$S$2:$S$402,MATCH($A51,Community_Register!$A$2:$A$402,0))="","",INDEX(Community_Register!$S$2:$S$402,MATCH($A51,Community_Register!$A$2:$A$402,0))),""))</f>
        <v/>
      </c>
      <c r="O51" s="11">
        <f>IF($A51="","",IFERROR(IF(INDEX(Community_Register!$V$2:$V$402,MATCH($A51,Community_Register!$A$2:$A$402,0))="","",INDEX(Community_Register!$V$2:$V$402,MATCH($A51,Community_Register!$A$2:$A$402,0))),""))</f>
        <v/>
      </c>
      <c r="P51" s="11">
        <f>IF(OR($C51="",$N51="",NOT(ISNUMBER($N51))),"",$N51/$C51)</f>
        <v/>
      </c>
      <c r="Q51" s="11">
        <f>IF($C51="","",IF(OR($N51="",NOT(ISNUMBER($N51))),"B",IF(ABS($P51-1)&lt;=0.3,"A",IF(OR($P51&gt;2,$P51&lt;0.5),"C","B"))))</f>
        <v/>
      </c>
    </row>
    <row r="52">
      <c r="B52" s="11">
        <f>IF($A52="","",IFERROR(IF(INDEX(Community_Register!$B$2:$B$402,MATCH($A52,Community_Register!$A$2:$A$402,0))="","",INDEX(Community_Register!$B$2:$B$402,MATCH($A52,Community_Register!$A$2:$A$402,0))),""))</f>
        <v/>
      </c>
      <c r="H52" s="11">
        <f>IF($C52="","",IF($C52&lt;1,"yes","no"))</f>
        <v/>
      </c>
      <c r="I52" s="11">
        <f>IF($C52="","",IF($C52&lt;2.6,"r75",IF($C52&lt;5.2,"r110",IF($C52&lt;9.9,"r150",IF($C52&lt;19.8,"r210","r300")))))</f>
        <v/>
      </c>
      <c r="J52" s="11">
        <f>IF($C52="","",ROUND(SQRT($C52*10000/PI()),1))</f>
        <v/>
      </c>
      <c r="N52" s="11">
        <f>IF($A52="","",IFERROR(IF(INDEX(Community_Register!$S$2:$S$402,MATCH($A52,Community_Register!$A$2:$A$402,0))="","",INDEX(Community_Register!$S$2:$S$402,MATCH($A52,Community_Register!$A$2:$A$402,0))),""))</f>
        <v/>
      </c>
      <c r="O52" s="11">
        <f>IF($A52="","",IFERROR(IF(INDEX(Community_Register!$V$2:$V$402,MATCH($A52,Community_Register!$A$2:$A$402,0))="","",INDEX(Community_Register!$V$2:$V$402,MATCH($A52,Community_Register!$A$2:$A$402,0))),""))</f>
        <v/>
      </c>
      <c r="P52" s="11">
        <f>IF(OR($C52="",$N52="",NOT(ISNUMBER($N52))),"",$N52/$C52)</f>
        <v/>
      </c>
      <c r="Q52" s="11">
        <f>IF($C52="","",IF(OR($N52="",NOT(ISNUMBER($N52))),"B",IF(ABS($P52-1)&lt;=0.3,"A",IF(OR($P52&gt;2,$P52&lt;0.5),"C","B"))))</f>
        <v/>
      </c>
    </row>
    <row r="53">
      <c r="B53" s="11">
        <f>IF($A53="","",IFERROR(IF(INDEX(Community_Register!$B$2:$B$402,MATCH($A53,Community_Register!$A$2:$A$402,0))="","",INDEX(Community_Register!$B$2:$B$402,MATCH($A53,Community_Register!$A$2:$A$402,0))),""))</f>
        <v/>
      </c>
      <c r="H53" s="11">
        <f>IF($C53="","",IF($C53&lt;1,"yes","no"))</f>
        <v/>
      </c>
      <c r="I53" s="11">
        <f>IF($C53="","",IF($C53&lt;2.6,"r75",IF($C53&lt;5.2,"r110",IF($C53&lt;9.9,"r150",IF($C53&lt;19.8,"r210","r300")))))</f>
        <v/>
      </c>
      <c r="J53" s="11">
        <f>IF($C53="","",ROUND(SQRT($C53*10000/PI()),1))</f>
        <v/>
      </c>
      <c r="N53" s="11">
        <f>IF($A53="","",IFERROR(IF(INDEX(Community_Register!$S$2:$S$402,MATCH($A53,Community_Register!$A$2:$A$402,0))="","",INDEX(Community_Register!$S$2:$S$402,MATCH($A53,Community_Register!$A$2:$A$402,0))),""))</f>
        <v/>
      </c>
      <c r="O53" s="11">
        <f>IF($A53="","",IFERROR(IF(INDEX(Community_Register!$V$2:$V$402,MATCH($A53,Community_Register!$A$2:$A$402,0))="","",INDEX(Community_Register!$V$2:$V$402,MATCH($A53,Community_Register!$A$2:$A$402,0))),""))</f>
        <v/>
      </c>
      <c r="P53" s="11">
        <f>IF(OR($C53="",$N53="",NOT(ISNUMBER($N53))),"",$N53/$C53)</f>
        <v/>
      </c>
      <c r="Q53" s="11">
        <f>IF($C53="","",IF(OR($N53="",NOT(ISNUMBER($N53))),"B",IF(ABS($P53-1)&lt;=0.3,"A",IF(OR($P53&gt;2,$P53&lt;0.5),"C","B"))))</f>
        <v/>
      </c>
    </row>
    <row r="54">
      <c r="B54" s="11">
        <f>IF($A54="","",IFERROR(IF(INDEX(Community_Register!$B$2:$B$402,MATCH($A54,Community_Register!$A$2:$A$402,0))="","",INDEX(Community_Register!$B$2:$B$402,MATCH($A54,Community_Register!$A$2:$A$402,0))),""))</f>
        <v/>
      </c>
      <c r="H54" s="11">
        <f>IF($C54="","",IF($C54&lt;1,"yes","no"))</f>
        <v/>
      </c>
      <c r="I54" s="11">
        <f>IF($C54="","",IF($C54&lt;2.6,"r75",IF($C54&lt;5.2,"r110",IF($C54&lt;9.9,"r150",IF($C54&lt;19.8,"r210","r300")))))</f>
        <v/>
      </c>
      <c r="J54" s="11">
        <f>IF($C54="","",ROUND(SQRT($C54*10000/PI()),1))</f>
        <v/>
      </c>
      <c r="N54" s="11">
        <f>IF($A54="","",IFERROR(IF(INDEX(Community_Register!$S$2:$S$402,MATCH($A54,Community_Register!$A$2:$A$402,0))="","",INDEX(Community_Register!$S$2:$S$402,MATCH($A54,Community_Register!$A$2:$A$402,0))),""))</f>
        <v/>
      </c>
      <c r="O54" s="11">
        <f>IF($A54="","",IFERROR(IF(INDEX(Community_Register!$V$2:$V$402,MATCH($A54,Community_Register!$A$2:$A$402,0))="","",INDEX(Community_Register!$V$2:$V$402,MATCH($A54,Community_Register!$A$2:$A$402,0))),""))</f>
        <v/>
      </c>
      <c r="P54" s="11">
        <f>IF(OR($C54="",$N54="",NOT(ISNUMBER($N54))),"",$N54/$C54)</f>
        <v/>
      </c>
      <c r="Q54" s="11">
        <f>IF($C54="","",IF(OR($N54="",NOT(ISNUMBER($N54))),"B",IF(ABS($P54-1)&lt;=0.3,"A",IF(OR($P54&gt;2,$P54&lt;0.5),"C","B"))))</f>
        <v/>
      </c>
    </row>
    <row r="55">
      <c r="B55" s="11">
        <f>IF($A55="","",IFERROR(IF(INDEX(Community_Register!$B$2:$B$402,MATCH($A55,Community_Register!$A$2:$A$402,0))="","",INDEX(Community_Register!$B$2:$B$402,MATCH($A55,Community_Register!$A$2:$A$402,0))),""))</f>
        <v/>
      </c>
      <c r="H55" s="11">
        <f>IF($C55="","",IF($C55&lt;1,"yes","no"))</f>
        <v/>
      </c>
      <c r="I55" s="11">
        <f>IF($C55="","",IF($C55&lt;2.6,"r75",IF($C55&lt;5.2,"r110",IF($C55&lt;9.9,"r150",IF($C55&lt;19.8,"r210","r300")))))</f>
        <v/>
      </c>
      <c r="J55" s="11">
        <f>IF($C55="","",ROUND(SQRT($C55*10000/PI()),1))</f>
        <v/>
      </c>
      <c r="N55" s="11">
        <f>IF($A55="","",IFERROR(IF(INDEX(Community_Register!$S$2:$S$402,MATCH($A55,Community_Register!$A$2:$A$402,0))="","",INDEX(Community_Register!$S$2:$S$402,MATCH($A55,Community_Register!$A$2:$A$402,0))),""))</f>
        <v/>
      </c>
      <c r="O55" s="11">
        <f>IF($A55="","",IFERROR(IF(INDEX(Community_Register!$V$2:$V$402,MATCH($A55,Community_Register!$A$2:$A$402,0))="","",INDEX(Community_Register!$V$2:$V$402,MATCH($A55,Community_Register!$A$2:$A$402,0))),""))</f>
        <v/>
      </c>
      <c r="P55" s="11">
        <f>IF(OR($C55="",$N55="",NOT(ISNUMBER($N55))),"",$N55/$C55)</f>
        <v/>
      </c>
      <c r="Q55" s="11">
        <f>IF($C55="","",IF(OR($N55="",NOT(ISNUMBER($N55))),"B",IF(ABS($P55-1)&lt;=0.3,"A",IF(OR($P55&gt;2,$P55&lt;0.5),"C","B"))))</f>
        <v/>
      </c>
    </row>
    <row r="56">
      <c r="B56" s="11">
        <f>IF($A56="","",IFERROR(IF(INDEX(Community_Register!$B$2:$B$402,MATCH($A56,Community_Register!$A$2:$A$402,0))="","",INDEX(Community_Register!$B$2:$B$402,MATCH($A56,Community_Register!$A$2:$A$402,0))),""))</f>
        <v/>
      </c>
      <c r="H56" s="11">
        <f>IF($C56="","",IF($C56&lt;1,"yes","no"))</f>
        <v/>
      </c>
      <c r="I56" s="11">
        <f>IF($C56="","",IF($C56&lt;2.6,"r75",IF($C56&lt;5.2,"r110",IF($C56&lt;9.9,"r150",IF($C56&lt;19.8,"r210","r300")))))</f>
        <v/>
      </c>
      <c r="J56" s="11">
        <f>IF($C56="","",ROUND(SQRT($C56*10000/PI()),1))</f>
        <v/>
      </c>
      <c r="N56" s="11">
        <f>IF($A56="","",IFERROR(IF(INDEX(Community_Register!$S$2:$S$402,MATCH($A56,Community_Register!$A$2:$A$402,0))="","",INDEX(Community_Register!$S$2:$S$402,MATCH($A56,Community_Register!$A$2:$A$402,0))),""))</f>
        <v/>
      </c>
      <c r="O56" s="11">
        <f>IF($A56="","",IFERROR(IF(INDEX(Community_Register!$V$2:$V$402,MATCH($A56,Community_Register!$A$2:$A$402,0))="","",INDEX(Community_Register!$V$2:$V$402,MATCH($A56,Community_Register!$A$2:$A$402,0))),""))</f>
        <v/>
      </c>
      <c r="P56" s="11">
        <f>IF(OR($C56="",$N56="",NOT(ISNUMBER($N56))),"",$N56/$C56)</f>
        <v/>
      </c>
      <c r="Q56" s="11">
        <f>IF($C56="","",IF(OR($N56="",NOT(ISNUMBER($N56))),"B",IF(ABS($P56-1)&lt;=0.3,"A",IF(OR($P56&gt;2,$P56&lt;0.5),"C","B"))))</f>
        <v/>
      </c>
    </row>
    <row r="57">
      <c r="B57" s="11">
        <f>IF($A57="","",IFERROR(IF(INDEX(Community_Register!$B$2:$B$402,MATCH($A57,Community_Register!$A$2:$A$402,0))="","",INDEX(Community_Register!$B$2:$B$402,MATCH($A57,Community_Register!$A$2:$A$402,0))),""))</f>
        <v/>
      </c>
      <c r="H57" s="11">
        <f>IF($C57="","",IF($C57&lt;1,"yes","no"))</f>
        <v/>
      </c>
      <c r="I57" s="11">
        <f>IF($C57="","",IF($C57&lt;2.6,"r75",IF($C57&lt;5.2,"r110",IF($C57&lt;9.9,"r150",IF($C57&lt;19.8,"r210","r300")))))</f>
        <v/>
      </c>
      <c r="J57" s="11">
        <f>IF($C57="","",ROUND(SQRT($C57*10000/PI()),1))</f>
        <v/>
      </c>
      <c r="N57" s="11">
        <f>IF($A57="","",IFERROR(IF(INDEX(Community_Register!$S$2:$S$402,MATCH($A57,Community_Register!$A$2:$A$402,0))="","",INDEX(Community_Register!$S$2:$S$402,MATCH($A57,Community_Register!$A$2:$A$402,0))),""))</f>
        <v/>
      </c>
      <c r="O57" s="11">
        <f>IF($A57="","",IFERROR(IF(INDEX(Community_Register!$V$2:$V$402,MATCH($A57,Community_Register!$A$2:$A$402,0))="","",INDEX(Community_Register!$V$2:$V$402,MATCH($A57,Community_Register!$A$2:$A$402,0))),""))</f>
        <v/>
      </c>
      <c r="P57" s="11">
        <f>IF(OR($C57="",$N57="",NOT(ISNUMBER($N57))),"",$N57/$C57)</f>
        <v/>
      </c>
      <c r="Q57" s="11">
        <f>IF($C57="","",IF(OR($N57="",NOT(ISNUMBER($N57))),"B",IF(ABS($P57-1)&lt;=0.3,"A",IF(OR($P57&gt;2,$P57&lt;0.5),"C","B"))))</f>
        <v/>
      </c>
    </row>
    <row r="58">
      <c r="B58" s="11">
        <f>IF($A58="","",IFERROR(IF(INDEX(Community_Register!$B$2:$B$402,MATCH($A58,Community_Register!$A$2:$A$402,0))="","",INDEX(Community_Register!$B$2:$B$402,MATCH($A58,Community_Register!$A$2:$A$402,0))),""))</f>
        <v/>
      </c>
      <c r="H58" s="11">
        <f>IF($C58="","",IF($C58&lt;1,"yes","no"))</f>
        <v/>
      </c>
      <c r="I58" s="11">
        <f>IF($C58="","",IF($C58&lt;2.6,"r75",IF($C58&lt;5.2,"r110",IF($C58&lt;9.9,"r150",IF($C58&lt;19.8,"r210","r300")))))</f>
        <v/>
      </c>
      <c r="J58" s="11">
        <f>IF($C58="","",ROUND(SQRT($C58*10000/PI()),1))</f>
        <v/>
      </c>
      <c r="N58" s="11">
        <f>IF($A58="","",IFERROR(IF(INDEX(Community_Register!$S$2:$S$402,MATCH($A58,Community_Register!$A$2:$A$402,0))="","",INDEX(Community_Register!$S$2:$S$402,MATCH($A58,Community_Register!$A$2:$A$402,0))),""))</f>
        <v/>
      </c>
      <c r="O58" s="11">
        <f>IF($A58="","",IFERROR(IF(INDEX(Community_Register!$V$2:$V$402,MATCH($A58,Community_Register!$A$2:$A$402,0))="","",INDEX(Community_Register!$V$2:$V$402,MATCH($A58,Community_Register!$A$2:$A$402,0))),""))</f>
        <v/>
      </c>
      <c r="P58" s="11">
        <f>IF(OR($C58="",$N58="",NOT(ISNUMBER($N58))),"",$N58/$C58)</f>
        <v/>
      </c>
      <c r="Q58" s="11">
        <f>IF($C58="","",IF(OR($N58="",NOT(ISNUMBER($N58))),"B",IF(ABS($P58-1)&lt;=0.3,"A",IF(OR($P58&gt;2,$P58&lt;0.5),"C","B"))))</f>
        <v/>
      </c>
    </row>
    <row r="59">
      <c r="B59" s="11">
        <f>IF($A59="","",IFERROR(IF(INDEX(Community_Register!$B$2:$B$402,MATCH($A59,Community_Register!$A$2:$A$402,0))="","",INDEX(Community_Register!$B$2:$B$402,MATCH($A59,Community_Register!$A$2:$A$402,0))),""))</f>
        <v/>
      </c>
      <c r="H59" s="11">
        <f>IF($C59="","",IF($C59&lt;1,"yes","no"))</f>
        <v/>
      </c>
      <c r="I59" s="11">
        <f>IF($C59="","",IF($C59&lt;2.6,"r75",IF($C59&lt;5.2,"r110",IF($C59&lt;9.9,"r150",IF($C59&lt;19.8,"r210","r300")))))</f>
        <v/>
      </c>
      <c r="J59" s="11">
        <f>IF($C59="","",ROUND(SQRT($C59*10000/PI()),1))</f>
        <v/>
      </c>
      <c r="N59" s="11">
        <f>IF($A59="","",IFERROR(IF(INDEX(Community_Register!$S$2:$S$402,MATCH($A59,Community_Register!$A$2:$A$402,0))="","",INDEX(Community_Register!$S$2:$S$402,MATCH($A59,Community_Register!$A$2:$A$402,0))),""))</f>
        <v/>
      </c>
      <c r="O59" s="11">
        <f>IF($A59="","",IFERROR(IF(INDEX(Community_Register!$V$2:$V$402,MATCH($A59,Community_Register!$A$2:$A$402,0))="","",INDEX(Community_Register!$V$2:$V$402,MATCH($A59,Community_Register!$A$2:$A$402,0))),""))</f>
        <v/>
      </c>
      <c r="P59" s="11">
        <f>IF(OR($C59="",$N59="",NOT(ISNUMBER($N59))),"",$N59/$C59)</f>
        <v/>
      </c>
      <c r="Q59" s="11">
        <f>IF($C59="","",IF(OR($N59="",NOT(ISNUMBER($N59))),"B",IF(ABS($P59-1)&lt;=0.3,"A",IF(OR($P59&gt;2,$P59&lt;0.5),"C","B"))))</f>
        <v/>
      </c>
    </row>
    <row r="60">
      <c r="B60" s="11">
        <f>IF($A60="","",IFERROR(IF(INDEX(Community_Register!$B$2:$B$402,MATCH($A60,Community_Register!$A$2:$A$402,0))="","",INDEX(Community_Register!$B$2:$B$402,MATCH($A60,Community_Register!$A$2:$A$402,0))),""))</f>
        <v/>
      </c>
      <c r="H60" s="11">
        <f>IF($C60="","",IF($C60&lt;1,"yes","no"))</f>
        <v/>
      </c>
      <c r="I60" s="11">
        <f>IF($C60="","",IF($C60&lt;2.6,"r75",IF($C60&lt;5.2,"r110",IF($C60&lt;9.9,"r150",IF($C60&lt;19.8,"r210","r300")))))</f>
        <v/>
      </c>
      <c r="J60" s="11">
        <f>IF($C60="","",ROUND(SQRT($C60*10000/PI()),1))</f>
        <v/>
      </c>
      <c r="N60" s="11">
        <f>IF($A60="","",IFERROR(IF(INDEX(Community_Register!$S$2:$S$402,MATCH($A60,Community_Register!$A$2:$A$402,0))="","",INDEX(Community_Register!$S$2:$S$402,MATCH($A60,Community_Register!$A$2:$A$402,0))),""))</f>
        <v/>
      </c>
      <c r="O60" s="11">
        <f>IF($A60="","",IFERROR(IF(INDEX(Community_Register!$V$2:$V$402,MATCH($A60,Community_Register!$A$2:$A$402,0))="","",INDEX(Community_Register!$V$2:$V$402,MATCH($A60,Community_Register!$A$2:$A$402,0))),""))</f>
        <v/>
      </c>
      <c r="P60" s="11">
        <f>IF(OR($C60="",$N60="",NOT(ISNUMBER($N60))),"",$N60/$C60)</f>
        <v/>
      </c>
      <c r="Q60" s="11">
        <f>IF($C60="","",IF(OR($N60="",NOT(ISNUMBER($N60))),"B",IF(ABS($P60-1)&lt;=0.3,"A",IF(OR($P60&gt;2,$P60&lt;0.5),"C","B"))))</f>
        <v/>
      </c>
    </row>
    <row r="61">
      <c r="B61" s="11">
        <f>IF($A61="","",IFERROR(IF(INDEX(Community_Register!$B$2:$B$402,MATCH($A61,Community_Register!$A$2:$A$402,0))="","",INDEX(Community_Register!$B$2:$B$402,MATCH($A61,Community_Register!$A$2:$A$402,0))),""))</f>
        <v/>
      </c>
      <c r="H61" s="11">
        <f>IF($C61="","",IF($C61&lt;1,"yes","no"))</f>
        <v/>
      </c>
      <c r="I61" s="11">
        <f>IF($C61="","",IF($C61&lt;2.6,"r75",IF($C61&lt;5.2,"r110",IF($C61&lt;9.9,"r150",IF($C61&lt;19.8,"r210","r300")))))</f>
        <v/>
      </c>
      <c r="J61" s="11">
        <f>IF($C61="","",ROUND(SQRT($C61*10000/PI()),1))</f>
        <v/>
      </c>
      <c r="N61" s="11">
        <f>IF($A61="","",IFERROR(IF(INDEX(Community_Register!$S$2:$S$402,MATCH($A61,Community_Register!$A$2:$A$402,0))="","",INDEX(Community_Register!$S$2:$S$402,MATCH($A61,Community_Register!$A$2:$A$402,0))),""))</f>
        <v/>
      </c>
      <c r="O61" s="11">
        <f>IF($A61="","",IFERROR(IF(INDEX(Community_Register!$V$2:$V$402,MATCH($A61,Community_Register!$A$2:$A$402,0))="","",INDEX(Community_Register!$V$2:$V$402,MATCH($A61,Community_Register!$A$2:$A$402,0))),""))</f>
        <v/>
      </c>
      <c r="P61" s="11">
        <f>IF(OR($C61="",$N61="",NOT(ISNUMBER($N61))),"",$N61/$C61)</f>
        <v/>
      </c>
      <c r="Q61" s="11">
        <f>IF($C61="","",IF(OR($N61="",NOT(ISNUMBER($N61))),"B",IF(ABS($P61-1)&lt;=0.3,"A",IF(OR($P61&gt;2,$P61&lt;0.5),"C","B"))))</f>
        <v/>
      </c>
    </row>
    <row r="62">
      <c r="B62" s="11">
        <f>IF($A62="","",IFERROR(IF(INDEX(Community_Register!$B$2:$B$402,MATCH($A62,Community_Register!$A$2:$A$402,0))="","",INDEX(Community_Register!$B$2:$B$402,MATCH($A62,Community_Register!$A$2:$A$402,0))),""))</f>
        <v/>
      </c>
      <c r="H62" s="11">
        <f>IF($C62="","",IF($C62&lt;1,"yes","no"))</f>
        <v/>
      </c>
      <c r="I62" s="11">
        <f>IF($C62="","",IF($C62&lt;2.6,"r75",IF($C62&lt;5.2,"r110",IF($C62&lt;9.9,"r150",IF($C62&lt;19.8,"r210","r300")))))</f>
        <v/>
      </c>
      <c r="J62" s="11">
        <f>IF($C62="","",ROUND(SQRT($C62*10000/PI()),1))</f>
        <v/>
      </c>
      <c r="N62" s="11">
        <f>IF($A62="","",IFERROR(IF(INDEX(Community_Register!$S$2:$S$402,MATCH($A62,Community_Register!$A$2:$A$402,0))="","",INDEX(Community_Register!$S$2:$S$402,MATCH($A62,Community_Register!$A$2:$A$402,0))),""))</f>
        <v/>
      </c>
      <c r="O62" s="11">
        <f>IF($A62="","",IFERROR(IF(INDEX(Community_Register!$V$2:$V$402,MATCH($A62,Community_Register!$A$2:$A$402,0))="","",INDEX(Community_Register!$V$2:$V$402,MATCH($A62,Community_Register!$A$2:$A$402,0))),""))</f>
        <v/>
      </c>
      <c r="P62" s="11">
        <f>IF(OR($C62="",$N62="",NOT(ISNUMBER($N62))),"",$N62/$C62)</f>
        <v/>
      </c>
      <c r="Q62" s="11">
        <f>IF($C62="","",IF(OR($N62="",NOT(ISNUMBER($N62))),"B",IF(ABS($P62-1)&lt;=0.3,"A",IF(OR($P62&gt;2,$P62&lt;0.5),"C","B"))))</f>
        <v/>
      </c>
    </row>
    <row r="63">
      <c r="B63" s="11">
        <f>IF($A63="","",IFERROR(IF(INDEX(Community_Register!$B$2:$B$402,MATCH($A63,Community_Register!$A$2:$A$402,0))="","",INDEX(Community_Register!$B$2:$B$402,MATCH($A63,Community_Register!$A$2:$A$402,0))),""))</f>
        <v/>
      </c>
      <c r="H63" s="11">
        <f>IF($C63="","",IF($C63&lt;1,"yes","no"))</f>
        <v/>
      </c>
      <c r="I63" s="11">
        <f>IF($C63="","",IF($C63&lt;2.6,"r75",IF($C63&lt;5.2,"r110",IF($C63&lt;9.9,"r150",IF($C63&lt;19.8,"r210","r300")))))</f>
        <v/>
      </c>
      <c r="J63" s="11">
        <f>IF($C63="","",ROUND(SQRT($C63*10000/PI()),1))</f>
        <v/>
      </c>
      <c r="N63" s="11">
        <f>IF($A63="","",IFERROR(IF(INDEX(Community_Register!$S$2:$S$402,MATCH($A63,Community_Register!$A$2:$A$402,0))="","",INDEX(Community_Register!$S$2:$S$402,MATCH($A63,Community_Register!$A$2:$A$402,0))),""))</f>
        <v/>
      </c>
      <c r="O63" s="11">
        <f>IF($A63="","",IFERROR(IF(INDEX(Community_Register!$V$2:$V$402,MATCH($A63,Community_Register!$A$2:$A$402,0))="","",INDEX(Community_Register!$V$2:$V$402,MATCH($A63,Community_Register!$A$2:$A$402,0))),""))</f>
        <v/>
      </c>
      <c r="P63" s="11">
        <f>IF(OR($C63="",$N63="",NOT(ISNUMBER($N63))),"",$N63/$C63)</f>
        <v/>
      </c>
      <c r="Q63" s="11">
        <f>IF($C63="","",IF(OR($N63="",NOT(ISNUMBER($N63))),"B",IF(ABS($P63-1)&lt;=0.3,"A",IF(OR($P63&gt;2,$P63&lt;0.5),"C","B"))))</f>
        <v/>
      </c>
    </row>
    <row r="64">
      <c r="B64" s="11">
        <f>IF($A64="","",IFERROR(IF(INDEX(Community_Register!$B$2:$B$402,MATCH($A64,Community_Register!$A$2:$A$402,0))="","",INDEX(Community_Register!$B$2:$B$402,MATCH($A64,Community_Register!$A$2:$A$402,0))),""))</f>
        <v/>
      </c>
      <c r="H64" s="11">
        <f>IF($C64="","",IF($C64&lt;1,"yes","no"))</f>
        <v/>
      </c>
      <c r="I64" s="11">
        <f>IF($C64="","",IF($C64&lt;2.6,"r75",IF($C64&lt;5.2,"r110",IF($C64&lt;9.9,"r150",IF($C64&lt;19.8,"r210","r300")))))</f>
        <v/>
      </c>
      <c r="J64" s="11">
        <f>IF($C64="","",ROUND(SQRT($C64*10000/PI()),1))</f>
        <v/>
      </c>
      <c r="N64" s="11">
        <f>IF($A64="","",IFERROR(IF(INDEX(Community_Register!$S$2:$S$402,MATCH($A64,Community_Register!$A$2:$A$402,0))="","",INDEX(Community_Register!$S$2:$S$402,MATCH($A64,Community_Register!$A$2:$A$402,0))),""))</f>
        <v/>
      </c>
      <c r="O64" s="11">
        <f>IF($A64="","",IFERROR(IF(INDEX(Community_Register!$V$2:$V$402,MATCH($A64,Community_Register!$A$2:$A$402,0))="","",INDEX(Community_Register!$V$2:$V$402,MATCH($A64,Community_Register!$A$2:$A$402,0))),""))</f>
        <v/>
      </c>
      <c r="P64" s="11">
        <f>IF(OR($C64="",$N64="",NOT(ISNUMBER($N64))),"",$N64/$C64)</f>
        <v/>
      </c>
      <c r="Q64" s="11">
        <f>IF($C64="","",IF(OR($N64="",NOT(ISNUMBER($N64))),"B",IF(ABS($P64-1)&lt;=0.3,"A",IF(OR($P64&gt;2,$P64&lt;0.5),"C","B"))))</f>
        <v/>
      </c>
    </row>
    <row r="65">
      <c r="B65" s="11">
        <f>IF($A65="","",IFERROR(IF(INDEX(Community_Register!$B$2:$B$402,MATCH($A65,Community_Register!$A$2:$A$402,0))="","",INDEX(Community_Register!$B$2:$B$402,MATCH($A65,Community_Register!$A$2:$A$402,0))),""))</f>
        <v/>
      </c>
      <c r="H65" s="11">
        <f>IF($C65="","",IF($C65&lt;1,"yes","no"))</f>
        <v/>
      </c>
      <c r="I65" s="11">
        <f>IF($C65="","",IF($C65&lt;2.6,"r75",IF($C65&lt;5.2,"r110",IF($C65&lt;9.9,"r150",IF($C65&lt;19.8,"r210","r300")))))</f>
        <v/>
      </c>
      <c r="J65" s="11">
        <f>IF($C65="","",ROUND(SQRT($C65*10000/PI()),1))</f>
        <v/>
      </c>
      <c r="N65" s="11">
        <f>IF($A65="","",IFERROR(IF(INDEX(Community_Register!$S$2:$S$402,MATCH($A65,Community_Register!$A$2:$A$402,0))="","",INDEX(Community_Register!$S$2:$S$402,MATCH($A65,Community_Register!$A$2:$A$402,0))),""))</f>
        <v/>
      </c>
      <c r="O65" s="11">
        <f>IF($A65="","",IFERROR(IF(INDEX(Community_Register!$V$2:$V$402,MATCH($A65,Community_Register!$A$2:$A$402,0))="","",INDEX(Community_Register!$V$2:$V$402,MATCH($A65,Community_Register!$A$2:$A$402,0))),""))</f>
        <v/>
      </c>
      <c r="P65" s="11">
        <f>IF(OR($C65="",$N65="",NOT(ISNUMBER($N65))),"",$N65/$C65)</f>
        <v/>
      </c>
      <c r="Q65" s="11">
        <f>IF($C65="","",IF(OR($N65="",NOT(ISNUMBER($N65))),"B",IF(ABS($P65-1)&lt;=0.3,"A",IF(OR($P65&gt;2,$P65&lt;0.5),"C","B"))))</f>
        <v/>
      </c>
    </row>
    <row r="66">
      <c r="B66" s="11">
        <f>IF($A66="","",IFERROR(IF(INDEX(Community_Register!$B$2:$B$402,MATCH($A66,Community_Register!$A$2:$A$402,0))="","",INDEX(Community_Register!$B$2:$B$402,MATCH($A66,Community_Register!$A$2:$A$402,0))),""))</f>
        <v/>
      </c>
      <c r="H66" s="11">
        <f>IF($C66="","",IF($C66&lt;1,"yes","no"))</f>
        <v/>
      </c>
      <c r="I66" s="11">
        <f>IF($C66="","",IF($C66&lt;2.6,"r75",IF($C66&lt;5.2,"r110",IF($C66&lt;9.9,"r150",IF($C66&lt;19.8,"r210","r300")))))</f>
        <v/>
      </c>
      <c r="J66" s="11">
        <f>IF($C66="","",ROUND(SQRT($C66*10000/PI()),1))</f>
        <v/>
      </c>
      <c r="N66" s="11">
        <f>IF($A66="","",IFERROR(IF(INDEX(Community_Register!$S$2:$S$402,MATCH($A66,Community_Register!$A$2:$A$402,0))="","",INDEX(Community_Register!$S$2:$S$402,MATCH($A66,Community_Register!$A$2:$A$402,0))),""))</f>
        <v/>
      </c>
      <c r="O66" s="11">
        <f>IF($A66="","",IFERROR(IF(INDEX(Community_Register!$V$2:$V$402,MATCH($A66,Community_Register!$A$2:$A$402,0))="","",INDEX(Community_Register!$V$2:$V$402,MATCH($A66,Community_Register!$A$2:$A$402,0))),""))</f>
        <v/>
      </c>
      <c r="P66" s="11">
        <f>IF(OR($C66="",$N66="",NOT(ISNUMBER($N66))),"",$N66/$C66)</f>
        <v/>
      </c>
      <c r="Q66" s="11">
        <f>IF($C66="","",IF(OR($N66="",NOT(ISNUMBER($N66))),"B",IF(ABS($P66-1)&lt;=0.3,"A",IF(OR($P66&gt;2,$P66&lt;0.5),"C","B"))))</f>
        <v/>
      </c>
    </row>
    <row r="67">
      <c r="B67" s="11">
        <f>IF($A67="","",IFERROR(IF(INDEX(Community_Register!$B$2:$B$402,MATCH($A67,Community_Register!$A$2:$A$402,0))="","",INDEX(Community_Register!$B$2:$B$402,MATCH($A67,Community_Register!$A$2:$A$402,0))),""))</f>
        <v/>
      </c>
      <c r="H67" s="11">
        <f>IF($C67="","",IF($C67&lt;1,"yes","no"))</f>
        <v/>
      </c>
      <c r="I67" s="11">
        <f>IF($C67="","",IF($C67&lt;2.6,"r75",IF($C67&lt;5.2,"r110",IF($C67&lt;9.9,"r150",IF($C67&lt;19.8,"r210","r300")))))</f>
        <v/>
      </c>
      <c r="J67" s="11">
        <f>IF($C67="","",ROUND(SQRT($C67*10000/PI()),1))</f>
        <v/>
      </c>
      <c r="N67" s="11">
        <f>IF($A67="","",IFERROR(IF(INDEX(Community_Register!$S$2:$S$402,MATCH($A67,Community_Register!$A$2:$A$402,0))="","",INDEX(Community_Register!$S$2:$S$402,MATCH($A67,Community_Register!$A$2:$A$402,0))),""))</f>
        <v/>
      </c>
      <c r="O67" s="11">
        <f>IF($A67="","",IFERROR(IF(INDEX(Community_Register!$V$2:$V$402,MATCH($A67,Community_Register!$A$2:$A$402,0))="","",INDEX(Community_Register!$V$2:$V$402,MATCH($A67,Community_Register!$A$2:$A$402,0))),""))</f>
        <v/>
      </c>
      <c r="P67" s="11">
        <f>IF(OR($C67="",$N67="",NOT(ISNUMBER($N67))),"",$N67/$C67)</f>
        <v/>
      </c>
      <c r="Q67" s="11">
        <f>IF($C67="","",IF(OR($N67="",NOT(ISNUMBER($N67))),"B",IF(ABS($P67-1)&lt;=0.3,"A",IF(OR($P67&gt;2,$P67&lt;0.5),"C","B"))))</f>
        <v/>
      </c>
    </row>
    <row r="68">
      <c r="B68" s="11">
        <f>IF($A68="","",IFERROR(IF(INDEX(Community_Register!$B$2:$B$402,MATCH($A68,Community_Register!$A$2:$A$402,0))="","",INDEX(Community_Register!$B$2:$B$402,MATCH($A68,Community_Register!$A$2:$A$402,0))),""))</f>
        <v/>
      </c>
      <c r="H68" s="11">
        <f>IF($C68="","",IF($C68&lt;1,"yes","no"))</f>
        <v/>
      </c>
      <c r="I68" s="11">
        <f>IF($C68="","",IF($C68&lt;2.6,"r75",IF($C68&lt;5.2,"r110",IF($C68&lt;9.9,"r150",IF($C68&lt;19.8,"r210","r300")))))</f>
        <v/>
      </c>
      <c r="J68" s="11">
        <f>IF($C68="","",ROUND(SQRT($C68*10000/PI()),1))</f>
        <v/>
      </c>
      <c r="N68" s="11">
        <f>IF($A68="","",IFERROR(IF(INDEX(Community_Register!$S$2:$S$402,MATCH($A68,Community_Register!$A$2:$A$402,0))="","",INDEX(Community_Register!$S$2:$S$402,MATCH($A68,Community_Register!$A$2:$A$402,0))),""))</f>
        <v/>
      </c>
      <c r="O68" s="11">
        <f>IF($A68="","",IFERROR(IF(INDEX(Community_Register!$V$2:$V$402,MATCH($A68,Community_Register!$A$2:$A$402,0))="","",INDEX(Community_Register!$V$2:$V$402,MATCH($A68,Community_Register!$A$2:$A$402,0))),""))</f>
        <v/>
      </c>
      <c r="P68" s="11">
        <f>IF(OR($C68="",$N68="",NOT(ISNUMBER($N68))),"",$N68/$C68)</f>
        <v/>
      </c>
      <c r="Q68" s="11">
        <f>IF($C68="","",IF(OR($N68="",NOT(ISNUMBER($N68))),"B",IF(ABS($P68-1)&lt;=0.3,"A",IF(OR($P68&gt;2,$P68&lt;0.5),"C","B"))))</f>
        <v/>
      </c>
    </row>
    <row r="69">
      <c r="B69" s="11">
        <f>IF($A69="","",IFERROR(IF(INDEX(Community_Register!$B$2:$B$402,MATCH($A69,Community_Register!$A$2:$A$402,0))="","",INDEX(Community_Register!$B$2:$B$402,MATCH($A69,Community_Register!$A$2:$A$402,0))),""))</f>
        <v/>
      </c>
      <c r="H69" s="11">
        <f>IF($C69="","",IF($C69&lt;1,"yes","no"))</f>
        <v/>
      </c>
      <c r="I69" s="11">
        <f>IF($C69="","",IF($C69&lt;2.6,"r75",IF($C69&lt;5.2,"r110",IF($C69&lt;9.9,"r150",IF($C69&lt;19.8,"r210","r300")))))</f>
        <v/>
      </c>
      <c r="J69" s="11">
        <f>IF($C69="","",ROUND(SQRT($C69*10000/PI()),1))</f>
        <v/>
      </c>
      <c r="N69" s="11">
        <f>IF($A69="","",IFERROR(IF(INDEX(Community_Register!$S$2:$S$402,MATCH($A69,Community_Register!$A$2:$A$402,0))="","",INDEX(Community_Register!$S$2:$S$402,MATCH($A69,Community_Register!$A$2:$A$402,0))),""))</f>
        <v/>
      </c>
      <c r="O69" s="11">
        <f>IF($A69="","",IFERROR(IF(INDEX(Community_Register!$V$2:$V$402,MATCH($A69,Community_Register!$A$2:$A$402,0))="","",INDEX(Community_Register!$V$2:$V$402,MATCH($A69,Community_Register!$A$2:$A$402,0))),""))</f>
        <v/>
      </c>
      <c r="P69" s="11">
        <f>IF(OR($C69="",$N69="",NOT(ISNUMBER($N69))),"",$N69/$C69)</f>
        <v/>
      </c>
      <c r="Q69" s="11">
        <f>IF($C69="","",IF(OR($N69="",NOT(ISNUMBER($N69))),"B",IF(ABS($P69-1)&lt;=0.3,"A",IF(OR($P69&gt;2,$P69&lt;0.5),"C","B"))))</f>
        <v/>
      </c>
    </row>
    <row r="70">
      <c r="B70" s="11">
        <f>IF($A70="","",IFERROR(IF(INDEX(Community_Register!$B$2:$B$402,MATCH($A70,Community_Register!$A$2:$A$402,0))="","",INDEX(Community_Register!$B$2:$B$402,MATCH($A70,Community_Register!$A$2:$A$402,0))),""))</f>
        <v/>
      </c>
      <c r="H70" s="11">
        <f>IF($C70="","",IF($C70&lt;1,"yes","no"))</f>
        <v/>
      </c>
      <c r="I70" s="11">
        <f>IF($C70="","",IF($C70&lt;2.6,"r75",IF($C70&lt;5.2,"r110",IF($C70&lt;9.9,"r150",IF($C70&lt;19.8,"r210","r300")))))</f>
        <v/>
      </c>
      <c r="J70" s="11">
        <f>IF($C70="","",ROUND(SQRT($C70*10000/PI()),1))</f>
        <v/>
      </c>
      <c r="N70" s="11">
        <f>IF($A70="","",IFERROR(IF(INDEX(Community_Register!$S$2:$S$402,MATCH($A70,Community_Register!$A$2:$A$402,0))="","",INDEX(Community_Register!$S$2:$S$402,MATCH($A70,Community_Register!$A$2:$A$402,0))),""))</f>
        <v/>
      </c>
      <c r="O70" s="11">
        <f>IF($A70="","",IFERROR(IF(INDEX(Community_Register!$V$2:$V$402,MATCH($A70,Community_Register!$A$2:$A$402,0))="","",INDEX(Community_Register!$V$2:$V$402,MATCH($A70,Community_Register!$A$2:$A$402,0))),""))</f>
        <v/>
      </c>
      <c r="P70" s="11">
        <f>IF(OR($C70="",$N70="",NOT(ISNUMBER($N70))),"",$N70/$C70)</f>
        <v/>
      </c>
      <c r="Q70" s="11">
        <f>IF($C70="","",IF(OR($N70="",NOT(ISNUMBER($N70))),"B",IF(ABS($P70-1)&lt;=0.3,"A",IF(OR($P70&gt;2,$P70&lt;0.5),"C","B"))))</f>
        <v/>
      </c>
    </row>
    <row r="71">
      <c r="B71" s="11">
        <f>IF($A71="","",IFERROR(IF(INDEX(Community_Register!$B$2:$B$402,MATCH($A71,Community_Register!$A$2:$A$402,0))="","",INDEX(Community_Register!$B$2:$B$402,MATCH($A71,Community_Register!$A$2:$A$402,0))),""))</f>
        <v/>
      </c>
      <c r="H71" s="11">
        <f>IF($C71="","",IF($C71&lt;1,"yes","no"))</f>
        <v/>
      </c>
      <c r="I71" s="11">
        <f>IF($C71="","",IF($C71&lt;2.6,"r75",IF($C71&lt;5.2,"r110",IF($C71&lt;9.9,"r150",IF($C71&lt;19.8,"r210","r300")))))</f>
        <v/>
      </c>
      <c r="J71" s="11">
        <f>IF($C71="","",ROUND(SQRT($C71*10000/PI()),1))</f>
        <v/>
      </c>
      <c r="N71" s="11">
        <f>IF($A71="","",IFERROR(IF(INDEX(Community_Register!$S$2:$S$402,MATCH($A71,Community_Register!$A$2:$A$402,0))="","",INDEX(Community_Register!$S$2:$S$402,MATCH($A71,Community_Register!$A$2:$A$402,0))),""))</f>
        <v/>
      </c>
      <c r="O71" s="11">
        <f>IF($A71="","",IFERROR(IF(INDEX(Community_Register!$V$2:$V$402,MATCH($A71,Community_Register!$A$2:$A$402,0))="","",INDEX(Community_Register!$V$2:$V$402,MATCH($A71,Community_Register!$A$2:$A$402,0))),""))</f>
        <v/>
      </c>
      <c r="P71" s="11">
        <f>IF(OR($C71="",$N71="",NOT(ISNUMBER($N71))),"",$N71/$C71)</f>
        <v/>
      </c>
      <c r="Q71" s="11">
        <f>IF($C71="","",IF(OR($N71="",NOT(ISNUMBER($N71))),"B",IF(ABS($P71-1)&lt;=0.3,"A",IF(OR($P71&gt;2,$P71&lt;0.5),"C","B"))))</f>
        <v/>
      </c>
    </row>
    <row r="72">
      <c r="B72" s="11">
        <f>IF($A72="","",IFERROR(IF(INDEX(Community_Register!$B$2:$B$402,MATCH($A72,Community_Register!$A$2:$A$402,0))="","",INDEX(Community_Register!$B$2:$B$402,MATCH($A72,Community_Register!$A$2:$A$402,0))),""))</f>
        <v/>
      </c>
      <c r="H72" s="11">
        <f>IF($C72="","",IF($C72&lt;1,"yes","no"))</f>
        <v/>
      </c>
      <c r="I72" s="11">
        <f>IF($C72="","",IF($C72&lt;2.6,"r75",IF($C72&lt;5.2,"r110",IF($C72&lt;9.9,"r150",IF($C72&lt;19.8,"r210","r300")))))</f>
        <v/>
      </c>
      <c r="J72" s="11">
        <f>IF($C72="","",ROUND(SQRT($C72*10000/PI()),1))</f>
        <v/>
      </c>
      <c r="N72" s="11">
        <f>IF($A72="","",IFERROR(IF(INDEX(Community_Register!$S$2:$S$402,MATCH($A72,Community_Register!$A$2:$A$402,0))="","",INDEX(Community_Register!$S$2:$S$402,MATCH($A72,Community_Register!$A$2:$A$402,0))),""))</f>
        <v/>
      </c>
      <c r="O72" s="11">
        <f>IF($A72="","",IFERROR(IF(INDEX(Community_Register!$V$2:$V$402,MATCH($A72,Community_Register!$A$2:$A$402,0))="","",INDEX(Community_Register!$V$2:$V$402,MATCH($A72,Community_Register!$A$2:$A$402,0))),""))</f>
        <v/>
      </c>
      <c r="P72" s="11">
        <f>IF(OR($C72="",$N72="",NOT(ISNUMBER($N72))),"",$N72/$C72)</f>
        <v/>
      </c>
      <c r="Q72" s="11">
        <f>IF($C72="","",IF(OR($N72="",NOT(ISNUMBER($N72))),"B",IF(ABS($P72-1)&lt;=0.3,"A",IF(OR($P72&gt;2,$P72&lt;0.5),"C","B"))))</f>
        <v/>
      </c>
    </row>
    <row r="73">
      <c r="B73" s="11">
        <f>IF($A73="","",IFERROR(IF(INDEX(Community_Register!$B$2:$B$402,MATCH($A73,Community_Register!$A$2:$A$402,0))="","",INDEX(Community_Register!$B$2:$B$402,MATCH($A73,Community_Register!$A$2:$A$402,0))),""))</f>
        <v/>
      </c>
      <c r="H73" s="11">
        <f>IF($C73="","",IF($C73&lt;1,"yes","no"))</f>
        <v/>
      </c>
      <c r="I73" s="11">
        <f>IF($C73="","",IF($C73&lt;2.6,"r75",IF($C73&lt;5.2,"r110",IF($C73&lt;9.9,"r150",IF($C73&lt;19.8,"r210","r300")))))</f>
        <v/>
      </c>
      <c r="J73" s="11">
        <f>IF($C73="","",ROUND(SQRT($C73*10000/PI()),1))</f>
        <v/>
      </c>
      <c r="N73" s="11">
        <f>IF($A73="","",IFERROR(IF(INDEX(Community_Register!$S$2:$S$402,MATCH($A73,Community_Register!$A$2:$A$402,0))="","",INDEX(Community_Register!$S$2:$S$402,MATCH($A73,Community_Register!$A$2:$A$402,0))),""))</f>
        <v/>
      </c>
      <c r="O73" s="11">
        <f>IF($A73="","",IFERROR(IF(INDEX(Community_Register!$V$2:$V$402,MATCH($A73,Community_Register!$A$2:$A$402,0))="","",INDEX(Community_Register!$V$2:$V$402,MATCH($A73,Community_Register!$A$2:$A$402,0))),""))</f>
        <v/>
      </c>
      <c r="P73" s="11">
        <f>IF(OR($C73="",$N73="",NOT(ISNUMBER($N73))),"",$N73/$C73)</f>
        <v/>
      </c>
      <c r="Q73" s="11">
        <f>IF($C73="","",IF(OR($N73="",NOT(ISNUMBER($N73))),"B",IF(ABS($P73-1)&lt;=0.3,"A",IF(OR($P73&gt;2,$P73&lt;0.5),"C","B"))))</f>
        <v/>
      </c>
    </row>
    <row r="74">
      <c r="B74" s="11">
        <f>IF($A74="","",IFERROR(IF(INDEX(Community_Register!$B$2:$B$402,MATCH($A74,Community_Register!$A$2:$A$402,0))="","",INDEX(Community_Register!$B$2:$B$402,MATCH($A74,Community_Register!$A$2:$A$402,0))),""))</f>
        <v/>
      </c>
      <c r="H74" s="11">
        <f>IF($C74="","",IF($C74&lt;1,"yes","no"))</f>
        <v/>
      </c>
      <c r="I74" s="11">
        <f>IF($C74="","",IF($C74&lt;2.6,"r75",IF($C74&lt;5.2,"r110",IF($C74&lt;9.9,"r150",IF($C74&lt;19.8,"r210","r300")))))</f>
        <v/>
      </c>
      <c r="J74" s="11">
        <f>IF($C74="","",ROUND(SQRT($C74*10000/PI()),1))</f>
        <v/>
      </c>
      <c r="N74" s="11">
        <f>IF($A74="","",IFERROR(IF(INDEX(Community_Register!$S$2:$S$402,MATCH($A74,Community_Register!$A$2:$A$402,0))="","",INDEX(Community_Register!$S$2:$S$402,MATCH($A74,Community_Register!$A$2:$A$402,0))),""))</f>
        <v/>
      </c>
      <c r="O74" s="11">
        <f>IF($A74="","",IFERROR(IF(INDEX(Community_Register!$V$2:$V$402,MATCH($A74,Community_Register!$A$2:$A$402,0))="","",INDEX(Community_Register!$V$2:$V$402,MATCH($A74,Community_Register!$A$2:$A$402,0))),""))</f>
        <v/>
      </c>
      <c r="P74" s="11">
        <f>IF(OR($C74="",$N74="",NOT(ISNUMBER($N74))),"",$N74/$C74)</f>
        <v/>
      </c>
      <c r="Q74" s="11">
        <f>IF($C74="","",IF(OR($N74="",NOT(ISNUMBER($N74))),"B",IF(ABS($P74-1)&lt;=0.3,"A",IF(OR($P74&gt;2,$P74&lt;0.5),"C","B"))))</f>
        <v/>
      </c>
    </row>
    <row r="75">
      <c r="B75" s="11">
        <f>IF($A75="","",IFERROR(IF(INDEX(Community_Register!$B$2:$B$402,MATCH($A75,Community_Register!$A$2:$A$402,0))="","",INDEX(Community_Register!$B$2:$B$402,MATCH($A75,Community_Register!$A$2:$A$402,0))),""))</f>
        <v/>
      </c>
      <c r="H75" s="11">
        <f>IF($C75="","",IF($C75&lt;1,"yes","no"))</f>
        <v/>
      </c>
      <c r="I75" s="11">
        <f>IF($C75="","",IF($C75&lt;2.6,"r75",IF($C75&lt;5.2,"r110",IF($C75&lt;9.9,"r150",IF($C75&lt;19.8,"r210","r300")))))</f>
        <v/>
      </c>
      <c r="J75" s="11">
        <f>IF($C75="","",ROUND(SQRT($C75*10000/PI()),1))</f>
        <v/>
      </c>
      <c r="N75" s="11">
        <f>IF($A75="","",IFERROR(IF(INDEX(Community_Register!$S$2:$S$402,MATCH($A75,Community_Register!$A$2:$A$402,0))="","",INDEX(Community_Register!$S$2:$S$402,MATCH($A75,Community_Register!$A$2:$A$402,0))),""))</f>
        <v/>
      </c>
      <c r="O75" s="11">
        <f>IF($A75="","",IFERROR(IF(INDEX(Community_Register!$V$2:$V$402,MATCH($A75,Community_Register!$A$2:$A$402,0))="","",INDEX(Community_Register!$V$2:$V$402,MATCH($A75,Community_Register!$A$2:$A$402,0))),""))</f>
        <v/>
      </c>
      <c r="P75" s="11">
        <f>IF(OR($C75="",$N75="",NOT(ISNUMBER($N75))),"",$N75/$C75)</f>
        <v/>
      </c>
      <c r="Q75" s="11">
        <f>IF($C75="","",IF(OR($N75="",NOT(ISNUMBER($N75))),"B",IF(ABS($P75-1)&lt;=0.3,"A",IF(OR($P75&gt;2,$P75&lt;0.5),"C","B"))))</f>
        <v/>
      </c>
    </row>
    <row r="76">
      <c r="B76" s="11">
        <f>IF($A76="","",IFERROR(IF(INDEX(Community_Register!$B$2:$B$402,MATCH($A76,Community_Register!$A$2:$A$402,0))="","",INDEX(Community_Register!$B$2:$B$402,MATCH($A76,Community_Register!$A$2:$A$402,0))),""))</f>
        <v/>
      </c>
      <c r="H76" s="11">
        <f>IF($C76="","",IF($C76&lt;1,"yes","no"))</f>
        <v/>
      </c>
      <c r="I76" s="11">
        <f>IF($C76="","",IF($C76&lt;2.6,"r75",IF($C76&lt;5.2,"r110",IF($C76&lt;9.9,"r150",IF($C76&lt;19.8,"r210","r300")))))</f>
        <v/>
      </c>
      <c r="J76" s="11">
        <f>IF($C76="","",ROUND(SQRT($C76*10000/PI()),1))</f>
        <v/>
      </c>
      <c r="N76" s="11">
        <f>IF($A76="","",IFERROR(IF(INDEX(Community_Register!$S$2:$S$402,MATCH($A76,Community_Register!$A$2:$A$402,0))="","",INDEX(Community_Register!$S$2:$S$402,MATCH($A76,Community_Register!$A$2:$A$402,0))),""))</f>
        <v/>
      </c>
      <c r="O76" s="11">
        <f>IF($A76="","",IFERROR(IF(INDEX(Community_Register!$V$2:$V$402,MATCH($A76,Community_Register!$A$2:$A$402,0))="","",INDEX(Community_Register!$V$2:$V$402,MATCH($A76,Community_Register!$A$2:$A$402,0))),""))</f>
        <v/>
      </c>
      <c r="P76" s="11">
        <f>IF(OR($C76="",$N76="",NOT(ISNUMBER($N76))),"",$N76/$C76)</f>
        <v/>
      </c>
      <c r="Q76" s="11">
        <f>IF($C76="","",IF(OR($N76="",NOT(ISNUMBER($N76))),"B",IF(ABS($P76-1)&lt;=0.3,"A",IF(OR($P76&gt;2,$P76&lt;0.5),"C","B"))))</f>
        <v/>
      </c>
    </row>
    <row r="77">
      <c r="B77" s="11">
        <f>IF($A77="","",IFERROR(IF(INDEX(Community_Register!$B$2:$B$402,MATCH($A77,Community_Register!$A$2:$A$402,0))="","",INDEX(Community_Register!$B$2:$B$402,MATCH($A77,Community_Register!$A$2:$A$402,0))),""))</f>
        <v/>
      </c>
      <c r="H77" s="11">
        <f>IF($C77="","",IF($C77&lt;1,"yes","no"))</f>
        <v/>
      </c>
      <c r="I77" s="11">
        <f>IF($C77="","",IF($C77&lt;2.6,"r75",IF($C77&lt;5.2,"r110",IF($C77&lt;9.9,"r150",IF($C77&lt;19.8,"r210","r300")))))</f>
        <v/>
      </c>
      <c r="J77" s="11">
        <f>IF($C77="","",ROUND(SQRT($C77*10000/PI()),1))</f>
        <v/>
      </c>
      <c r="N77" s="11">
        <f>IF($A77="","",IFERROR(IF(INDEX(Community_Register!$S$2:$S$402,MATCH($A77,Community_Register!$A$2:$A$402,0))="","",INDEX(Community_Register!$S$2:$S$402,MATCH($A77,Community_Register!$A$2:$A$402,0))),""))</f>
        <v/>
      </c>
      <c r="O77" s="11">
        <f>IF($A77="","",IFERROR(IF(INDEX(Community_Register!$V$2:$V$402,MATCH($A77,Community_Register!$A$2:$A$402,0))="","",INDEX(Community_Register!$V$2:$V$402,MATCH($A77,Community_Register!$A$2:$A$402,0))),""))</f>
        <v/>
      </c>
      <c r="P77" s="11">
        <f>IF(OR($C77="",$N77="",NOT(ISNUMBER($N77))),"",$N77/$C77)</f>
        <v/>
      </c>
      <c r="Q77" s="11">
        <f>IF($C77="","",IF(OR($N77="",NOT(ISNUMBER($N77))),"B",IF(ABS($P77-1)&lt;=0.3,"A",IF(OR($P77&gt;2,$P77&lt;0.5),"C","B"))))</f>
        <v/>
      </c>
    </row>
    <row r="78">
      <c r="B78" s="11">
        <f>IF($A78="","",IFERROR(IF(INDEX(Community_Register!$B$2:$B$402,MATCH($A78,Community_Register!$A$2:$A$402,0))="","",INDEX(Community_Register!$B$2:$B$402,MATCH($A78,Community_Register!$A$2:$A$402,0))),""))</f>
        <v/>
      </c>
      <c r="H78" s="11">
        <f>IF($C78="","",IF($C78&lt;1,"yes","no"))</f>
        <v/>
      </c>
      <c r="I78" s="11">
        <f>IF($C78="","",IF($C78&lt;2.6,"r75",IF($C78&lt;5.2,"r110",IF($C78&lt;9.9,"r150",IF($C78&lt;19.8,"r210","r300")))))</f>
        <v/>
      </c>
      <c r="J78" s="11">
        <f>IF($C78="","",ROUND(SQRT($C78*10000/PI()),1))</f>
        <v/>
      </c>
      <c r="N78" s="11">
        <f>IF($A78="","",IFERROR(IF(INDEX(Community_Register!$S$2:$S$402,MATCH($A78,Community_Register!$A$2:$A$402,0))="","",INDEX(Community_Register!$S$2:$S$402,MATCH($A78,Community_Register!$A$2:$A$402,0))),""))</f>
        <v/>
      </c>
      <c r="O78" s="11">
        <f>IF($A78="","",IFERROR(IF(INDEX(Community_Register!$V$2:$V$402,MATCH($A78,Community_Register!$A$2:$A$402,0))="","",INDEX(Community_Register!$V$2:$V$402,MATCH($A78,Community_Register!$A$2:$A$402,0))),""))</f>
        <v/>
      </c>
      <c r="P78" s="11">
        <f>IF(OR($C78="",$N78="",NOT(ISNUMBER($N78))),"",$N78/$C78)</f>
        <v/>
      </c>
      <c r="Q78" s="11">
        <f>IF($C78="","",IF(OR($N78="",NOT(ISNUMBER($N78))),"B",IF(ABS($P78-1)&lt;=0.3,"A",IF(OR($P78&gt;2,$P78&lt;0.5),"C","B"))))</f>
        <v/>
      </c>
    </row>
    <row r="79">
      <c r="B79" s="11">
        <f>IF($A79="","",IFERROR(IF(INDEX(Community_Register!$B$2:$B$402,MATCH($A79,Community_Register!$A$2:$A$402,0))="","",INDEX(Community_Register!$B$2:$B$402,MATCH($A79,Community_Register!$A$2:$A$402,0))),""))</f>
        <v/>
      </c>
      <c r="H79" s="11">
        <f>IF($C79="","",IF($C79&lt;1,"yes","no"))</f>
        <v/>
      </c>
      <c r="I79" s="11">
        <f>IF($C79="","",IF($C79&lt;2.6,"r75",IF($C79&lt;5.2,"r110",IF($C79&lt;9.9,"r150",IF($C79&lt;19.8,"r210","r300")))))</f>
        <v/>
      </c>
      <c r="J79" s="11">
        <f>IF($C79="","",ROUND(SQRT($C79*10000/PI()),1))</f>
        <v/>
      </c>
      <c r="N79" s="11">
        <f>IF($A79="","",IFERROR(IF(INDEX(Community_Register!$S$2:$S$402,MATCH($A79,Community_Register!$A$2:$A$402,0))="","",INDEX(Community_Register!$S$2:$S$402,MATCH($A79,Community_Register!$A$2:$A$402,0))),""))</f>
        <v/>
      </c>
      <c r="O79" s="11">
        <f>IF($A79="","",IFERROR(IF(INDEX(Community_Register!$V$2:$V$402,MATCH($A79,Community_Register!$A$2:$A$402,0))="","",INDEX(Community_Register!$V$2:$V$402,MATCH($A79,Community_Register!$A$2:$A$402,0))),""))</f>
        <v/>
      </c>
      <c r="P79" s="11">
        <f>IF(OR($C79="",$N79="",NOT(ISNUMBER($N79))),"",$N79/$C79)</f>
        <v/>
      </c>
      <c r="Q79" s="11">
        <f>IF($C79="","",IF(OR($N79="",NOT(ISNUMBER($N79))),"B",IF(ABS($P79-1)&lt;=0.3,"A",IF(OR($P79&gt;2,$P79&lt;0.5),"C","B"))))</f>
        <v/>
      </c>
    </row>
    <row r="80">
      <c r="B80" s="11">
        <f>IF($A80="","",IFERROR(IF(INDEX(Community_Register!$B$2:$B$402,MATCH($A80,Community_Register!$A$2:$A$402,0))="","",INDEX(Community_Register!$B$2:$B$402,MATCH($A80,Community_Register!$A$2:$A$402,0))),""))</f>
        <v/>
      </c>
      <c r="H80" s="11">
        <f>IF($C80="","",IF($C80&lt;1,"yes","no"))</f>
        <v/>
      </c>
      <c r="I80" s="11">
        <f>IF($C80="","",IF($C80&lt;2.6,"r75",IF($C80&lt;5.2,"r110",IF($C80&lt;9.9,"r150",IF($C80&lt;19.8,"r210","r300")))))</f>
        <v/>
      </c>
      <c r="J80" s="11">
        <f>IF($C80="","",ROUND(SQRT($C80*10000/PI()),1))</f>
        <v/>
      </c>
      <c r="N80" s="11">
        <f>IF($A80="","",IFERROR(IF(INDEX(Community_Register!$S$2:$S$402,MATCH($A80,Community_Register!$A$2:$A$402,0))="","",INDEX(Community_Register!$S$2:$S$402,MATCH($A80,Community_Register!$A$2:$A$402,0))),""))</f>
        <v/>
      </c>
      <c r="O80" s="11">
        <f>IF($A80="","",IFERROR(IF(INDEX(Community_Register!$V$2:$V$402,MATCH($A80,Community_Register!$A$2:$A$402,0))="","",INDEX(Community_Register!$V$2:$V$402,MATCH($A80,Community_Register!$A$2:$A$402,0))),""))</f>
        <v/>
      </c>
      <c r="P80" s="11">
        <f>IF(OR($C80="",$N80="",NOT(ISNUMBER($N80))),"",$N80/$C80)</f>
        <v/>
      </c>
      <c r="Q80" s="11">
        <f>IF($C80="","",IF(OR($N80="",NOT(ISNUMBER($N80))),"B",IF(ABS($P80-1)&lt;=0.3,"A",IF(OR($P80&gt;2,$P80&lt;0.5),"C","B"))))</f>
        <v/>
      </c>
    </row>
    <row r="81">
      <c r="B81" s="11">
        <f>IF($A81="","",IFERROR(IF(INDEX(Community_Register!$B$2:$B$402,MATCH($A81,Community_Register!$A$2:$A$402,0))="","",INDEX(Community_Register!$B$2:$B$402,MATCH($A81,Community_Register!$A$2:$A$402,0))),""))</f>
        <v/>
      </c>
      <c r="H81" s="11">
        <f>IF($C81="","",IF($C81&lt;1,"yes","no"))</f>
        <v/>
      </c>
      <c r="I81" s="11">
        <f>IF($C81="","",IF($C81&lt;2.6,"r75",IF($C81&lt;5.2,"r110",IF($C81&lt;9.9,"r150",IF($C81&lt;19.8,"r210","r300")))))</f>
        <v/>
      </c>
      <c r="J81" s="11">
        <f>IF($C81="","",ROUND(SQRT($C81*10000/PI()),1))</f>
        <v/>
      </c>
      <c r="N81" s="11">
        <f>IF($A81="","",IFERROR(IF(INDEX(Community_Register!$S$2:$S$402,MATCH($A81,Community_Register!$A$2:$A$402,0))="","",INDEX(Community_Register!$S$2:$S$402,MATCH($A81,Community_Register!$A$2:$A$402,0))),""))</f>
        <v/>
      </c>
      <c r="O81" s="11">
        <f>IF($A81="","",IFERROR(IF(INDEX(Community_Register!$V$2:$V$402,MATCH($A81,Community_Register!$A$2:$A$402,0))="","",INDEX(Community_Register!$V$2:$V$402,MATCH($A81,Community_Register!$A$2:$A$402,0))),""))</f>
        <v/>
      </c>
      <c r="P81" s="11">
        <f>IF(OR($C81="",$N81="",NOT(ISNUMBER($N81))),"",$N81/$C81)</f>
        <v/>
      </c>
      <c r="Q81" s="11">
        <f>IF($C81="","",IF(OR($N81="",NOT(ISNUMBER($N81))),"B",IF(ABS($P81-1)&lt;=0.3,"A",IF(OR($P81&gt;2,$P81&lt;0.5),"C","B"))))</f>
        <v/>
      </c>
    </row>
    <row r="82">
      <c r="B82" s="11">
        <f>IF($A82="","",IFERROR(IF(INDEX(Community_Register!$B$2:$B$402,MATCH($A82,Community_Register!$A$2:$A$402,0))="","",INDEX(Community_Register!$B$2:$B$402,MATCH($A82,Community_Register!$A$2:$A$402,0))),""))</f>
        <v/>
      </c>
      <c r="H82" s="11">
        <f>IF($C82="","",IF($C82&lt;1,"yes","no"))</f>
        <v/>
      </c>
      <c r="I82" s="11">
        <f>IF($C82="","",IF($C82&lt;2.6,"r75",IF($C82&lt;5.2,"r110",IF($C82&lt;9.9,"r150",IF($C82&lt;19.8,"r210","r300")))))</f>
        <v/>
      </c>
      <c r="J82" s="11">
        <f>IF($C82="","",ROUND(SQRT($C82*10000/PI()),1))</f>
        <v/>
      </c>
      <c r="N82" s="11">
        <f>IF($A82="","",IFERROR(IF(INDEX(Community_Register!$S$2:$S$402,MATCH($A82,Community_Register!$A$2:$A$402,0))="","",INDEX(Community_Register!$S$2:$S$402,MATCH($A82,Community_Register!$A$2:$A$402,0))),""))</f>
        <v/>
      </c>
      <c r="O82" s="11">
        <f>IF($A82="","",IFERROR(IF(INDEX(Community_Register!$V$2:$V$402,MATCH($A82,Community_Register!$A$2:$A$402,0))="","",INDEX(Community_Register!$V$2:$V$402,MATCH($A82,Community_Register!$A$2:$A$402,0))),""))</f>
        <v/>
      </c>
      <c r="P82" s="11">
        <f>IF(OR($C82="",$N82="",NOT(ISNUMBER($N82))),"",$N82/$C82)</f>
        <v/>
      </c>
      <c r="Q82" s="11">
        <f>IF($C82="","",IF(OR($N82="",NOT(ISNUMBER($N82))),"B",IF(ABS($P82-1)&lt;=0.3,"A",IF(OR($P82&gt;2,$P82&lt;0.5),"C","B"))))</f>
        <v/>
      </c>
    </row>
    <row r="83">
      <c r="B83" s="11">
        <f>IF($A83="","",IFERROR(IF(INDEX(Community_Register!$B$2:$B$402,MATCH($A83,Community_Register!$A$2:$A$402,0))="","",INDEX(Community_Register!$B$2:$B$402,MATCH($A83,Community_Register!$A$2:$A$402,0))),""))</f>
        <v/>
      </c>
      <c r="H83" s="11">
        <f>IF($C83="","",IF($C83&lt;1,"yes","no"))</f>
        <v/>
      </c>
      <c r="I83" s="11">
        <f>IF($C83="","",IF($C83&lt;2.6,"r75",IF($C83&lt;5.2,"r110",IF($C83&lt;9.9,"r150",IF($C83&lt;19.8,"r210","r300")))))</f>
        <v/>
      </c>
      <c r="J83" s="11">
        <f>IF($C83="","",ROUND(SQRT($C83*10000/PI()),1))</f>
        <v/>
      </c>
      <c r="N83" s="11">
        <f>IF($A83="","",IFERROR(IF(INDEX(Community_Register!$S$2:$S$402,MATCH($A83,Community_Register!$A$2:$A$402,0))="","",INDEX(Community_Register!$S$2:$S$402,MATCH($A83,Community_Register!$A$2:$A$402,0))),""))</f>
        <v/>
      </c>
      <c r="O83" s="11">
        <f>IF($A83="","",IFERROR(IF(INDEX(Community_Register!$V$2:$V$402,MATCH($A83,Community_Register!$A$2:$A$402,0))="","",INDEX(Community_Register!$V$2:$V$402,MATCH($A83,Community_Register!$A$2:$A$402,0))),""))</f>
        <v/>
      </c>
      <c r="P83" s="11">
        <f>IF(OR($C83="",$N83="",NOT(ISNUMBER($N83))),"",$N83/$C83)</f>
        <v/>
      </c>
      <c r="Q83" s="11">
        <f>IF($C83="","",IF(OR($N83="",NOT(ISNUMBER($N83))),"B",IF(ABS($P83-1)&lt;=0.3,"A",IF(OR($P83&gt;2,$P83&lt;0.5),"C","B"))))</f>
        <v/>
      </c>
    </row>
    <row r="84">
      <c r="B84" s="11">
        <f>IF($A84="","",IFERROR(IF(INDEX(Community_Register!$B$2:$B$402,MATCH($A84,Community_Register!$A$2:$A$402,0))="","",INDEX(Community_Register!$B$2:$B$402,MATCH($A84,Community_Register!$A$2:$A$402,0))),""))</f>
        <v/>
      </c>
      <c r="H84" s="11">
        <f>IF($C84="","",IF($C84&lt;1,"yes","no"))</f>
        <v/>
      </c>
      <c r="I84" s="11">
        <f>IF($C84="","",IF($C84&lt;2.6,"r75",IF($C84&lt;5.2,"r110",IF($C84&lt;9.9,"r150",IF($C84&lt;19.8,"r210","r300")))))</f>
        <v/>
      </c>
      <c r="J84" s="11">
        <f>IF($C84="","",ROUND(SQRT($C84*10000/PI()),1))</f>
        <v/>
      </c>
      <c r="N84" s="11">
        <f>IF($A84="","",IFERROR(IF(INDEX(Community_Register!$S$2:$S$402,MATCH($A84,Community_Register!$A$2:$A$402,0))="","",INDEX(Community_Register!$S$2:$S$402,MATCH($A84,Community_Register!$A$2:$A$402,0))),""))</f>
        <v/>
      </c>
      <c r="O84" s="11">
        <f>IF($A84="","",IFERROR(IF(INDEX(Community_Register!$V$2:$V$402,MATCH($A84,Community_Register!$A$2:$A$402,0))="","",INDEX(Community_Register!$V$2:$V$402,MATCH($A84,Community_Register!$A$2:$A$402,0))),""))</f>
        <v/>
      </c>
      <c r="P84" s="11">
        <f>IF(OR($C84="",$N84="",NOT(ISNUMBER($N84))),"",$N84/$C84)</f>
        <v/>
      </c>
      <c r="Q84" s="11">
        <f>IF($C84="","",IF(OR($N84="",NOT(ISNUMBER($N84))),"B",IF(ABS($P84-1)&lt;=0.3,"A",IF(OR($P84&gt;2,$P84&lt;0.5),"C","B"))))</f>
        <v/>
      </c>
    </row>
    <row r="85">
      <c r="B85" s="11">
        <f>IF($A85="","",IFERROR(IF(INDEX(Community_Register!$B$2:$B$402,MATCH($A85,Community_Register!$A$2:$A$402,0))="","",INDEX(Community_Register!$B$2:$B$402,MATCH($A85,Community_Register!$A$2:$A$402,0))),""))</f>
        <v/>
      </c>
      <c r="H85" s="11">
        <f>IF($C85="","",IF($C85&lt;1,"yes","no"))</f>
        <v/>
      </c>
      <c r="I85" s="11">
        <f>IF($C85="","",IF($C85&lt;2.6,"r75",IF($C85&lt;5.2,"r110",IF($C85&lt;9.9,"r150",IF($C85&lt;19.8,"r210","r300")))))</f>
        <v/>
      </c>
      <c r="J85" s="11">
        <f>IF($C85="","",ROUND(SQRT($C85*10000/PI()),1))</f>
        <v/>
      </c>
      <c r="N85" s="11">
        <f>IF($A85="","",IFERROR(IF(INDEX(Community_Register!$S$2:$S$402,MATCH($A85,Community_Register!$A$2:$A$402,0))="","",INDEX(Community_Register!$S$2:$S$402,MATCH($A85,Community_Register!$A$2:$A$402,0))),""))</f>
        <v/>
      </c>
      <c r="O85" s="11">
        <f>IF($A85="","",IFERROR(IF(INDEX(Community_Register!$V$2:$V$402,MATCH($A85,Community_Register!$A$2:$A$402,0))="","",INDEX(Community_Register!$V$2:$V$402,MATCH($A85,Community_Register!$A$2:$A$402,0))),""))</f>
        <v/>
      </c>
      <c r="P85" s="11">
        <f>IF(OR($C85="",$N85="",NOT(ISNUMBER($N85))),"",$N85/$C85)</f>
        <v/>
      </c>
      <c r="Q85" s="11">
        <f>IF($C85="","",IF(OR($N85="",NOT(ISNUMBER($N85))),"B",IF(ABS($P85-1)&lt;=0.3,"A",IF(OR($P85&gt;2,$P85&lt;0.5),"C","B"))))</f>
        <v/>
      </c>
    </row>
    <row r="86">
      <c r="B86" s="11">
        <f>IF($A86="","",IFERROR(IF(INDEX(Community_Register!$B$2:$B$402,MATCH($A86,Community_Register!$A$2:$A$402,0))="","",INDEX(Community_Register!$B$2:$B$402,MATCH($A86,Community_Register!$A$2:$A$402,0))),""))</f>
        <v/>
      </c>
      <c r="H86" s="11">
        <f>IF($C86="","",IF($C86&lt;1,"yes","no"))</f>
        <v/>
      </c>
      <c r="I86" s="11">
        <f>IF($C86="","",IF($C86&lt;2.6,"r75",IF($C86&lt;5.2,"r110",IF($C86&lt;9.9,"r150",IF($C86&lt;19.8,"r210","r300")))))</f>
        <v/>
      </c>
      <c r="J86" s="11">
        <f>IF($C86="","",ROUND(SQRT($C86*10000/PI()),1))</f>
        <v/>
      </c>
      <c r="N86" s="11">
        <f>IF($A86="","",IFERROR(IF(INDEX(Community_Register!$S$2:$S$402,MATCH($A86,Community_Register!$A$2:$A$402,0))="","",INDEX(Community_Register!$S$2:$S$402,MATCH($A86,Community_Register!$A$2:$A$402,0))),""))</f>
        <v/>
      </c>
      <c r="O86" s="11">
        <f>IF($A86="","",IFERROR(IF(INDEX(Community_Register!$V$2:$V$402,MATCH($A86,Community_Register!$A$2:$A$402,0))="","",INDEX(Community_Register!$V$2:$V$402,MATCH($A86,Community_Register!$A$2:$A$402,0))),""))</f>
        <v/>
      </c>
      <c r="P86" s="11">
        <f>IF(OR($C86="",$N86="",NOT(ISNUMBER($N86))),"",$N86/$C86)</f>
        <v/>
      </c>
      <c r="Q86" s="11">
        <f>IF($C86="","",IF(OR($N86="",NOT(ISNUMBER($N86))),"B",IF(ABS($P86-1)&lt;=0.3,"A",IF(OR($P86&gt;2,$P86&lt;0.5),"C","B"))))</f>
        <v/>
      </c>
    </row>
    <row r="87">
      <c r="B87" s="11">
        <f>IF($A87="","",IFERROR(IF(INDEX(Community_Register!$B$2:$B$402,MATCH($A87,Community_Register!$A$2:$A$402,0))="","",INDEX(Community_Register!$B$2:$B$402,MATCH($A87,Community_Register!$A$2:$A$402,0))),""))</f>
        <v/>
      </c>
      <c r="H87" s="11">
        <f>IF($C87="","",IF($C87&lt;1,"yes","no"))</f>
        <v/>
      </c>
      <c r="I87" s="11">
        <f>IF($C87="","",IF($C87&lt;2.6,"r75",IF($C87&lt;5.2,"r110",IF($C87&lt;9.9,"r150",IF($C87&lt;19.8,"r210","r300")))))</f>
        <v/>
      </c>
      <c r="J87" s="11">
        <f>IF($C87="","",ROUND(SQRT($C87*10000/PI()),1))</f>
        <v/>
      </c>
      <c r="N87" s="11">
        <f>IF($A87="","",IFERROR(IF(INDEX(Community_Register!$S$2:$S$402,MATCH($A87,Community_Register!$A$2:$A$402,0))="","",INDEX(Community_Register!$S$2:$S$402,MATCH($A87,Community_Register!$A$2:$A$402,0))),""))</f>
        <v/>
      </c>
      <c r="O87" s="11">
        <f>IF($A87="","",IFERROR(IF(INDEX(Community_Register!$V$2:$V$402,MATCH($A87,Community_Register!$A$2:$A$402,0))="","",INDEX(Community_Register!$V$2:$V$402,MATCH($A87,Community_Register!$A$2:$A$402,0))),""))</f>
        <v/>
      </c>
      <c r="P87" s="11">
        <f>IF(OR($C87="",$N87="",NOT(ISNUMBER($N87))),"",$N87/$C87)</f>
        <v/>
      </c>
      <c r="Q87" s="11">
        <f>IF($C87="","",IF(OR($N87="",NOT(ISNUMBER($N87))),"B",IF(ABS($P87-1)&lt;=0.3,"A",IF(OR($P87&gt;2,$P87&lt;0.5),"C","B"))))</f>
        <v/>
      </c>
    </row>
    <row r="88">
      <c r="B88" s="11">
        <f>IF($A88="","",IFERROR(IF(INDEX(Community_Register!$B$2:$B$402,MATCH($A88,Community_Register!$A$2:$A$402,0))="","",INDEX(Community_Register!$B$2:$B$402,MATCH($A88,Community_Register!$A$2:$A$402,0))),""))</f>
        <v/>
      </c>
      <c r="H88" s="11">
        <f>IF($C88="","",IF($C88&lt;1,"yes","no"))</f>
        <v/>
      </c>
      <c r="I88" s="11">
        <f>IF($C88="","",IF($C88&lt;2.6,"r75",IF($C88&lt;5.2,"r110",IF($C88&lt;9.9,"r150",IF($C88&lt;19.8,"r210","r300")))))</f>
        <v/>
      </c>
      <c r="J88" s="11">
        <f>IF($C88="","",ROUND(SQRT($C88*10000/PI()),1))</f>
        <v/>
      </c>
      <c r="N88" s="11">
        <f>IF($A88="","",IFERROR(IF(INDEX(Community_Register!$S$2:$S$402,MATCH($A88,Community_Register!$A$2:$A$402,0))="","",INDEX(Community_Register!$S$2:$S$402,MATCH($A88,Community_Register!$A$2:$A$402,0))),""))</f>
        <v/>
      </c>
      <c r="O88" s="11">
        <f>IF($A88="","",IFERROR(IF(INDEX(Community_Register!$V$2:$V$402,MATCH($A88,Community_Register!$A$2:$A$402,0))="","",INDEX(Community_Register!$V$2:$V$402,MATCH($A88,Community_Register!$A$2:$A$402,0))),""))</f>
        <v/>
      </c>
      <c r="P88" s="11">
        <f>IF(OR($C88="",$N88="",NOT(ISNUMBER($N88))),"",$N88/$C88)</f>
        <v/>
      </c>
      <c r="Q88" s="11">
        <f>IF($C88="","",IF(OR($N88="",NOT(ISNUMBER($N88))),"B",IF(ABS($P88-1)&lt;=0.3,"A",IF(OR($P88&gt;2,$P88&lt;0.5),"C","B"))))</f>
        <v/>
      </c>
    </row>
    <row r="89">
      <c r="B89" s="11">
        <f>IF($A89="","",IFERROR(IF(INDEX(Community_Register!$B$2:$B$402,MATCH($A89,Community_Register!$A$2:$A$402,0))="","",INDEX(Community_Register!$B$2:$B$402,MATCH($A89,Community_Register!$A$2:$A$402,0))),""))</f>
        <v/>
      </c>
      <c r="H89" s="11">
        <f>IF($C89="","",IF($C89&lt;1,"yes","no"))</f>
        <v/>
      </c>
      <c r="I89" s="11">
        <f>IF($C89="","",IF($C89&lt;2.6,"r75",IF($C89&lt;5.2,"r110",IF($C89&lt;9.9,"r150",IF($C89&lt;19.8,"r210","r300")))))</f>
        <v/>
      </c>
      <c r="J89" s="11">
        <f>IF($C89="","",ROUND(SQRT($C89*10000/PI()),1))</f>
        <v/>
      </c>
      <c r="N89" s="11">
        <f>IF($A89="","",IFERROR(IF(INDEX(Community_Register!$S$2:$S$402,MATCH($A89,Community_Register!$A$2:$A$402,0))="","",INDEX(Community_Register!$S$2:$S$402,MATCH($A89,Community_Register!$A$2:$A$402,0))),""))</f>
        <v/>
      </c>
      <c r="O89" s="11">
        <f>IF($A89="","",IFERROR(IF(INDEX(Community_Register!$V$2:$V$402,MATCH($A89,Community_Register!$A$2:$A$402,0))="","",INDEX(Community_Register!$V$2:$V$402,MATCH($A89,Community_Register!$A$2:$A$402,0))),""))</f>
        <v/>
      </c>
      <c r="P89" s="11">
        <f>IF(OR($C89="",$N89="",NOT(ISNUMBER($N89))),"",$N89/$C89)</f>
        <v/>
      </c>
      <c r="Q89" s="11">
        <f>IF($C89="","",IF(OR($N89="",NOT(ISNUMBER($N89))),"B",IF(ABS($P89-1)&lt;=0.3,"A",IF(OR($P89&gt;2,$P89&lt;0.5),"C","B"))))</f>
        <v/>
      </c>
    </row>
    <row r="90">
      <c r="B90" s="11">
        <f>IF($A90="","",IFERROR(IF(INDEX(Community_Register!$B$2:$B$402,MATCH($A90,Community_Register!$A$2:$A$402,0))="","",INDEX(Community_Register!$B$2:$B$402,MATCH($A90,Community_Register!$A$2:$A$402,0))),""))</f>
        <v/>
      </c>
      <c r="H90" s="11">
        <f>IF($C90="","",IF($C90&lt;1,"yes","no"))</f>
        <v/>
      </c>
      <c r="I90" s="11">
        <f>IF($C90="","",IF($C90&lt;2.6,"r75",IF($C90&lt;5.2,"r110",IF($C90&lt;9.9,"r150",IF($C90&lt;19.8,"r210","r300")))))</f>
        <v/>
      </c>
      <c r="J90" s="11">
        <f>IF($C90="","",ROUND(SQRT($C90*10000/PI()),1))</f>
        <v/>
      </c>
      <c r="N90" s="11">
        <f>IF($A90="","",IFERROR(IF(INDEX(Community_Register!$S$2:$S$402,MATCH($A90,Community_Register!$A$2:$A$402,0))="","",INDEX(Community_Register!$S$2:$S$402,MATCH($A90,Community_Register!$A$2:$A$402,0))),""))</f>
        <v/>
      </c>
      <c r="O90" s="11">
        <f>IF($A90="","",IFERROR(IF(INDEX(Community_Register!$V$2:$V$402,MATCH($A90,Community_Register!$A$2:$A$402,0))="","",INDEX(Community_Register!$V$2:$V$402,MATCH($A90,Community_Register!$A$2:$A$402,0))),""))</f>
        <v/>
      </c>
      <c r="P90" s="11">
        <f>IF(OR($C90="",$N90="",NOT(ISNUMBER($N90))),"",$N90/$C90)</f>
        <v/>
      </c>
      <c r="Q90" s="11">
        <f>IF($C90="","",IF(OR($N90="",NOT(ISNUMBER($N90))),"B",IF(ABS($P90-1)&lt;=0.3,"A",IF(OR($P90&gt;2,$P90&lt;0.5),"C","B"))))</f>
        <v/>
      </c>
    </row>
    <row r="91">
      <c r="B91" s="11">
        <f>IF($A91="","",IFERROR(IF(INDEX(Community_Register!$B$2:$B$402,MATCH($A91,Community_Register!$A$2:$A$402,0))="","",INDEX(Community_Register!$B$2:$B$402,MATCH($A91,Community_Register!$A$2:$A$402,0))),""))</f>
        <v/>
      </c>
      <c r="H91" s="11">
        <f>IF($C91="","",IF($C91&lt;1,"yes","no"))</f>
        <v/>
      </c>
      <c r="I91" s="11">
        <f>IF($C91="","",IF($C91&lt;2.6,"r75",IF($C91&lt;5.2,"r110",IF($C91&lt;9.9,"r150",IF($C91&lt;19.8,"r210","r300")))))</f>
        <v/>
      </c>
      <c r="J91" s="11">
        <f>IF($C91="","",ROUND(SQRT($C91*10000/PI()),1))</f>
        <v/>
      </c>
      <c r="N91" s="11">
        <f>IF($A91="","",IFERROR(IF(INDEX(Community_Register!$S$2:$S$402,MATCH($A91,Community_Register!$A$2:$A$402,0))="","",INDEX(Community_Register!$S$2:$S$402,MATCH($A91,Community_Register!$A$2:$A$402,0))),""))</f>
        <v/>
      </c>
      <c r="O91" s="11">
        <f>IF($A91="","",IFERROR(IF(INDEX(Community_Register!$V$2:$V$402,MATCH($A91,Community_Register!$A$2:$A$402,0))="","",INDEX(Community_Register!$V$2:$V$402,MATCH($A91,Community_Register!$A$2:$A$402,0))),""))</f>
        <v/>
      </c>
      <c r="P91" s="11">
        <f>IF(OR($C91="",$N91="",NOT(ISNUMBER($N91))),"",$N91/$C91)</f>
        <v/>
      </c>
      <c r="Q91" s="11">
        <f>IF($C91="","",IF(OR($N91="",NOT(ISNUMBER($N91))),"B",IF(ABS($P91-1)&lt;=0.3,"A",IF(OR($P91&gt;2,$P91&lt;0.5),"C","B"))))</f>
        <v/>
      </c>
    </row>
    <row r="92">
      <c r="B92" s="11">
        <f>IF($A92="","",IFERROR(IF(INDEX(Community_Register!$B$2:$B$402,MATCH($A92,Community_Register!$A$2:$A$402,0))="","",INDEX(Community_Register!$B$2:$B$402,MATCH($A92,Community_Register!$A$2:$A$402,0))),""))</f>
        <v/>
      </c>
      <c r="H92" s="11">
        <f>IF($C92="","",IF($C92&lt;1,"yes","no"))</f>
        <v/>
      </c>
      <c r="I92" s="11">
        <f>IF($C92="","",IF($C92&lt;2.6,"r75",IF($C92&lt;5.2,"r110",IF($C92&lt;9.9,"r150",IF($C92&lt;19.8,"r210","r300")))))</f>
        <v/>
      </c>
      <c r="J92" s="11">
        <f>IF($C92="","",ROUND(SQRT($C92*10000/PI()),1))</f>
        <v/>
      </c>
      <c r="N92" s="11">
        <f>IF($A92="","",IFERROR(IF(INDEX(Community_Register!$S$2:$S$402,MATCH($A92,Community_Register!$A$2:$A$402,0))="","",INDEX(Community_Register!$S$2:$S$402,MATCH($A92,Community_Register!$A$2:$A$402,0))),""))</f>
        <v/>
      </c>
      <c r="O92" s="11">
        <f>IF($A92="","",IFERROR(IF(INDEX(Community_Register!$V$2:$V$402,MATCH($A92,Community_Register!$A$2:$A$402,0))="","",INDEX(Community_Register!$V$2:$V$402,MATCH($A92,Community_Register!$A$2:$A$402,0))),""))</f>
        <v/>
      </c>
      <c r="P92" s="11">
        <f>IF(OR($C92="",$N92="",NOT(ISNUMBER($N92))),"",$N92/$C92)</f>
        <v/>
      </c>
      <c r="Q92" s="11">
        <f>IF($C92="","",IF(OR($N92="",NOT(ISNUMBER($N92))),"B",IF(ABS($P92-1)&lt;=0.3,"A",IF(OR($P92&gt;2,$P92&lt;0.5),"C","B"))))</f>
        <v/>
      </c>
    </row>
    <row r="93">
      <c r="B93" s="11">
        <f>IF($A93="","",IFERROR(IF(INDEX(Community_Register!$B$2:$B$402,MATCH($A93,Community_Register!$A$2:$A$402,0))="","",INDEX(Community_Register!$B$2:$B$402,MATCH($A93,Community_Register!$A$2:$A$402,0))),""))</f>
        <v/>
      </c>
      <c r="H93" s="11">
        <f>IF($C93="","",IF($C93&lt;1,"yes","no"))</f>
        <v/>
      </c>
      <c r="I93" s="11">
        <f>IF($C93="","",IF($C93&lt;2.6,"r75",IF($C93&lt;5.2,"r110",IF($C93&lt;9.9,"r150",IF($C93&lt;19.8,"r210","r300")))))</f>
        <v/>
      </c>
      <c r="J93" s="11">
        <f>IF($C93="","",ROUND(SQRT($C93*10000/PI()),1))</f>
        <v/>
      </c>
      <c r="N93" s="11">
        <f>IF($A93="","",IFERROR(IF(INDEX(Community_Register!$S$2:$S$402,MATCH($A93,Community_Register!$A$2:$A$402,0))="","",INDEX(Community_Register!$S$2:$S$402,MATCH($A93,Community_Register!$A$2:$A$402,0))),""))</f>
        <v/>
      </c>
      <c r="O93" s="11">
        <f>IF($A93="","",IFERROR(IF(INDEX(Community_Register!$V$2:$V$402,MATCH($A93,Community_Register!$A$2:$A$402,0))="","",INDEX(Community_Register!$V$2:$V$402,MATCH($A93,Community_Register!$A$2:$A$402,0))),""))</f>
        <v/>
      </c>
      <c r="P93" s="11">
        <f>IF(OR($C93="",$N93="",NOT(ISNUMBER($N93))),"",$N93/$C93)</f>
        <v/>
      </c>
      <c r="Q93" s="11">
        <f>IF($C93="","",IF(OR($N93="",NOT(ISNUMBER($N93))),"B",IF(ABS($P93-1)&lt;=0.3,"A",IF(OR($P93&gt;2,$P93&lt;0.5),"C","B"))))</f>
        <v/>
      </c>
    </row>
    <row r="94">
      <c r="B94" s="11">
        <f>IF($A94="","",IFERROR(IF(INDEX(Community_Register!$B$2:$B$402,MATCH($A94,Community_Register!$A$2:$A$402,0))="","",INDEX(Community_Register!$B$2:$B$402,MATCH($A94,Community_Register!$A$2:$A$402,0))),""))</f>
        <v/>
      </c>
      <c r="H94" s="11">
        <f>IF($C94="","",IF($C94&lt;1,"yes","no"))</f>
        <v/>
      </c>
      <c r="I94" s="11">
        <f>IF($C94="","",IF($C94&lt;2.6,"r75",IF($C94&lt;5.2,"r110",IF($C94&lt;9.9,"r150",IF($C94&lt;19.8,"r210","r300")))))</f>
        <v/>
      </c>
      <c r="J94" s="11">
        <f>IF($C94="","",ROUND(SQRT($C94*10000/PI()),1))</f>
        <v/>
      </c>
      <c r="N94" s="11">
        <f>IF($A94="","",IFERROR(IF(INDEX(Community_Register!$S$2:$S$402,MATCH($A94,Community_Register!$A$2:$A$402,0))="","",INDEX(Community_Register!$S$2:$S$402,MATCH($A94,Community_Register!$A$2:$A$402,0))),""))</f>
        <v/>
      </c>
      <c r="O94" s="11">
        <f>IF($A94="","",IFERROR(IF(INDEX(Community_Register!$V$2:$V$402,MATCH($A94,Community_Register!$A$2:$A$402,0))="","",INDEX(Community_Register!$V$2:$V$402,MATCH($A94,Community_Register!$A$2:$A$402,0))),""))</f>
        <v/>
      </c>
      <c r="P94" s="11">
        <f>IF(OR($C94="",$N94="",NOT(ISNUMBER($N94))),"",$N94/$C94)</f>
        <v/>
      </c>
      <c r="Q94" s="11">
        <f>IF($C94="","",IF(OR($N94="",NOT(ISNUMBER($N94))),"B",IF(ABS($P94-1)&lt;=0.3,"A",IF(OR($P94&gt;2,$P94&lt;0.5),"C","B"))))</f>
        <v/>
      </c>
    </row>
    <row r="95">
      <c r="B95" s="11">
        <f>IF($A95="","",IFERROR(IF(INDEX(Community_Register!$B$2:$B$402,MATCH($A95,Community_Register!$A$2:$A$402,0))="","",INDEX(Community_Register!$B$2:$B$402,MATCH($A95,Community_Register!$A$2:$A$402,0))),""))</f>
        <v/>
      </c>
      <c r="H95" s="11">
        <f>IF($C95="","",IF($C95&lt;1,"yes","no"))</f>
        <v/>
      </c>
      <c r="I95" s="11">
        <f>IF($C95="","",IF($C95&lt;2.6,"r75",IF($C95&lt;5.2,"r110",IF($C95&lt;9.9,"r150",IF($C95&lt;19.8,"r210","r300")))))</f>
        <v/>
      </c>
      <c r="J95" s="11">
        <f>IF($C95="","",ROUND(SQRT($C95*10000/PI()),1))</f>
        <v/>
      </c>
      <c r="N95" s="11">
        <f>IF($A95="","",IFERROR(IF(INDEX(Community_Register!$S$2:$S$402,MATCH($A95,Community_Register!$A$2:$A$402,0))="","",INDEX(Community_Register!$S$2:$S$402,MATCH($A95,Community_Register!$A$2:$A$402,0))),""))</f>
        <v/>
      </c>
      <c r="O95" s="11">
        <f>IF($A95="","",IFERROR(IF(INDEX(Community_Register!$V$2:$V$402,MATCH($A95,Community_Register!$A$2:$A$402,0))="","",INDEX(Community_Register!$V$2:$V$402,MATCH($A95,Community_Register!$A$2:$A$402,0))),""))</f>
        <v/>
      </c>
      <c r="P95" s="11">
        <f>IF(OR($C95="",$N95="",NOT(ISNUMBER($N95))),"",$N95/$C95)</f>
        <v/>
      </c>
      <c r="Q95" s="11">
        <f>IF($C95="","",IF(OR($N95="",NOT(ISNUMBER($N95))),"B",IF(ABS($P95-1)&lt;=0.3,"A",IF(OR($P95&gt;2,$P95&lt;0.5),"C","B"))))</f>
        <v/>
      </c>
    </row>
    <row r="96">
      <c r="B96" s="11">
        <f>IF($A96="","",IFERROR(IF(INDEX(Community_Register!$B$2:$B$402,MATCH($A96,Community_Register!$A$2:$A$402,0))="","",INDEX(Community_Register!$B$2:$B$402,MATCH($A96,Community_Register!$A$2:$A$402,0))),""))</f>
        <v/>
      </c>
      <c r="H96" s="11">
        <f>IF($C96="","",IF($C96&lt;1,"yes","no"))</f>
        <v/>
      </c>
      <c r="I96" s="11">
        <f>IF($C96="","",IF($C96&lt;2.6,"r75",IF($C96&lt;5.2,"r110",IF($C96&lt;9.9,"r150",IF($C96&lt;19.8,"r210","r300")))))</f>
        <v/>
      </c>
      <c r="J96" s="11">
        <f>IF($C96="","",ROUND(SQRT($C96*10000/PI()),1))</f>
        <v/>
      </c>
      <c r="N96" s="11">
        <f>IF($A96="","",IFERROR(IF(INDEX(Community_Register!$S$2:$S$402,MATCH($A96,Community_Register!$A$2:$A$402,0))="","",INDEX(Community_Register!$S$2:$S$402,MATCH($A96,Community_Register!$A$2:$A$402,0))),""))</f>
        <v/>
      </c>
      <c r="O96" s="11">
        <f>IF($A96="","",IFERROR(IF(INDEX(Community_Register!$V$2:$V$402,MATCH($A96,Community_Register!$A$2:$A$402,0))="","",INDEX(Community_Register!$V$2:$V$402,MATCH($A96,Community_Register!$A$2:$A$402,0))),""))</f>
        <v/>
      </c>
      <c r="P96" s="11">
        <f>IF(OR($C96="",$N96="",NOT(ISNUMBER($N96))),"",$N96/$C96)</f>
        <v/>
      </c>
      <c r="Q96" s="11">
        <f>IF($C96="","",IF(OR($N96="",NOT(ISNUMBER($N96))),"B",IF(ABS($P96-1)&lt;=0.3,"A",IF(OR($P96&gt;2,$P96&lt;0.5),"C","B"))))</f>
        <v/>
      </c>
    </row>
    <row r="97">
      <c r="B97" s="11">
        <f>IF($A97="","",IFERROR(IF(INDEX(Community_Register!$B$2:$B$402,MATCH($A97,Community_Register!$A$2:$A$402,0))="","",INDEX(Community_Register!$B$2:$B$402,MATCH($A97,Community_Register!$A$2:$A$402,0))),""))</f>
        <v/>
      </c>
      <c r="H97" s="11">
        <f>IF($C97="","",IF($C97&lt;1,"yes","no"))</f>
        <v/>
      </c>
      <c r="I97" s="11">
        <f>IF($C97="","",IF($C97&lt;2.6,"r75",IF($C97&lt;5.2,"r110",IF($C97&lt;9.9,"r150",IF($C97&lt;19.8,"r210","r300")))))</f>
        <v/>
      </c>
      <c r="J97" s="11">
        <f>IF($C97="","",ROUND(SQRT($C97*10000/PI()),1))</f>
        <v/>
      </c>
      <c r="N97" s="11">
        <f>IF($A97="","",IFERROR(IF(INDEX(Community_Register!$S$2:$S$402,MATCH($A97,Community_Register!$A$2:$A$402,0))="","",INDEX(Community_Register!$S$2:$S$402,MATCH($A97,Community_Register!$A$2:$A$402,0))),""))</f>
        <v/>
      </c>
      <c r="O97" s="11">
        <f>IF($A97="","",IFERROR(IF(INDEX(Community_Register!$V$2:$V$402,MATCH($A97,Community_Register!$A$2:$A$402,0))="","",INDEX(Community_Register!$V$2:$V$402,MATCH($A97,Community_Register!$A$2:$A$402,0))),""))</f>
        <v/>
      </c>
      <c r="P97" s="11">
        <f>IF(OR($C97="",$N97="",NOT(ISNUMBER($N97))),"",$N97/$C97)</f>
        <v/>
      </c>
      <c r="Q97" s="11">
        <f>IF($C97="","",IF(OR($N97="",NOT(ISNUMBER($N97))),"B",IF(ABS($P97-1)&lt;=0.3,"A",IF(OR($P97&gt;2,$P97&lt;0.5),"C","B"))))</f>
        <v/>
      </c>
    </row>
    <row r="98">
      <c r="B98" s="11">
        <f>IF($A98="","",IFERROR(IF(INDEX(Community_Register!$B$2:$B$402,MATCH($A98,Community_Register!$A$2:$A$402,0))="","",INDEX(Community_Register!$B$2:$B$402,MATCH($A98,Community_Register!$A$2:$A$402,0))),""))</f>
        <v/>
      </c>
      <c r="H98" s="11">
        <f>IF($C98="","",IF($C98&lt;1,"yes","no"))</f>
        <v/>
      </c>
      <c r="I98" s="11">
        <f>IF($C98="","",IF($C98&lt;2.6,"r75",IF($C98&lt;5.2,"r110",IF($C98&lt;9.9,"r150",IF($C98&lt;19.8,"r210","r300")))))</f>
        <v/>
      </c>
      <c r="J98" s="11">
        <f>IF($C98="","",ROUND(SQRT($C98*10000/PI()),1))</f>
        <v/>
      </c>
      <c r="N98" s="11">
        <f>IF($A98="","",IFERROR(IF(INDEX(Community_Register!$S$2:$S$402,MATCH($A98,Community_Register!$A$2:$A$402,0))="","",INDEX(Community_Register!$S$2:$S$402,MATCH($A98,Community_Register!$A$2:$A$402,0))),""))</f>
        <v/>
      </c>
      <c r="O98" s="11">
        <f>IF($A98="","",IFERROR(IF(INDEX(Community_Register!$V$2:$V$402,MATCH($A98,Community_Register!$A$2:$A$402,0))="","",INDEX(Community_Register!$V$2:$V$402,MATCH($A98,Community_Register!$A$2:$A$402,0))),""))</f>
        <v/>
      </c>
      <c r="P98" s="11">
        <f>IF(OR($C98="",$N98="",NOT(ISNUMBER($N98))),"",$N98/$C98)</f>
        <v/>
      </c>
      <c r="Q98" s="11">
        <f>IF($C98="","",IF(OR($N98="",NOT(ISNUMBER($N98))),"B",IF(ABS($P98-1)&lt;=0.3,"A",IF(OR($P98&gt;2,$P98&lt;0.5),"C","B"))))</f>
        <v/>
      </c>
    </row>
    <row r="99">
      <c r="B99" s="11">
        <f>IF($A99="","",IFERROR(IF(INDEX(Community_Register!$B$2:$B$402,MATCH($A99,Community_Register!$A$2:$A$402,0))="","",INDEX(Community_Register!$B$2:$B$402,MATCH($A99,Community_Register!$A$2:$A$402,0))),""))</f>
        <v/>
      </c>
      <c r="H99" s="11">
        <f>IF($C99="","",IF($C99&lt;1,"yes","no"))</f>
        <v/>
      </c>
      <c r="I99" s="11">
        <f>IF($C99="","",IF($C99&lt;2.6,"r75",IF($C99&lt;5.2,"r110",IF($C99&lt;9.9,"r150",IF($C99&lt;19.8,"r210","r300")))))</f>
        <v/>
      </c>
      <c r="J99" s="11">
        <f>IF($C99="","",ROUND(SQRT($C99*10000/PI()),1))</f>
        <v/>
      </c>
      <c r="N99" s="11">
        <f>IF($A99="","",IFERROR(IF(INDEX(Community_Register!$S$2:$S$402,MATCH($A99,Community_Register!$A$2:$A$402,0))="","",INDEX(Community_Register!$S$2:$S$402,MATCH($A99,Community_Register!$A$2:$A$402,0))),""))</f>
        <v/>
      </c>
      <c r="O99" s="11">
        <f>IF($A99="","",IFERROR(IF(INDEX(Community_Register!$V$2:$V$402,MATCH($A99,Community_Register!$A$2:$A$402,0))="","",INDEX(Community_Register!$V$2:$V$402,MATCH($A99,Community_Register!$A$2:$A$402,0))),""))</f>
        <v/>
      </c>
      <c r="P99" s="11">
        <f>IF(OR($C99="",$N99="",NOT(ISNUMBER($N99))),"",$N99/$C99)</f>
        <v/>
      </c>
      <c r="Q99" s="11">
        <f>IF($C99="","",IF(OR($N99="",NOT(ISNUMBER($N99))),"B",IF(ABS($P99-1)&lt;=0.3,"A",IF(OR($P99&gt;2,$P99&lt;0.5),"C","B"))))</f>
        <v/>
      </c>
    </row>
    <row r="100">
      <c r="B100" s="11">
        <f>IF($A100="","",IFERROR(IF(INDEX(Community_Register!$B$2:$B$402,MATCH($A100,Community_Register!$A$2:$A$402,0))="","",INDEX(Community_Register!$B$2:$B$402,MATCH($A100,Community_Register!$A$2:$A$402,0))),""))</f>
        <v/>
      </c>
      <c r="H100" s="11">
        <f>IF($C100="","",IF($C100&lt;1,"yes","no"))</f>
        <v/>
      </c>
      <c r="I100" s="11">
        <f>IF($C100="","",IF($C100&lt;2.6,"r75",IF($C100&lt;5.2,"r110",IF($C100&lt;9.9,"r150",IF($C100&lt;19.8,"r210","r300")))))</f>
        <v/>
      </c>
      <c r="J100" s="11">
        <f>IF($C100="","",ROUND(SQRT($C100*10000/PI()),1))</f>
        <v/>
      </c>
      <c r="N100" s="11">
        <f>IF($A100="","",IFERROR(IF(INDEX(Community_Register!$S$2:$S$402,MATCH($A100,Community_Register!$A$2:$A$402,0))="","",INDEX(Community_Register!$S$2:$S$402,MATCH($A100,Community_Register!$A$2:$A$402,0))),""))</f>
        <v/>
      </c>
      <c r="O100" s="11">
        <f>IF($A100="","",IFERROR(IF(INDEX(Community_Register!$V$2:$V$402,MATCH($A100,Community_Register!$A$2:$A$402,0))="","",INDEX(Community_Register!$V$2:$V$402,MATCH($A100,Community_Register!$A$2:$A$402,0))),""))</f>
        <v/>
      </c>
      <c r="P100" s="11">
        <f>IF(OR($C100="",$N100="",NOT(ISNUMBER($N100))),"",$N100/$C100)</f>
        <v/>
      </c>
      <c r="Q100" s="11">
        <f>IF($C100="","",IF(OR($N100="",NOT(ISNUMBER($N100))),"B",IF(ABS($P100-1)&lt;=0.3,"A",IF(OR($P100&gt;2,$P100&lt;0.5),"C","B"))))</f>
        <v/>
      </c>
    </row>
    <row r="101">
      <c r="B101" s="11">
        <f>IF($A101="","",IFERROR(IF(INDEX(Community_Register!$B$2:$B$402,MATCH($A101,Community_Register!$A$2:$A$402,0))="","",INDEX(Community_Register!$B$2:$B$402,MATCH($A101,Community_Register!$A$2:$A$402,0))),""))</f>
        <v/>
      </c>
      <c r="H101" s="11">
        <f>IF($C101="","",IF($C101&lt;1,"yes","no"))</f>
        <v/>
      </c>
      <c r="I101" s="11">
        <f>IF($C101="","",IF($C101&lt;2.6,"r75",IF($C101&lt;5.2,"r110",IF($C101&lt;9.9,"r150",IF($C101&lt;19.8,"r210","r300")))))</f>
        <v/>
      </c>
      <c r="J101" s="11">
        <f>IF($C101="","",ROUND(SQRT($C101*10000/PI()),1))</f>
        <v/>
      </c>
      <c r="N101" s="11">
        <f>IF($A101="","",IFERROR(IF(INDEX(Community_Register!$S$2:$S$402,MATCH($A101,Community_Register!$A$2:$A$402,0))="","",INDEX(Community_Register!$S$2:$S$402,MATCH($A101,Community_Register!$A$2:$A$402,0))),""))</f>
        <v/>
      </c>
      <c r="O101" s="11">
        <f>IF($A101="","",IFERROR(IF(INDEX(Community_Register!$V$2:$V$402,MATCH($A101,Community_Register!$A$2:$A$402,0))="","",INDEX(Community_Register!$V$2:$V$402,MATCH($A101,Community_Register!$A$2:$A$402,0))),""))</f>
        <v/>
      </c>
      <c r="P101" s="11">
        <f>IF(OR($C101="",$N101="",NOT(ISNUMBER($N101))),"",$N101/$C101)</f>
        <v/>
      </c>
      <c r="Q101" s="11">
        <f>IF($C101="","",IF(OR($N101="",NOT(ISNUMBER($N101))),"B",IF(ABS($P101-1)&lt;=0.3,"A",IF(OR($P101&gt;2,$P101&lt;0.5),"C","B"))))</f>
        <v/>
      </c>
    </row>
    <row r="102">
      <c r="B102" s="11">
        <f>IF($A102="","",IFERROR(IF(INDEX(Community_Register!$B$2:$B$402,MATCH($A102,Community_Register!$A$2:$A$402,0))="","",INDEX(Community_Register!$B$2:$B$402,MATCH($A102,Community_Register!$A$2:$A$402,0))),""))</f>
        <v/>
      </c>
      <c r="H102" s="11">
        <f>IF($C102="","",IF($C102&lt;1,"yes","no"))</f>
        <v/>
      </c>
      <c r="I102" s="11">
        <f>IF($C102="","",IF($C102&lt;2.6,"r75",IF($C102&lt;5.2,"r110",IF($C102&lt;9.9,"r150",IF($C102&lt;19.8,"r210","r300")))))</f>
        <v/>
      </c>
      <c r="J102" s="11">
        <f>IF($C102="","",ROUND(SQRT($C102*10000/PI()),1))</f>
        <v/>
      </c>
      <c r="N102" s="11">
        <f>IF($A102="","",IFERROR(IF(INDEX(Community_Register!$S$2:$S$402,MATCH($A102,Community_Register!$A$2:$A$402,0))="","",INDEX(Community_Register!$S$2:$S$402,MATCH($A102,Community_Register!$A$2:$A$402,0))),""))</f>
        <v/>
      </c>
      <c r="O102" s="11">
        <f>IF($A102="","",IFERROR(IF(INDEX(Community_Register!$V$2:$V$402,MATCH($A102,Community_Register!$A$2:$A$402,0))="","",INDEX(Community_Register!$V$2:$V$402,MATCH($A102,Community_Register!$A$2:$A$402,0))),""))</f>
        <v/>
      </c>
      <c r="P102" s="11">
        <f>IF(OR($C102="",$N102="",NOT(ISNUMBER($N102))),"",$N102/$C102)</f>
        <v/>
      </c>
      <c r="Q102" s="11">
        <f>IF($C102="","",IF(OR($N102="",NOT(ISNUMBER($N102))),"B",IF(ABS($P102-1)&lt;=0.3,"A",IF(OR($P102&gt;2,$P102&lt;0.5),"C","B"))))</f>
        <v/>
      </c>
    </row>
    <row r="103">
      <c r="B103" s="11">
        <f>IF($A103="","",IFERROR(IF(INDEX(Community_Register!$B$2:$B$402,MATCH($A103,Community_Register!$A$2:$A$402,0))="","",INDEX(Community_Register!$B$2:$B$402,MATCH($A103,Community_Register!$A$2:$A$402,0))),""))</f>
        <v/>
      </c>
      <c r="H103" s="11">
        <f>IF($C103="","",IF($C103&lt;1,"yes","no"))</f>
        <v/>
      </c>
      <c r="I103" s="11">
        <f>IF($C103="","",IF($C103&lt;2.6,"r75",IF($C103&lt;5.2,"r110",IF($C103&lt;9.9,"r150",IF($C103&lt;19.8,"r210","r300")))))</f>
        <v/>
      </c>
      <c r="J103" s="11">
        <f>IF($C103="","",ROUND(SQRT($C103*10000/PI()),1))</f>
        <v/>
      </c>
      <c r="N103" s="11">
        <f>IF($A103="","",IFERROR(IF(INDEX(Community_Register!$S$2:$S$402,MATCH($A103,Community_Register!$A$2:$A$402,0))="","",INDEX(Community_Register!$S$2:$S$402,MATCH($A103,Community_Register!$A$2:$A$402,0))),""))</f>
        <v/>
      </c>
      <c r="O103" s="11">
        <f>IF($A103="","",IFERROR(IF(INDEX(Community_Register!$V$2:$V$402,MATCH($A103,Community_Register!$A$2:$A$402,0))="","",INDEX(Community_Register!$V$2:$V$402,MATCH($A103,Community_Register!$A$2:$A$402,0))),""))</f>
        <v/>
      </c>
      <c r="P103" s="11">
        <f>IF(OR($C103="",$N103="",NOT(ISNUMBER($N103))),"",$N103/$C103)</f>
        <v/>
      </c>
      <c r="Q103" s="11">
        <f>IF($C103="","",IF(OR($N103="",NOT(ISNUMBER($N103))),"B",IF(ABS($P103-1)&lt;=0.3,"A",IF(OR($P103&gt;2,$P103&lt;0.5),"C","B"))))</f>
        <v/>
      </c>
    </row>
    <row r="104">
      <c r="B104" s="11">
        <f>IF($A104="","",IFERROR(IF(INDEX(Community_Register!$B$2:$B$402,MATCH($A104,Community_Register!$A$2:$A$402,0))="","",INDEX(Community_Register!$B$2:$B$402,MATCH($A104,Community_Register!$A$2:$A$402,0))),""))</f>
        <v/>
      </c>
      <c r="H104" s="11">
        <f>IF($C104="","",IF($C104&lt;1,"yes","no"))</f>
        <v/>
      </c>
      <c r="I104" s="11">
        <f>IF($C104="","",IF($C104&lt;2.6,"r75",IF($C104&lt;5.2,"r110",IF($C104&lt;9.9,"r150",IF($C104&lt;19.8,"r210","r300")))))</f>
        <v/>
      </c>
      <c r="J104" s="11">
        <f>IF($C104="","",ROUND(SQRT($C104*10000/PI()),1))</f>
        <v/>
      </c>
      <c r="N104" s="11">
        <f>IF($A104="","",IFERROR(IF(INDEX(Community_Register!$S$2:$S$402,MATCH($A104,Community_Register!$A$2:$A$402,0))="","",INDEX(Community_Register!$S$2:$S$402,MATCH($A104,Community_Register!$A$2:$A$402,0))),""))</f>
        <v/>
      </c>
      <c r="O104" s="11">
        <f>IF($A104="","",IFERROR(IF(INDEX(Community_Register!$V$2:$V$402,MATCH($A104,Community_Register!$A$2:$A$402,0))="","",INDEX(Community_Register!$V$2:$V$402,MATCH($A104,Community_Register!$A$2:$A$402,0))),""))</f>
        <v/>
      </c>
      <c r="P104" s="11">
        <f>IF(OR($C104="",$N104="",NOT(ISNUMBER($N104))),"",$N104/$C104)</f>
        <v/>
      </c>
      <c r="Q104" s="11">
        <f>IF($C104="","",IF(OR($N104="",NOT(ISNUMBER($N104))),"B",IF(ABS($P104-1)&lt;=0.3,"A",IF(OR($P104&gt;2,$P104&lt;0.5),"C","B"))))</f>
        <v/>
      </c>
    </row>
    <row r="105">
      <c r="B105" s="11">
        <f>IF($A105="","",IFERROR(IF(INDEX(Community_Register!$B$2:$B$402,MATCH($A105,Community_Register!$A$2:$A$402,0))="","",INDEX(Community_Register!$B$2:$B$402,MATCH($A105,Community_Register!$A$2:$A$402,0))),""))</f>
        <v/>
      </c>
      <c r="H105" s="11">
        <f>IF($C105="","",IF($C105&lt;1,"yes","no"))</f>
        <v/>
      </c>
      <c r="I105" s="11">
        <f>IF($C105="","",IF($C105&lt;2.6,"r75",IF($C105&lt;5.2,"r110",IF($C105&lt;9.9,"r150",IF($C105&lt;19.8,"r210","r300")))))</f>
        <v/>
      </c>
      <c r="J105" s="11">
        <f>IF($C105="","",ROUND(SQRT($C105*10000/PI()),1))</f>
        <v/>
      </c>
      <c r="N105" s="11">
        <f>IF($A105="","",IFERROR(IF(INDEX(Community_Register!$S$2:$S$402,MATCH($A105,Community_Register!$A$2:$A$402,0))="","",INDEX(Community_Register!$S$2:$S$402,MATCH($A105,Community_Register!$A$2:$A$402,0))),""))</f>
        <v/>
      </c>
      <c r="O105" s="11">
        <f>IF($A105="","",IFERROR(IF(INDEX(Community_Register!$V$2:$V$402,MATCH($A105,Community_Register!$A$2:$A$402,0))="","",INDEX(Community_Register!$V$2:$V$402,MATCH($A105,Community_Register!$A$2:$A$402,0))),""))</f>
        <v/>
      </c>
      <c r="P105" s="11">
        <f>IF(OR($C105="",$N105="",NOT(ISNUMBER($N105))),"",$N105/$C105)</f>
        <v/>
      </c>
      <c r="Q105" s="11">
        <f>IF($C105="","",IF(OR($N105="",NOT(ISNUMBER($N105))),"B",IF(ABS($P105-1)&lt;=0.3,"A",IF(OR($P105&gt;2,$P105&lt;0.5),"C","B"))))</f>
        <v/>
      </c>
    </row>
    <row r="106">
      <c r="B106" s="11">
        <f>IF($A106="","",IFERROR(IF(INDEX(Community_Register!$B$2:$B$402,MATCH($A106,Community_Register!$A$2:$A$402,0))="","",INDEX(Community_Register!$B$2:$B$402,MATCH($A106,Community_Register!$A$2:$A$402,0))),""))</f>
        <v/>
      </c>
      <c r="H106" s="11">
        <f>IF($C106="","",IF($C106&lt;1,"yes","no"))</f>
        <v/>
      </c>
      <c r="I106" s="11">
        <f>IF($C106="","",IF($C106&lt;2.6,"r75",IF($C106&lt;5.2,"r110",IF($C106&lt;9.9,"r150",IF($C106&lt;19.8,"r210","r300")))))</f>
        <v/>
      </c>
      <c r="J106" s="11">
        <f>IF($C106="","",ROUND(SQRT($C106*10000/PI()),1))</f>
        <v/>
      </c>
      <c r="N106" s="11">
        <f>IF($A106="","",IFERROR(IF(INDEX(Community_Register!$S$2:$S$402,MATCH($A106,Community_Register!$A$2:$A$402,0))="","",INDEX(Community_Register!$S$2:$S$402,MATCH($A106,Community_Register!$A$2:$A$402,0))),""))</f>
        <v/>
      </c>
      <c r="O106" s="11">
        <f>IF($A106="","",IFERROR(IF(INDEX(Community_Register!$V$2:$V$402,MATCH($A106,Community_Register!$A$2:$A$402,0))="","",INDEX(Community_Register!$V$2:$V$402,MATCH($A106,Community_Register!$A$2:$A$402,0))),""))</f>
        <v/>
      </c>
      <c r="P106" s="11">
        <f>IF(OR($C106="",$N106="",NOT(ISNUMBER($N106))),"",$N106/$C106)</f>
        <v/>
      </c>
      <c r="Q106" s="11">
        <f>IF($C106="","",IF(OR($N106="",NOT(ISNUMBER($N106))),"B",IF(ABS($P106-1)&lt;=0.3,"A",IF(OR($P106&gt;2,$P106&lt;0.5),"C","B"))))</f>
        <v/>
      </c>
    </row>
    <row r="107">
      <c r="B107" s="11">
        <f>IF($A107="","",IFERROR(IF(INDEX(Community_Register!$B$2:$B$402,MATCH($A107,Community_Register!$A$2:$A$402,0))="","",INDEX(Community_Register!$B$2:$B$402,MATCH($A107,Community_Register!$A$2:$A$402,0))),""))</f>
        <v/>
      </c>
      <c r="H107" s="11">
        <f>IF($C107="","",IF($C107&lt;1,"yes","no"))</f>
        <v/>
      </c>
      <c r="I107" s="11">
        <f>IF($C107="","",IF($C107&lt;2.6,"r75",IF($C107&lt;5.2,"r110",IF($C107&lt;9.9,"r150",IF($C107&lt;19.8,"r210","r300")))))</f>
        <v/>
      </c>
      <c r="J107" s="11">
        <f>IF($C107="","",ROUND(SQRT($C107*10000/PI()),1))</f>
        <v/>
      </c>
      <c r="N107" s="11">
        <f>IF($A107="","",IFERROR(IF(INDEX(Community_Register!$S$2:$S$402,MATCH($A107,Community_Register!$A$2:$A$402,0))="","",INDEX(Community_Register!$S$2:$S$402,MATCH($A107,Community_Register!$A$2:$A$402,0))),""))</f>
        <v/>
      </c>
      <c r="O107" s="11">
        <f>IF($A107="","",IFERROR(IF(INDEX(Community_Register!$V$2:$V$402,MATCH($A107,Community_Register!$A$2:$A$402,0))="","",INDEX(Community_Register!$V$2:$V$402,MATCH($A107,Community_Register!$A$2:$A$402,0))),""))</f>
        <v/>
      </c>
      <c r="P107" s="11">
        <f>IF(OR($C107="",$N107="",NOT(ISNUMBER($N107))),"",$N107/$C107)</f>
        <v/>
      </c>
      <c r="Q107" s="11">
        <f>IF($C107="","",IF(OR($N107="",NOT(ISNUMBER($N107))),"B",IF(ABS($P107-1)&lt;=0.3,"A",IF(OR($P107&gt;2,$P107&lt;0.5),"C","B"))))</f>
        <v/>
      </c>
    </row>
    <row r="108">
      <c r="B108" s="11">
        <f>IF($A108="","",IFERROR(IF(INDEX(Community_Register!$B$2:$B$402,MATCH($A108,Community_Register!$A$2:$A$402,0))="","",INDEX(Community_Register!$B$2:$B$402,MATCH($A108,Community_Register!$A$2:$A$402,0))),""))</f>
        <v/>
      </c>
      <c r="H108" s="11">
        <f>IF($C108="","",IF($C108&lt;1,"yes","no"))</f>
        <v/>
      </c>
      <c r="I108" s="11">
        <f>IF($C108="","",IF($C108&lt;2.6,"r75",IF($C108&lt;5.2,"r110",IF($C108&lt;9.9,"r150",IF($C108&lt;19.8,"r210","r300")))))</f>
        <v/>
      </c>
      <c r="J108" s="11">
        <f>IF($C108="","",ROUND(SQRT($C108*10000/PI()),1))</f>
        <v/>
      </c>
      <c r="N108" s="11">
        <f>IF($A108="","",IFERROR(IF(INDEX(Community_Register!$S$2:$S$402,MATCH($A108,Community_Register!$A$2:$A$402,0))="","",INDEX(Community_Register!$S$2:$S$402,MATCH($A108,Community_Register!$A$2:$A$402,0))),""))</f>
        <v/>
      </c>
      <c r="O108" s="11">
        <f>IF($A108="","",IFERROR(IF(INDEX(Community_Register!$V$2:$V$402,MATCH($A108,Community_Register!$A$2:$A$402,0))="","",INDEX(Community_Register!$V$2:$V$402,MATCH($A108,Community_Register!$A$2:$A$402,0))),""))</f>
        <v/>
      </c>
      <c r="P108" s="11">
        <f>IF(OR($C108="",$N108="",NOT(ISNUMBER($N108))),"",$N108/$C108)</f>
        <v/>
      </c>
      <c r="Q108" s="11">
        <f>IF($C108="","",IF(OR($N108="",NOT(ISNUMBER($N108))),"B",IF(ABS($P108-1)&lt;=0.3,"A",IF(OR($P108&gt;2,$P108&lt;0.5),"C","B"))))</f>
        <v/>
      </c>
    </row>
    <row r="109">
      <c r="B109" s="11">
        <f>IF($A109="","",IFERROR(IF(INDEX(Community_Register!$B$2:$B$402,MATCH($A109,Community_Register!$A$2:$A$402,0))="","",INDEX(Community_Register!$B$2:$B$402,MATCH($A109,Community_Register!$A$2:$A$402,0))),""))</f>
        <v/>
      </c>
      <c r="H109" s="11">
        <f>IF($C109="","",IF($C109&lt;1,"yes","no"))</f>
        <v/>
      </c>
      <c r="I109" s="11">
        <f>IF($C109="","",IF($C109&lt;2.6,"r75",IF($C109&lt;5.2,"r110",IF($C109&lt;9.9,"r150",IF($C109&lt;19.8,"r210","r300")))))</f>
        <v/>
      </c>
      <c r="J109" s="11">
        <f>IF($C109="","",ROUND(SQRT($C109*10000/PI()),1))</f>
        <v/>
      </c>
      <c r="N109" s="11">
        <f>IF($A109="","",IFERROR(IF(INDEX(Community_Register!$S$2:$S$402,MATCH($A109,Community_Register!$A$2:$A$402,0))="","",INDEX(Community_Register!$S$2:$S$402,MATCH($A109,Community_Register!$A$2:$A$402,0))),""))</f>
        <v/>
      </c>
      <c r="O109" s="11">
        <f>IF($A109="","",IFERROR(IF(INDEX(Community_Register!$V$2:$V$402,MATCH($A109,Community_Register!$A$2:$A$402,0))="","",INDEX(Community_Register!$V$2:$V$402,MATCH($A109,Community_Register!$A$2:$A$402,0))),""))</f>
        <v/>
      </c>
      <c r="P109" s="11">
        <f>IF(OR($C109="",$N109="",NOT(ISNUMBER($N109))),"",$N109/$C109)</f>
        <v/>
      </c>
      <c r="Q109" s="11">
        <f>IF($C109="","",IF(OR($N109="",NOT(ISNUMBER($N109))),"B",IF(ABS($P109-1)&lt;=0.3,"A",IF(OR($P109&gt;2,$P109&lt;0.5),"C","B"))))</f>
        <v/>
      </c>
    </row>
    <row r="110">
      <c r="B110" s="11">
        <f>IF($A110="","",IFERROR(IF(INDEX(Community_Register!$B$2:$B$402,MATCH($A110,Community_Register!$A$2:$A$402,0))="","",INDEX(Community_Register!$B$2:$B$402,MATCH($A110,Community_Register!$A$2:$A$402,0))),""))</f>
        <v/>
      </c>
      <c r="H110" s="11">
        <f>IF($C110="","",IF($C110&lt;1,"yes","no"))</f>
        <v/>
      </c>
      <c r="I110" s="11">
        <f>IF($C110="","",IF($C110&lt;2.6,"r75",IF($C110&lt;5.2,"r110",IF($C110&lt;9.9,"r150",IF($C110&lt;19.8,"r210","r300")))))</f>
        <v/>
      </c>
      <c r="J110" s="11">
        <f>IF($C110="","",ROUND(SQRT($C110*10000/PI()),1))</f>
        <v/>
      </c>
      <c r="N110" s="11">
        <f>IF($A110="","",IFERROR(IF(INDEX(Community_Register!$S$2:$S$402,MATCH($A110,Community_Register!$A$2:$A$402,0))="","",INDEX(Community_Register!$S$2:$S$402,MATCH($A110,Community_Register!$A$2:$A$402,0))),""))</f>
        <v/>
      </c>
      <c r="O110" s="11">
        <f>IF($A110="","",IFERROR(IF(INDEX(Community_Register!$V$2:$V$402,MATCH($A110,Community_Register!$A$2:$A$402,0))="","",INDEX(Community_Register!$V$2:$V$402,MATCH($A110,Community_Register!$A$2:$A$402,0))),""))</f>
        <v/>
      </c>
      <c r="P110" s="11">
        <f>IF(OR($C110="",$N110="",NOT(ISNUMBER($N110))),"",$N110/$C110)</f>
        <v/>
      </c>
      <c r="Q110" s="11">
        <f>IF($C110="","",IF(OR($N110="",NOT(ISNUMBER($N110))),"B",IF(ABS($P110-1)&lt;=0.3,"A",IF(OR($P110&gt;2,$P110&lt;0.5),"C","B"))))</f>
        <v/>
      </c>
    </row>
    <row r="111">
      <c r="B111" s="11">
        <f>IF($A111="","",IFERROR(IF(INDEX(Community_Register!$B$2:$B$402,MATCH($A111,Community_Register!$A$2:$A$402,0))="","",INDEX(Community_Register!$B$2:$B$402,MATCH($A111,Community_Register!$A$2:$A$402,0))),""))</f>
        <v/>
      </c>
      <c r="H111" s="11">
        <f>IF($C111="","",IF($C111&lt;1,"yes","no"))</f>
        <v/>
      </c>
      <c r="I111" s="11">
        <f>IF($C111="","",IF($C111&lt;2.6,"r75",IF($C111&lt;5.2,"r110",IF($C111&lt;9.9,"r150",IF($C111&lt;19.8,"r210","r300")))))</f>
        <v/>
      </c>
      <c r="J111" s="11">
        <f>IF($C111="","",ROUND(SQRT($C111*10000/PI()),1))</f>
        <v/>
      </c>
      <c r="N111" s="11">
        <f>IF($A111="","",IFERROR(IF(INDEX(Community_Register!$S$2:$S$402,MATCH($A111,Community_Register!$A$2:$A$402,0))="","",INDEX(Community_Register!$S$2:$S$402,MATCH($A111,Community_Register!$A$2:$A$402,0))),""))</f>
        <v/>
      </c>
      <c r="O111" s="11">
        <f>IF($A111="","",IFERROR(IF(INDEX(Community_Register!$V$2:$V$402,MATCH($A111,Community_Register!$A$2:$A$402,0))="","",INDEX(Community_Register!$V$2:$V$402,MATCH($A111,Community_Register!$A$2:$A$402,0))),""))</f>
        <v/>
      </c>
      <c r="P111" s="11">
        <f>IF(OR($C111="",$N111="",NOT(ISNUMBER($N111))),"",$N111/$C111)</f>
        <v/>
      </c>
      <c r="Q111" s="11">
        <f>IF($C111="","",IF(OR($N111="",NOT(ISNUMBER($N111))),"B",IF(ABS($P111-1)&lt;=0.3,"A",IF(OR($P111&gt;2,$P111&lt;0.5),"C","B"))))</f>
        <v/>
      </c>
    </row>
    <row r="112">
      <c r="B112" s="11">
        <f>IF($A112="","",IFERROR(IF(INDEX(Community_Register!$B$2:$B$402,MATCH($A112,Community_Register!$A$2:$A$402,0))="","",INDEX(Community_Register!$B$2:$B$402,MATCH($A112,Community_Register!$A$2:$A$402,0))),""))</f>
        <v/>
      </c>
      <c r="H112" s="11">
        <f>IF($C112="","",IF($C112&lt;1,"yes","no"))</f>
        <v/>
      </c>
      <c r="I112" s="11">
        <f>IF($C112="","",IF($C112&lt;2.6,"r75",IF($C112&lt;5.2,"r110",IF($C112&lt;9.9,"r150",IF($C112&lt;19.8,"r210","r300")))))</f>
        <v/>
      </c>
      <c r="J112" s="11">
        <f>IF($C112="","",ROUND(SQRT($C112*10000/PI()),1))</f>
        <v/>
      </c>
      <c r="N112" s="11">
        <f>IF($A112="","",IFERROR(IF(INDEX(Community_Register!$S$2:$S$402,MATCH($A112,Community_Register!$A$2:$A$402,0))="","",INDEX(Community_Register!$S$2:$S$402,MATCH($A112,Community_Register!$A$2:$A$402,0))),""))</f>
        <v/>
      </c>
      <c r="O112" s="11">
        <f>IF($A112="","",IFERROR(IF(INDEX(Community_Register!$V$2:$V$402,MATCH($A112,Community_Register!$A$2:$A$402,0))="","",INDEX(Community_Register!$V$2:$V$402,MATCH($A112,Community_Register!$A$2:$A$402,0))),""))</f>
        <v/>
      </c>
      <c r="P112" s="11">
        <f>IF(OR($C112="",$N112="",NOT(ISNUMBER($N112))),"",$N112/$C112)</f>
        <v/>
      </c>
      <c r="Q112" s="11">
        <f>IF($C112="","",IF(OR($N112="",NOT(ISNUMBER($N112))),"B",IF(ABS($P112-1)&lt;=0.3,"A",IF(OR($P112&gt;2,$P112&lt;0.5),"C","B"))))</f>
        <v/>
      </c>
    </row>
    <row r="113">
      <c r="B113" s="11">
        <f>IF($A113="","",IFERROR(IF(INDEX(Community_Register!$B$2:$B$402,MATCH($A113,Community_Register!$A$2:$A$402,0))="","",INDEX(Community_Register!$B$2:$B$402,MATCH($A113,Community_Register!$A$2:$A$402,0))),""))</f>
        <v/>
      </c>
      <c r="H113" s="11">
        <f>IF($C113="","",IF($C113&lt;1,"yes","no"))</f>
        <v/>
      </c>
      <c r="I113" s="11">
        <f>IF($C113="","",IF($C113&lt;2.6,"r75",IF($C113&lt;5.2,"r110",IF($C113&lt;9.9,"r150",IF($C113&lt;19.8,"r210","r300")))))</f>
        <v/>
      </c>
      <c r="J113" s="11">
        <f>IF($C113="","",ROUND(SQRT($C113*10000/PI()),1))</f>
        <v/>
      </c>
      <c r="N113" s="11">
        <f>IF($A113="","",IFERROR(IF(INDEX(Community_Register!$S$2:$S$402,MATCH($A113,Community_Register!$A$2:$A$402,0))="","",INDEX(Community_Register!$S$2:$S$402,MATCH($A113,Community_Register!$A$2:$A$402,0))),""))</f>
        <v/>
      </c>
      <c r="O113" s="11">
        <f>IF($A113="","",IFERROR(IF(INDEX(Community_Register!$V$2:$V$402,MATCH($A113,Community_Register!$A$2:$A$402,0))="","",INDEX(Community_Register!$V$2:$V$402,MATCH($A113,Community_Register!$A$2:$A$402,0))),""))</f>
        <v/>
      </c>
      <c r="P113" s="11">
        <f>IF(OR($C113="",$N113="",NOT(ISNUMBER($N113))),"",$N113/$C113)</f>
        <v/>
      </c>
      <c r="Q113" s="11">
        <f>IF($C113="","",IF(OR($N113="",NOT(ISNUMBER($N113))),"B",IF(ABS($P113-1)&lt;=0.3,"A",IF(OR($P113&gt;2,$P113&lt;0.5),"C","B"))))</f>
        <v/>
      </c>
    </row>
    <row r="114">
      <c r="B114" s="11">
        <f>IF($A114="","",IFERROR(IF(INDEX(Community_Register!$B$2:$B$402,MATCH($A114,Community_Register!$A$2:$A$402,0))="","",INDEX(Community_Register!$B$2:$B$402,MATCH($A114,Community_Register!$A$2:$A$402,0))),""))</f>
        <v/>
      </c>
      <c r="H114" s="11">
        <f>IF($C114="","",IF($C114&lt;1,"yes","no"))</f>
        <v/>
      </c>
      <c r="I114" s="11">
        <f>IF($C114="","",IF($C114&lt;2.6,"r75",IF($C114&lt;5.2,"r110",IF($C114&lt;9.9,"r150",IF($C114&lt;19.8,"r210","r300")))))</f>
        <v/>
      </c>
      <c r="J114" s="11">
        <f>IF($C114="","",ROUND(SQRT($C114*10000/PI()),1))</f>
        <v/>
      </c>
      <c r="N114" s="11">
        <f>IF($A114="","",IFERROR(IF(INDEX(Community_Register!$S$2:$S$402,MATCH($A114,Community_Register!$A$2:$A$402,0))="","",INDEX(Community_Register!$S$2:$S$402,MATCH($A114,Community_Register!$A$2:$A$402,0))),""))</f>
        <v/>
      </c>
      <c r="O114" s="11">
        <f>IF($A114="","",IFERROR(IF(INDEX(Community_Register!$V$2:$V$402,MATCH($A114,Community_Register!$A$2:$A$402,0))="","",INDEX(Community_Register!$V$2:$V$402,MATCH($A114,Community_Register!$A$2:$A$402,0))),""))</f>
        <v/>
      </c>
      <c r="P114" s="11">
        <f>IF(OR($C114="",$N114="",NOT(ISNUMBER($N114))),"",$N114/$C114)</f>
        <v/>
      </c>
      <c r="Q114" s="11">
        <f>IF($C114="","",IF(OR($N114="",NOT(ISNUMBER($N114))),"B",IF(ABS($P114-1)&lt;=0.3,"A",IF(OR($P114&gt;2,$P114&lt;0.5),"C","B"))))</f>
        <v/>
      </c>
    </row>
    <row r="115">
      <c r="B115" s="11">
        <f>IF($A115="","",IFERROR(IF(INDEX(Community_Register!$B$2:$B$402,MATCH($A115,Community_Register!$A$2:$A$402,0))="","",INDEX(Community_Register!$B$2:$B$402,MATCH($A115,Community_Register!$A$2:$A$402,0))),""))</f>
        <v/>
      </c>
      <c r="H115" s="11">
        <f>IF($C115="","",IF($C115&lt;1,"yes","no"))</f>
        <v/>
      </c>
      <c r="I115" s="11">
        <f>IF($C115="","",IF($C115&lt;2.6,"r75",IF($C115&lt;5.2,"r110",IF($C115&lt;9.9,"r150",IF($C115&lt;19.8,"r210","r300")))))</f>
        <v/>
      </c>
      <c r="J115" s="11">
        <f>IF($C115="","",ROUND(SQRT($C115*10000/PI()),1))</f>
        <v/>
      </c>
      <c r="N115" s="11">
        <f>IF($A115="","",IFERROR(IF(INDEX(Community_Register!$S$2:$S$402,MATCH($A115,Community_Register!$A$2:$A$402,0))="","",INDEX(Community_Register!$S$2:$S$402,MATCH($A115,Community_Register!$A$2:$A$402,0))),""))</f>
        <v/>
      </c>
      <c r="O115" s="11">
        <f>IF($A115="","",IFERROR(IF(INDEX(Community_Register!$V$2:$V$402,MATCH($A115,Community_Register!$A$2:$A$402,0))="","",INDEX(Community_Register!$V$2:$V$402,MATCH($A115,Community_Register!$A$2:$A$402,0))),""))</f>
        <v/>
      </c>
      <c r="P115" s="11">
        <f>IF(OR($C115="",$N115="",NOT(ISNUMBER($N115))),"",$N115/$C115)</f>
        <v/>
      </c>
      <c r="Q115" s="11">
        <f>IF($C115="","",IF(OR($N115="",NOT(ISNUMBER($N115))),"B",IF(ABS($P115-1)&lt;=0.3,"A",IF(OR($P115&gt;2,$P115&lt;0.5),"C","B"))))</f>
        <v/>
      </c>
    </row>
    <row r="116">
      <c r="B116" s="11">
        <f>IF($A116="","",IFERROR(IF(INDEX(Community_Register!$B$2:$B$402,MATCH($A116,Community_Register!$A$2:$A$402,0))="","",INDEX(Community_Register!$B$2:$B$402,MATCH($A116,Community_Register!$A$2:$A$402,0))),""))</f>
        <v/>
      </c>
      <c r="H116" s="11">
        <f>IF($C116="","",IF($C116&lt;1,"yes","no"))</f>
        <v/>
      </c>
      <c r="I116" s="11">
        <f>IF($C116="","",IF($C116&lt;2.6,"r75",IF($C116&lt;5.2,"r110",IF($C116&lt;9.9,"r150",IF($C116&lt;19.8,"r210","r300")))))</f>
        <v/>
      </c>
      <c r="J116" s="11">
        <f>IF($C116="","",ROUND(SQRT($C116*10000/PI()),1))</f>
        <v/>
      </c>
      <c r="N116" s="11">
        <f>IF($A116="","",IFERROR(IF(INDEX(Community_Register!$S$2:$S$402,MATCH($A116,Community_Register!$A$2:$A$402,0))="","",INDEX(Community_Register!$S$2:$S$402,MATCH($A116,Community_Register!$A$2:$A$402,0))),""))</f>
        <v/>
      </c>
      <c r="O116" s="11">
        <f>IF($A116="","",IFERROR(IF(INDEX(Community_Register!$V$2:$V$402,MATCH($A116,Community_Register!$A$2:$A$402,0))="","",INDEX(Community_Register!$V$2:$V$402,MATCH($A116,Community_Register!$A$2:$A$402,0))),""))</f>
        <v/>
      </c>
      <c r="P116" s="11">
        <f>IF(OR($C116="",$N116="",NOT(ISNUMBER($N116))),"",$N116/$C116)</f>
        <v/>
      </c>
      <c r="Q116" s="11">
        <f>IF($C116="","",IF(OR($N116="",NOT(ISNUMBER($N116))),"B",IF(ABS($P116-1)&lt;=0.3,"A",IF(OR($P116&gt;2,$P116&lt;0.5),"C","B"))))</f>
        <v/>
      </c>
    </row>
    <row r="117">
      <c r="B117" s="11">
        <f>IF($A117="","",IFERROR(IF(INDEX(Community_Register!$B$2:$B$402,MATCH($A117,Community_Register!$A$2:$A$402,0))="","",INDEX(Community_Register!$B$2:$B$402,MATCH($A117,Community_Register!$A$2:$A$402,0))),""))</f>
        <v/>
      </c>
      <c r="H117" s="11">
        <f>IF($C117="","",IF($C117&lt;1,"yes","no"))</f>
        <v/>
      </c>
      <c r="I117" s="11">
        <f>IF($C117="","",IF($C117&lt;2.6,"r75",IF($C117&lt;5.2,"r110",IF($C117&lt;9.9,"r150",IF($C117&lt;19.8,"r210","r300")))))</f>
        <v/>
      </c>
      <c r="J117" s="11">
        <f>IF($C117="","",ROUND(SQRT($C117*10000/PI()),1))</f>
        <v/>
      </c>
      <c r="N117" s="11">
        <f>IF($A117="","",IFERROR(IF(INDEX(Community_Register!$S$2:$S$402,MATCH($A117,Community_Register!$A$2:$A$402,0))="","",INDEX(Community_Register!$S$2:$S$402,MATCH($A117,Community_Register!$A$2:$A$402,0))),""))</f>
        <v/>
      </c>
      <c r="O117" s="11">
        <f>IF($A117="","",IFERROR(IF(INDEX(Community_Register!$V$2:$V$402,MATCH($A117,Community_Register!$A$2:$A$402,0))="","",INDEX(Community_Register!$V$2:$V$402,MATCH($A117,Community_Register!$A$2:$A$402,0))),""))</f>
        <v/>
      </c>
      <c r="P117" s="11">
        <f>IF(OR($C117="",$N117="",NOT(ISNUMBER($N117))),"",$N117/$C117)</f>
        <v/>
      </c>
      <c r="Q117" s="11">
        <f>IF($C117="","",IF(OR($N117="",NOT(ISNUMBER($N117))),"B",IF(ABS($P117-1)&lt;=0.3,"A",IF(OR($P117&gt;2,$P117&lt;0.5),"C","B"))))</f>
        <v/>
      </c>
    </row>
    <row r="118">
      <c r="B118" s="11">
        <f>IF($A118="","",IFERROR(IF(INDEX(Community_Register!$B$2:$B$402,MATCH($A118,Community_Register!$A$2:$A$402,0))="","",INDEX(Community_Register!$B$2:$B$402,MATCH($A118,Community_Register!$A$2:$A$402,0))),""))</f>
        <v/>
      </c>
      <c r="H118" s="11">
        <f>IF($C118="","",IF($C118&lt;1,"yes","no"))</f>
        <v/>
      </c>
      <c r="I118" s="11">
        <f>IF($C118="","",IF($C118&lt;2.6,"r75",IF($C118&lt;5.2,"r110",IF($C118&lt;9.9,"r150",IF($C118&lt;19.8,"r210","r300")))))</f>
        <v/>
      </c>
      <c r="J118" s="11">
        <f>IF($C118="","",ROUND(SQRT($C118*10000/PI()),1))</f>
        <v/>
      </c>
      <c r="N118" s="11">
        <f>IF($A118="","",IFERROR(IF(INDEX(Community_Register!$S$2:$S$402,MATCH($A118,Community_Register!$A$2:$A$402,0))="","",INDEX(Community_Register!$S$2:$S$402,MATCH($A118,Community_Register!$A$2:$A$402,0))),""))</f>
        <v/>
      </c>
      <c r="O118" s="11">
        <f>IF($A118="","",IFERROR(IF(INDEX(Community_Register!$V$2:$V$402,MATCH($A118,Community_Register!$A$2:$A$402,0))="","",INDEX(Community_Register!$V$2:$V$402,MATCH($A118,Community_Register!$A$2:$A$402,0))),""))</f>
        <v/>
      </c>
      <c r="P118" s="11">
        <f>IF(OR($C118="",$N118="",NOT(ISNUMBER($N118))),"",$N118/$C118)</f>
        <v/>
      </c>
      <c r="Q118" s="11">
        <f>IF($C118="","",IF(OR($N118="",NOT(ISNUMBER($N118))),"B",IF(ABS($P118-1)&lt;=0.3,"A",IF(OR($P118&gt;2,$P118&lt;0.5),"C","B"))))</f>
        <v/>
      </c>
    </row>
    <row r="119">
      <c r="B119" s="11">
        <f>IF($A119="","",IFERROR(IF(INDEX(Community_Register!$B$2:$B$402,MATCH($A119,Community_Register!$A$2:$A$402,0))="","",INDEX(Community_Register!$B$2:$B$402,MATCH($A119,Community_Register!$A$2:$A$402,0))),""))</f>
        <v/>
      </c>
      <c r="H119" s="11">
        <f>IF($C119="","",IF($C119&lt;1,"yes","no"))</f>
        <v/>
      </c>
      <c r="I119" s="11">
        <f>IF($C119="","",IF($C119&lt;2.6,"r75",IF($C119&lt;5.2,"r110",IF($C119&lt;9.9,"r150",IF($C119&lt;19.8,"r210","r300")))))</f>
        <v/>
      </c>
      <c r="J119" s="11">
        <f>IF($C119="","",ROUND(SQRT($C119*10000/PI()),1))</f>
        <v/>
      </c>
      <c r="N119" s="11">
        <f>IF($A119="","",IFERROR(IF(INDEX(Community_Register!$S$2:$S$402,MATCH($A119,Community_Register!$A$2:$A$402,0))="","",INDEX(Community_Register!$S$2:$S$402,MATCH($A119,Community_Register!$A$2:$A$402,0))),""))</f>
        <v/>
      </c>
      <c r="O119" s="11">
        <f>IF($A119="","",IFERROR(IF(INDEX(Community_Register!$V$2:$V$402,MATCH($A119,Community_Register!$A$2:$A$402,0))="","",INDEX(Community_Register!$V$2:$V$402,MATCH($A119,Community_Register!$A$2:$A$402,0))),""))</f>
        <v/>
      </c>
      <c r="P119" s="11">
        <f>IF(OR($C119="",$N119="",NOT(ISNUMBER($N119))),"",$N119/$C119)</f>
        <v/>
      </c>
      <c r="Q119" s="11">
        <f>IF($C119="","",IF(OR($N119="",NOT(ISNUMBER($N119))),"B",IF(ABS($P119-1)&lt;=0.3,"A",IF(OR($P119&gt;2,$P119&lt;0.5),"C","B"))))</f>
        <v/>
      </c>
    </row>
    <row r="120">
      <c r="B120" s="11">
        <f>IF($A120="","",IFERROR(IF(INDEX(Community_Register!$B$2:$B$402,MATCH($A120,Community_Register!$A$2:$A$402,0))="","",INDEX(Community_Register!$B$2:$B$402,MATCH($A120,Community_Register!$A$2:$A$402,0))),""))</f>
        <v/>
      </c>
      <c r="H120" s="11">
        <f>IF($C120="","",IF($C120&lt;1,"yes","no"))</f>
        <v/>
      </c>
      <c r="I120" s="11">
        <f>IF($C120="","",IF($C120&lt;2.6,"r75",IF($C120&lt;5.2,"r110",IF($C120&lt;9.9,"r150",IF($C120&lt;19.8,"r210","r300")))))</f>
        <v/>
      </c>
      <c r="J120" s="11">
        <f>IF($C120="","",ROUND(SQRT($C120*10000/PI()),1))</f>
        <v/>
      </c>
      <c r="N120" s="11">
        <f>IF($A120="","",IFERROR(IF(INDEX(Community_Register!$S$2:$S$402,MATCH($A120,Community_Register!$A$2:$A$402,0))="","",INDEX(Community_Register!$S$2:$S$402,MATCH($A120,Community_Register!$A$2:$A$402,0))),""))</f>
        <v/>
      </c>
      <c r="O120" s="11">
        <f>IF($A120="","",IFERROR(IF(INDEX(Community_Register!$V$2:$V$402,MATCH($A120,Community_Register!$A$2:$A$402,0))="","",INDEX(Community_Register!$V$2:$V$402,MATCH($A120,Community_Register!$A$2:$A$402,0))),""))</f>
        <v/>
      </c>
      <c r="P120" s="11">
        <f>IF(OR($C120="",$N120="",NOT(ISNUMBER($N120))),"",$N120/$C120)</f>
        <v/>
      </c>
      <c r="Q120" s="11">
        <f>IF($C120="","",IF(OR($N120="",NOT(ISNUMBER($N120))),"B",IF(ABS($P120-1)&lt;=0.3,"A",IF(OR($P120&gt;2,$P120&lt;0.5),"C","B"))))</f>
        <v/>
      </c>
    </row>
    <row r="121">
      <c r="B121" s="11">
        <f>IF($A121="","",IFERROR(IF(INDEX(Community_Register!$B$2:$B$402,MATCH($A121,Community_Register!$A$2:$A$402,0))="","",INDEX(Community_Register!$B$2:$B$402,MATCH($A121,Community_Register!$A$2:$A$402,0))),""))</f>
        <v/>
      </c>
      <c r="H121" s="11">
        <f>IF($C121="","",IF($C121&lt;1,"yes","no"))</f>
        <v/>
      </c>
      <c r="I121" s="11">
        <f>IF($C121="","",IF($C121&lt;2.6,"r75",IF($C121&lt;5.2,"r110",IF($C121&lt;9.9,"r150",IF($C121&lt;19.8,"r210","r300")))))</f>
        <v/>
      </c>
      <c r="J121" s="11">
        <f>IF($C121="","",ROUND(SQRT($C121*10000/PI()),1))</f>
        <v/>
      </c>
      <c r="N121" s="11">
        <f>IF($A121="","",IFERROR(IF(INDEX(Community_Register!$S$2:$S$402,MATCH($A121,Community_Register!$A$2:$A$402,0))="","",INDEX(Community_Register!$S$2:$S$402,MATCH($A121,Community_Register!$A$2:$A$402,0))),""))</f>
        <v/>
      </c>
      <c r="O121" s="11">
        <f>IF($A121="","",IFERROR(IF(INDEX(Community_Register!$V$2:$V$402,MATCH($A121,Community_Register!$A$2:$A$402,0))="","",INDEX(Community_Register!$V$2:$V$402,MATCH($A121,Community_Register!$A$2:$A$402,0))),""))</f>
        <v/>
      </c>
      <c r="P121" s="11">
        <f>IF(OR($C121="",$N121="",NOT(ISNUMBER($N121))),"",$N121/$C121)</f>
        <v/>
      </c>
      <c r="Q121" s="11">
        <f>IF($C121="","",IF(OR($N121="",NOT(ISNUMBER($N121))),"B",IF(ABS($P121-1)&lt;=0.3,"A",IF(OR($P121&gt;2,$P121&lt;0.5),"C","B"))))</f>
        <v/>
      </c>
    </row>
    <row r="122">
      <c r="B122" s="11">
        <f>IF($A122="","",IFERROR(IF(INDEX(Community_Register!$B$2:$B$402,MATCH($A122,Community_Register!$A$2:$A$402,0))="","",INDEX(Community_Register!$B$2:$B$402,MATCH($A122,Community_Register!$A$2:$A$402,0))),""))</f>
        <v/>
      </c>
      <c r="H122" s="11">
        <f>IF($C122="","",IF($C122&lt;1,"yes","no"))</f>
        <v/>
      </c>
      <c r="I122" s="11">
        <f>IF($C122="","",IF($C122&lt;2.6,"r75",IF($C122&lt;5.2,"r110",IF($C122&lt;9.9,"r150",IF($C122&lt;19.8,"r210","r300")))))</f>
        <v/>
      </c>
      <c r="J122" s="11">
        <f>IF($C122="","",ROUND(SQRT($C122*10000/PI()),1))</f>
        <v/>
      </c>
      <c r="N122" s="11">
        <f>IF($A122="","",IFERROR(IF(INDEX(Community_Register!$S$2:$S$402,MATCH($A122,Community_Register!$A$2:$A$402,0))="","",INDEX(Community_Register!$S$2:$S$402,MATCH($A122,Community_Register!$A$2:$A$402,0))),""))</f>
        <v/>
      </c>
      <c r="O122" s="11">
        <f>IF($A122="","",IFERROR(IF(INDEX(Community_Register!$V$2:$V$402,MATCH($A122,Community_Register!$A$2:$A$402,0))="","",INDEX(Community_Register!$V$2:$V$402,MATCH($A122,Community_Register!$A$2:$A$402,0))),""))</f>
        <v/>
      </c>
      <c r="P122" s="11">
        <f>IF(OR($C122="",$N122="",NOT(ISNUMBER($N122))),"",$N122/$C122)</f>
        <v/>
      </c>
      <c r="Q122" s="11">
        <f>IF($C122="","",IF(OR($N122="",NOT(ISNUMBER($N122))),"B",IF(ABS($P122-1)&lt;=0.3,"A",IF(OR($P122&gt;2,$P122&lt;0.5),"C","B"))))</f>
        <v/>
      </c>
    </row>
    <row r="123">
      <c r="B123" s="11">
        <f>IF($A123="","",IFERROR(IF(INDEX(Community_Register!$B$2:$B$402,MATCH($A123,Community_Register!$A$2:$A$402,0))="","",INDEX(Community_Register!$B$2:$B$402,MATCH($A123,Community_Register!$A$2:$A$402,0))),""))</f>
        <v/>
      </c>
      <c r="H123" s="11">
        <f>IF($C123="","",IF($C123&lt;1,"yes","no"))</f>
        <v/>
      </c>
      <c r="I123" s="11">
        <f>IF($C123="","",IF($C123&lt;2.6,"r75",IF($C123&lt;5.2,"r110",IF($C123&lt;9.9,"r150",IF($C123&lt;19.8,"r210","r300")))))</f>
        <v/>
      </c>
      <c r="J123" s="11">
        <f>IF($C123="","",ROUND(SQRT($C123*10000/PI()),1))</f>
        <v/>
      </c>
      <c r="N123" s="11">
        <f>IF($A123="","",IFERROR(IF(INDEX(Community_Register!$S$2:$S$402,MATCH($A123,Community_Register!$A$2:$A$402,0))="","",INDEX(Community_Register!$S$2:$S$402,MATCH($A123,Community_Register!$A$2:$A$402,0))),""))</f>
        <v/>
      </c>
      <c r="O123" s="11">
        <f>IF($A123="","",IFERROR(IF(INDEX(Community_Register!$V$2:$V$402,MATCH($A123,Community_Register!$A$2:$A$402,0))="","",INDEX(Community_Register!$V$2:$V$402,MATCH($A123,Community_Register!$A$2:$A$402,0))),""))</f>
        <v/>
      </c>
      <c r="P123" s="11">
        <f>IF(OR($C123="",$N123="",NOT(ISNUMBER($N123))),"",$N123/$C123)</f>
        <v/>
      </c>
      <c r="Q123" s="11">
        <f>IF($C123="","",IF(OR($N123="",NOT(ISNUMBER($N123))),"B",IF(ABS($P123-1)&lt;=0.3,"A",IF(OR($P123&gt;2,$P123&lt;0.5),"C","B"))))</f>
        <v/>
      </c>
    </row>
    <row r="124">
      <c r="B124" s="11">
        <f>IF($A124="","",IFERROR(IF(INDEX(Community_Register!$B$2:$B$402,MATCH($A124,Community_Register!$A$2:$A$402,0))="","",INDEX(Community_Register!$B$2:$B$402,MATCH($A124,Community_Register!$A$2:$A$402,0))),""))</f>
        <v/>
      </c>
      <c r="H124" s="11">
        <f>IF($C124="","",IF($C124&lt;1,"yes","no"))</f>
        <v/>
      </c>
      <c r="I124" s="11">
        <f>IF($C124="","",IF($C124&lt;2.6,"r75",IF($C124&lt;5.2,"r110",IF($C124&lt;9.9,"r150",IF($C124&lt;19.8,"r210","r300")))))</f>
        <v/>
      </c>
      <c r="J124" s="11">
        <f>IF($C124="","",ROUND(SQRT($C124*10000/PI()),1))</f>
        <v/>
      </c>
      <c r="N124" s="11">
        <f>IF($A124="","",IFERROR(IF(INDEX(Community_Register!$S$2:$S$402,MATCH($A124,Community_Register!$A$2:$A$402,0))="","",INDEX(Community_Register!$S$2:$S$402,MATCH($A124,Community_Register!$A$2:$A$402,0))),""))</f>
        <v/>
      </c>
      <c r="O124" s="11">
        <f>IF($A124="","",IFERROR(IF(INDEX(Community_Register!$V$2:$V$402,MATCH($A124,Community_Register!$A$2:$A$402,0))="","",INDEX(Community_Register!$V$2:$V$402,MATCH($A124,Community_Register!$A$2:$A$402,0))),""))</f>
        <v/>
      </c>
      <c r="P124" s="11">
        <f>IF(OR($C124="",$N124="",NOT(ISNUMBER($N124))),"",$N124/$C124)</f>
        <v/>
      </c>
      <c r="Q124" s="11">
        <f>IF($C124="","",IF(OR($N124="",NOT(ISNUMBER($N124))),"B",IF(ABS($P124-1)&lt;=0.3,"A",IF(OR($P124&gt;2,$P124&lt;0.5),"C","B"))))</f>
        <v/>
      </c>
    </row>
    <row r="125">
      <c r="B125" s="11">
        <f>IF($A125="","",IFERROR(IF(INDEX(Community_Register!$B$2:$B$402,MATCH($A125,Community_Register!$A$2:$A$402,0))="","",INDEX(Community_Register!$B$2:$B$402,MATCH($A125,Community_Register!$A$2:$A$402,0))),""))</f>
        <v/>
      </c>
      <c r="H125" s="11">
        <f>IF($C125="","",IF($C125&lt;1,"yes","no"))</f>
        <v/>
      </c>
      <c r="I125" s="11">
        <f>IF($C125="","",IF($C125&lt;2.6,"r75",IF($C125&lt;5.2,"r110",IF($C125&lt;9.9,"r150",IF($C125&lt;19.8,"r210","r300")))))</f>
        <v/>
      </c>
      <c r="J125" s="11">
        <f>IF($C125="","",ROUND(SQRT($C125*10000/PI()),1))</f>
        <v/>
      </c>
      <c r="N125" s="11">
        <f>IF($A125="","",IFERROR(IF(INDEX(Community_Register!$S$2:$S$402,MATCH($A125,Community_Register!$A$2:$A$402,0))="","",INDEX(Community_Register!$S$2:$S$402,MATCH($A125,Community_Register!$A$2:$A$402,0))),""))</f>
        <v/>
      </c>
      <c r="O125" s="11">
        <f>IF($A125="","",IFERROR(IF(INDEX(Community_Register!$V$2:$V$402,MATCH($A125,Community_Register!$A$2:$A$402,0))="","",INDEX(Community_Register!$V$2:$V$402,MATCH($A125,Community_Register!$A$2:$A$402,0))),""))</f>
        <v/>
      </c>
      <c r="P125" s="11">
        <f>IF(OR($C125="",$N125="",NOT(ISNUMBER($N125))),"",$N125/$C125)</f>
        <v/>
      </c>
      <c r="Q125" s="11">
        <f>IF($C125="","",IF(OR($N125="",NOT(ISNUMBER($N125))),"B",IF(ABS($P125-1)&lt;=0.3,"A",IF(OR($P125&gt;2,$P125&lt;0.5),"C","B"))))</f>
        <v/>
      </c>
    </row>
    <row r="126">
      <c r="B126" s="11">
        <f>IF($A126="","",IFERROR(IF(INDEX(Community_Register!$B$2:$B$402,MATCH($A126,Community_Register!$A$2:$A$402,0))="","",INDEX(Community_Register!$B$2:$B$402,MATCH($A126,Community_Register!$A$2:$A$402,0))),""))</f>
        <v/>
      </c>
      <c r="H126" s="11">
        <f>IF($C126="","",IF($C126&lt;1,"yes","no"))</f>
        <v/>
      </c>
      <c r="I126" s="11">
        <f>IF($C126="","",IF($C126&lt;2.6,"r75",IF($C126&lt;5.2,"r110",IF($C126&lt;9.9,"r150",IF($C126&lt;19.8,"r210","r300")))))</f>
        <v/>
      </c>
      <c r="J126" s="11">
        <f>IF($C126="","",ROUND(SQRT($C126*10000/PI()),1))</f>
        <v/>
      </c>
      <c r="N126" s="11">
        <f>IF($A126="","",IFERROR(IF(INDEX(Community_Register!$S$2:$S$402,MATCH($A126,Community_Register!$A$2:$A$402,0))="","",INDEX(Community_Register!$S$2:$S$402,MATCH($A126,Community_Register!$A$2:$A$402,0))),""))</f>
        <v/>
      </c>
      <c r="O126" s="11">
        <f>IF($A126="","",IFERROR(IF(INDEX(Community_Register!$V$2:$V$402,MATCH($A126,Community_Register!$A$2:$A$402,0))="","",INDEX(Community_Register!$V$2:$V$402,MATCH($A126,Community_Register!$A$2:$A$402,0))),""))</f>
        <v/>
      </c>
      <c r="P126" s="11">
        <f>IF(OR($C126="",$N126="",NOT(ISNUMBER($N126))),"",$N126/$C126)</f>
        <v/>
      </c>
      <c r="Q126" s="11">
        <f>IF($C126="","",IF(OR($N126="",NOT(ISNUMBER($N126))),"B",IF(ABS($P126-1)&lt;=0.3,"A",IF(OR($P126&gt;2,$P126&lt;0.5),"C","B"))))</f>
        <v/>
      </c>
    </row>
    <row r="127">
      <c r="B127" s="11">
        <f>IF($A127="","",IFERROR(IF(INDEX(Community_Register!$B$2:$B$402,MATCH($A127,Community_Register!$A$2:$A$402,0))="","",INDEX(Community_Register!$B$2:$B$402,MATCH($A127,Community_Register!$A$2:$A$402,0))),""))</f>
        <v/>
      </c>
      <c r="H127" s="11">
        <f>IF($C127="","",IF($C127&lt;1,"yes","no"))</f>
        <v/>
      </c>
      <c r="I127" s="11">
        <f>IF($C127="","",IF($C127&lt;2.6,"r75",IF($C127&lt;5.2,"r110",IF($C127&lt;9.9,"r150",IF($C127&lt;19.8,"r210","r300")))))</f>
        <v/>
      </c>
      <c r="J127" s="11">
        <f>IF($C127="","",ROUND(SQRT($C127*10000/PI()),1))</f>
        <v/>
      </c>
      <c r="N127" s="11">
        <f>IF($A127="","",IFERROR(IF(INDEX(Community_Register!$S$2:$S$402,MATCH($A127,Community_Register!$A$2:$A$402,0))="","",INDEX(Community_Register!$S$2:$S$402,MATCH($A127,Community_Register!$A$2:$A$402,0))),""))</f>
        <v/>
      </c>
      <c r="O127" s="11">
        <f>IF($A127="","",IFERROR(IF(INDEX(Community_Register!$V$2:$V$402,MATCH($A127,Community_Register!$A$2:$A$402,0))="","",INDEX(Community_Register!$V$2:$V$402,MATCH($A127,Community_Register!$A$2:$A$402,0))),""))</f>
        <v/>
      </c>
      <c r="P127" s="11">
        <f>IF(OR($C127="",$N127="",NOT(ISNUMBER($N127))),"",$N127/$C127)</f>
        <v/>
      </c>
      <c r="Q127" s="11">
        <f>IF($C127="","",IF(OR($N127="",NOT(ISNUMBER($N127))),"B",IF(ABS($P127-1)&lt;=0.3,"A",IF(OR($P127&gt;2,$P127&lt;0.5),"C","B"))))</f>
        <v/>
      </c>
    </row>
    <row r="128">
      <c r="B128" s="11">
        <f>IF($A128="","",IFERROR(IF(INDEX(Community_Register!$B$2:$B$402,MATCH($A128,Community_Register!$A$2:$A$402,0))="","",INDEX(Community_Register!$B$2:$B$402,MATCH($A128,Community_Register!$A$2:$A$402,0))),""))</f>
        <v/>
      </c>
      <c r="H128" s="11">
        <f>IF($C128="","",IF($C128&lt;1,"yes","no"))</f>
        <v/>
      </c>
      <c r="I128" s="11">
        <f>IF($C128="","",IF($C128&lt;2.6,"r75",IF($C128&lt;5.2,"r110",IF($C128&lt;9.9,"r150",IF($C128&lt;19.8,"r210","r300")))))</f>
        <v/>
      </c>
      <c r="J128" s="11">
        <f>IF($C128="","",ROUND(SQRT($C128*10000/PI()),1))</f>
        <v/>
      </c>
      <c r="N128" s="11">
        <f>IF($A128="","",IFERROR(IF(INDEX(Community_Register!$S$2:$S$402,MATCH($A128,Community_Register!$A$2:$A$402,0))="","",INDEX(Community_Register!$S$2:$S$402,MATCH($A128,Community_Register!$A$2:$A$402,0))),""))</f>
        <v/>
      </c>
      <c r="O128" s="11">
        <f>IF($A128="","",IFERROR(IF(INDEX(Community_Register!$V$2:$V$402,MATCH($A128,Community_Register!$A$2:$A$402,0))="","",INDEX(Community_Register!$V$2:$V$402,MATCH($A128,Community_Register!$A$2:$A$402,0))),""))</f>
        <v/>
      </c>
      <c r="P128" s="11">
        <f>IF(OR($C128="",$N128="",NOT(ISNUMBER($N128))),"",$N128/$C128)</f>
        <v/>
      </c>
      <c r="Q128" s="11">
        <f>IF($C128="","",IF(OR($N128="",NOT(ISNUMBER($N128))),"B",IF(ABS($P128-1)&lt;=0.3,"A",IF(OR($P128&gt;2,$P128&lt;0.5),"C","B"))))</f>
        <v/>
      </c>
    </row>
    <row r="129">
      <c r="B129" s="11">
        <f>IF($A129="","",IFERROR(IF(INDEX(Community_Register!$B$2:$B$402,MATCH($A129,Community_Register!$A$2:$A$402,0))="","",INDEX(Community_Register!$B$2:$B$402,MATCH($A129,Community_Register!$A$2:$A$402,0))),""))</f>
        <v/>
      </c>
      <c r="H129" s="11">
        <f>IF($C129="","",IF($C129&lt;1,"yes","no"))</f>
        <v/>
      </c>
      <c r="I129" s="11">
        <f>IF($C129="","",IF($C129&lt;2.6,"r75",IF($C129&lt;5.2,"r110",IF($C129&lt;9.9,"r150",IF($C129&lt;19.8,"r210","r300")))))</f>
        <v/>
      </c>
      <c r="J129" s="11">
        <f>IF($C129="","",ROUND(SQRT($C129*10000/PI()),1))</f>
        <v/>
      </c>
      <c r="N129" s="11">
        <f>IF($A129="","",IFERROR(IF(INDEX(Community_Register!$S$2:$S$402,MATCH($A129,Community_Register!$A$2:$A$402,0))="","",INDEX(Community_Register!$S$2:$S$402,MATCH($A129,Community_Register!$A$2:$A$402,0))),""))</f>
        <v/>
      </c>
      <c r="O129" s="11">
        <f>IF($A129="","",IFERROR(IF(INDEX(Community_Register!$V$2:$V$402,MATCH($A129,Community_Register!$A$2:$A$402,0))="","",INDEX(Community_Register!$V$2:$V$402,MATCH($A129,Community_Register!$A$2:$A$402,0))),""))</f>
        <v/>
      </c>
      <c r="P129" s="11">
        <f>IF(OR($C129="",$N129="",NOT(ISNUMBER($N129))),"",$N129/$C129)</f>
        <v/>
      </c>
      <c r="Q129" s="11">
        <f>IF($C129="","",IF(OR($N129="",NOT(ISNUMBER($N129))),"B",IF(ABS($P129-1)&lt;=0.3,"A",IF(OR($P129&gt;2,$P129&lt;0.5),"C","B"))))</f>
        <v/>
      </c>
    </row>
    <row r="130">
      <c r="B130" s="11">
        <f>IF($A130="","",IFERROR(IF(INDEX(Community_Register!$B$2:$B$402,MATCH($A130,Community_Register!$A$2:$A$402,0))="","",INDEX(Community_Register!$B$2:$B$402,MATCH($A130,Community_Register!$A$2:$A$402,0))),""))</f>
        <v/>
      </c>
      <c r="H130" s="11">
        <f>IF($C130="","",IF($C130&lt;1,"yes","no"))</f>
        <v/>
      </c>
      <c r="I130" s="11">
        <f>IF($C130="","",IF($C130&lt;2.6,"r75",IF($C130&lt;5.2,"r110",IF($C130&lt;9.9,"r150",IF($C130&lt;19.8,"r210","r300")))))</f>
        <v/>
      </c>
      <c r="J130" s="11">
        <f>IF($C130="","",ROUND(SQRT($C130*10000/PI()),1))</f>
        <v/>
      </c>
      <c r="N130" s="11">
        <f>IF($A130="","",IFERROR(IF(INDEX(Community_Register!$S$2:$S$402,MATCH($A130,Community_Register!$A$2:$A$402,0))="","",INDEX(Community_Register!$S$2:$S$402,MATCH($A130,Community_Register!$A$2:$A$402,0))),""))</f>
        <v/>
      </c>
      <c r="O130" s="11">
        <f>IF($A130="","",IFERROR(IF(INDEX(Community_Register!$V$2:$V$402,MATCH($A130,Community_Register!$A$2:$A$402,0))="","",INDEX(Community_Register!$V$2:$V$402,MATCH($A130,Community_Register!$A$2:$A$402,0))),""))</f>
        <v/>
      </c>
      <c r="P130" s="11">
        <f>IF(OR($C130="",$N130="",NOT(ISNUMBER($N130))),"",$N130/$C130)</f>
        <v/>
      </c>
      <c r="Q130" s="11">
        <f>IF($C130="","",IF(OR($N130="",NOT(ISNUMBER($N130))),"B",IF(ABS($P130-1)&lt;=0.3,"A",IF(OR($P130&gt;2,$P130&lt;0.5),"C","B"))))</f>
        <v/>
      </c>
    </row>
    <row r="131">
      <c r="B131" s="11">
        <f>IF($A131="","",IFERROR(IF(INDEX(Community_Register!$B$2:$B$402,MATCH($A131,Community_Register!$A$2:$A$402,0))="","",INDEX(Community_Register!$B$2:$B$402,MATCH($A131,Community_Register!$A$2:$A$402,0))),""))</f>
        <v/>
      </c>
      <c r="H131" s="11">
        <f>IF($C131="","",IF($C131&lt;1,"yes","no"))</f>
        <v/>
      </c>
      <c r="I131" s="11">
        <f>IF($C131="","",IF($C131&lt;2.6,"r75",IF($C131&lt;5.2,"r110",IF($C131&lt;9.9,"r150",IF($C131&lt;19.8,"r210","r300")))))</f>
        <v/>
      </c>
      <c r="J131" s="11">
        <f>IF($C131="","",ROUND(SQRT($C131*10000/PI()),1))</f>
        <v/>
      </c>
      <c r="N131" s="11">
        <f>IF($A131="","",IFERROR(IF(INDEX(Community_Register!$S$2:$S$402,MATCH($A131,Community_Register!$A$2:$A$402,0))="","",INDEX(Community_Register!$S$2:$S$402,MATCH($A131,Community_Register!$A$2:$A$402,0))),""))</f>
        <v/>
      </c>
      <c r="O131" s="11">
        <f>IF($A131="","",IFERROR(IF(INDEX(Community_Register!$V$2:$V$402,MATCH($A131,Community_Register!$A$2:$A$402,0))="","",INDEX(Community_Register!$V$2:$V$402,MATCH($A131,Community_Register!$A$2:$A$402,0))),""))</f>
        <v/>
      </c>
      <c r="P131" s="11">
        <f>IF(OR($C131="",$N131="",NOT(ISNUMBER($N131))),"",$N131/$C131)</f>
        <v/>
      </c>
      <c r="Q131" s="11">
        <f>IF($C131="","",IF(OR($N131="",NOT(ISNUMBER($N131))),"B",IF(ABS($P131-1)&lt;=0.3,"A",IF(OR($P131&gt;2,$P131&lt;0.5),"C","B"))))</f>
        <v/>
      </c>
    </row>
    <row r="132">
      <c r="B132" s="11">
        <f>IF($A132="","",IFERROR(IF(INDEX(Community_Register!$B$2:$B$402,MATCH($A132,Community_Register!$A$2:$A$402,0))="","",INDEX(Community_Register!$B$2:$B$402,MATCH($A132,Community_Register!$A$2:$A$402,0))),""))</f>
        <v/>
      </c>
      <c r="H132" s="11">
        <f>IF($C132="","",IF($C132&lt;1,"yes","no"))</f>
        <v/>
      </c>
      <c r="I132" s="11">
        <f>IF($C132="","",IF($C132&lt;2.6,"r75",IF($C132&lt;5.2,"r110",IF($C132&lt;9.9,"r150",IF($C132&lt;19.8,"r210","r300")))))</f>
        <v/>
      </c>
      <c r="J132" s="11">
        <f>IF($C132="","",ROUND(SQRT($C132*10000/PI()),1))</f>
        <v/>
      </c>
      <c r="N132" s="11">
        <f>IF($A132="","",IFERROR(IF(INDEX(Community_Register!$S$2:$S$402,MATCH($A132,Community_Register!$A$2:$A$402,0))="","",INDEX(Community_Register!$S$2:$S$402,MATCH($A132,Community_Register!$A$2:$A$402,0))),""))</f>
        <v/>
      </c>
      <c r="O132" s="11">
        <f>IF($A132="","",IFERROR(IF(INDEX(Community_Register!$V$2:$V$402,MATCH($A132,Community_Register!$A$2:$A$402,0))="","",INDEX(Community_Register!$V$2:$V$402,MATCH($A132,Community_Register!$A$2:$A$402,0))),""))</f>
        <v/>
      </c>
      <c r="P132" s="11">
        <f>IF(OR($C132="",$N132="",NOT(ISNUMBER($N132))),"",$N132/$C132)</f>
        <v/>
      </c>
      <c r="Q132" s="11">
        <f>IF($C132="","",IF(OR($N132="",NOT(ISNUMBER($N132))),"B",IF(ABS($P132-1)&lt;=0.3,"A",IF(OR($P132&gt;2,$P132&lt;0.5),"C","B"))))</f>
        <v/>
      </c>
    </row>
    <row r="133">
      <c r="B133" s="11">
        <f>IF($A133="","",IFERROR(IF(INDEX(Community_Register!$B$2:$B$402,MATCH($A133,Community_Register!$A$2:$A$402,0))="","",INDEX(Community_Register!$B$2:$B$402,MATCH($A133,Community_Register!$A$2:$A$402,0))),""))</f>
        <v/>
      </c>
      <c r="H133" s="11">
        <f>IF($C133="","",IF($C133&lt;1,"yes","no"))</f>
        <v/>
      </c>
      <c r="I133" s="11">
        <f>IF($C133="","",IF($C133&lt;2.6,"r75",IF($C133&lt;5.2,"r110",IF($C133&lt;9.9,"r150",IF($C133&lt;19.8,"r210","r300")))))</f>
        <v/>
      </c>
      <c r="J133" s="11">
        <f>IF($C133="","",ROUND(SQRT($C133*10000/PI()),1))</f>
        <v/>
      </c>
      <c r="N133" s="11">
        <f>IF($A133="","",IFERROR(IF(INDEX(Community_Register!$S$2:$S$402,MATCH($A133,Community_Register!$A$2:$A$402,0))="","",INDEX(Community_Register!$S$2:$S$402,MATCH($A133,Community_Register!$A$2:$A$402,0))),""))</f>
        <v/>
      </c>
      <c r="O133" s="11">
        <f>IF($A133="","",IFERROR(IF(INDEX(Community_Register!$V$2:$V$402,MATCH($A133,Community_Register!$A$2:$A$402,0))="","",INDEX(Community_Register!$V$2:$V$402,MATCH($A133,Community_Register!$A$2:$A$402,0))),""))</f>
        <v/>
      </c>
      <c r="P133" s="11">
        <f>IF(OR($C133="",$N133="",NOT(ISNUMBER($N133))),"",$N133/$C133)</f>
        <v/>
      </c>
      <c r="Q133" s="11">
        <f>IF($C133="","",IF(OR($N133="",NOT(ISNUMBER($N133))),"B",IF(ABS($P133-1)&lt;=0.3,"A",IF(OR($P133&gt;2,$P133&lt;0.5),"C","B"))))</f>
        <v/>
      </c>
    </row>
    <row r="134">
      <c r="B134" s="11">
        <f>IF($A134="","",IFERROR(IF(INDEX(Community_Register!$B$2:$B$402,MATCH($A134,Community_Register!$A$2:$A$402,0))="","",INDEX(Community_Register!$B$2:$B$402,MATCH($A134,Community_Register!$A$2:$A$402,0))),""))</f>
        <v/>
      </c>
      <c r="H134" s="11">
        <f>IF($C134="","",IF($C134&lt;1,"yes","no"))</f>
        <v/>
      </c>
      <c r="I134" s="11">
        <f>IF($C134="","",IF($C134&lt;2.6,"r75",IF($C134&lt;5.2,"r110",IF($C134&lt;9.9,"r150",IF($C134&lt;19.8,"r210","r300")))))</f>
        <v/>
      </c>
      <c r="J134" s="11">
        <f>IF($C134="","",ROUND(SQRT($C134*10000/PI()),1))</f>
        <v/>
      </c>
      <c r="N134" s="11">
        <f>IF($A134="","",IFERROR(IF(INDEX(Community_Register!$S$2:$S$402,MATCH($A134,Community_Register!$A$2:$A$402,0))="","",INDEX(Community_Register!$S$2:$S$402,MATCH($A134,Community_Register!$A$2:$A$402,0))),""))</f>
        <v/>
      </c>
      <c r="O134" s="11">
        <f>IF($A134="","",IFERROR(IF(INDEX(Community_Register!$V$2:$V$402,MATCH($A134,Community_Register!$A$2:$A$402,0))="","",INDEX(Community_Register!$V$2:$V$402,MATCH($A134,Community_Register!$A$2:$A$402,0))),""))</f>
        <v/>
      </c>
      <c r="P134" s="11">
        <f>IF(OR($C134="",$N134="",NOT(ISNUMBER($N134))),"",$N134/$C134)</f>
        <v/>
      </c>
      <c r="Q134" s="11">
        <f>IF($C134="","",IF(OR($N134="",NOT(ISNUMBER($N134))),"B",IF(ABS($P134-1)&lt;=0.3,"A",IF(OR($P134&gt;2,$P134&lt;0.5),"C","B"))))</f>
        <v/>
      </c>
    </row>
    <row r="135">
      <c r="B135" s="11">
        <f>IF($A135="","",IFERROR(IF(INDEX(Community_Register!$B$2:$B$402,MATCH($A135,Community_Register!$A$2:$A$402,0))="","",INDEX(Community_Register!$B$2:$B$402,MATCH($A135,Community_Register!$A$2:$A$402,0))),""))</f>
        <v/>
      </c>
      <c r="H135" s="11">
        <f>IF($C135="","",IF($C135&lt;1,"yes","no"))</f>
        <v/>
      </c>
      <c r="I135" s="11">
        <f>IF($C135="","",IF($C135&lt;2.6,"r75",IF($C135&lt;5.2,"r110",IF($C135&lt;9.9,"r150",IF($C135&lt;19.8,"r210","r300")))))</f>
        <v/>
      </c>
      <c r="J135" s="11">
        <f>IF($C135="","",ROUND(SQRT($C135*10000/PI()),1))</f>
        <v/>
      </c>
      <c r="N135" s="11">
        <f>IF($A135="","",IFERROR(IF(INDEX(Community_Register!$S$2:$S$402,MATCH($A135,Community_Register!$A$2:$A$402,0))="","",INDEX(Community_Register!$S$2:$S$402,MATCH($A135,Community_Register!$A$2:$A$402,0))),""))</f>
        <v/>
      </c>
      <c r="O135" s="11">
        <f>IF($A135="","",IFERROR(IF(INDEX(Community_Register!$V$2:$V$402,MATCH($A135,Community_Register!$A$2:$A$402,0))="","",INDEX(Community_Register!$V$2:$V$402,MATCH($A135,Community_Register!$A$2:$A$402,0))),""))</f>
        <v/>
      </c>
      <c r="P135" s="11">
        <f>IF(OR($C135="",$N135="",NOT(ISNUMBER($N135))),"",$N135/$C135)</f>
        <v/>
      </c>
      <c r="Q135" s="11">
        <f>IF($C135="","",IF(OR($N135="",NOT(ISNUMBER($N135))),"B",IF(ABS($P135-1)&lt;=0.3,"A",IF(OR($P135&gt;2,$P135&lt;0.5),"C","B"))))</f>
        <v/>
      </c>
    </row>
    <row r="136">
      <c r="B136" s="11">
        <f>IF($A136="","",IFERROR(IF(INDEX(Community_Register!$B$2:$B$402,MATCH($A136,Community_Register!$A$2:$A$402,0))="","",INDEX(Community_Register!$B$2:$B$402,MATCH($A136,Community_Register!$A$2:$A$402,0))),""))</f>
        <v/>
      </c>
      <c r="H136" s="11">
        <f>IF($C136="","",IF($C136&lt;1,"yes","no"))</f>
        <v/>
      </c>
      <c r="I136" s="11">
        <f>IF($C136="","",IF($C136&lt;2.6,"r75",IF($C136&lt;5.2,"r110",IF($C136&lt;9.9,"r150",IF($C136&lt;19.8,"r210","r300")))))</f>
        <v/>
      </c>
      <c r="J136" s="11">
        <f>IF($C136="","",ROUND(SQRT($C136*10000/PI()),1))</f>
        <v/>
      </c>
      <c r="N136" s="11">
        <f>IF($A136="","",IFERROR(IF(INDEX(Community_Register!$S$2:$S$402,MATCH($A136,Community_Register!$A$2:$A$402,0))="","",INDEX(Community_Register!$S$2:$S$402,MATCH($A136,Community_Register!$A$2:$A$402,0))),""))</f>
        <v/>
      </c>
      <c r="O136" s="11">
        <f>IF($A136="","",IFERROR(IF(INDEX(Community_Register!$V$2:$V$402,MATCH($A136,Community_Register!$A$2:$A$402,0))="","",INDEX(Community_Register!$V$2:$V$402,MATCH($A136,Community_Register!$A$2:$A$402,0))),""))</f>
        <v/>
      </c>
      <c r="P136" s="11">
        <f>IF(OR($C136="",$N136="",NOT(ISNUMBER($N136))),"",$N136/$C136)</f>
        <v/>
      </c>
      <c r="Q136" s="11">
        <f>IF($C136="","",IF(OR($N136="",NOT(ISNUMBER($N136))),"B",IF(ABS($P136-1)&lt;=0.3,"A",IF(OR($P136&gt;2,$P136&lt;0.5),"C","B"))))</f>
        <v/>
      </c>
    </row>
    <row r="137">
      <c r="B137" s="11">
        <f>IF($A137="","",IFERROR(IF(INDEX(Community_Register!$B$2:$B$402,MATCH($A137,Community_Register!$A$2:$A$402,0))="","",INDEX(Community_Register!$B$2:$B$402,MATCH($A137,Community_Register!$A$2:$A$402,0))),""))</f>
        <v/>
      </c>
      <c r="H137" s="11">
        <f>IF($C137="","",IF($C137&lt;1,"yes","no"))</f>
        <v/>
      </c>
      <c r="I137" s="11">
        <f>IF($C137="","",IF($C137&lt;2.6,"r75",IF($C137&lt;5.2,"r110",IF($C137&lt;9.9,"r150",IF($C137&lt;19.8,"r210","r300")))))</f>
        <v/>
      </c>
      <c r="J137" s="11">
        <f>IF($C137="","",ROUND(SQRT($C137*10000/PI()),1))</f>
        <v/>
      </c>
      <c r="N137" s="11">
        <f>IF($A137="","",IFERROR(IF(INDEX(Community_Register!$S$2:$S$402,MATCH($A137,Community_Register!$A$2:$A$402,0))="","",INDEX(Community_Register!$S$2:$S$402,MATCH($A137,Community_Register!$A$2:$A$402,0))),""))</f>
        <v/>
      </c>
      <c r="O137" s="11">
        <f>IF($A137="","",IFERROR(IF(INDEX(Community_Register!$V$2:$V$402,MATCH($A137,Community_Register!$A$2:$A$402,0))="","",INDEX(Community_Register!$V$2:$V$402,MATCH($A137,Community_Register!$A$2:$A$402,0))),""))</f>
        <v/>
      </c>
      <c r="P137" s="11">
        <f>IF(OR($C137="",$N137="",NOT(ISNUMBER($N137))),"",$N137/$C137)</f>
        <v/>
      </c>
      <c r="Q137" s="11">
        <f>IF($C137="","",IF(OR($N137="",NOT(ISNUMBER($N137))),"B",IF(ABS($P137-1)&lt;=0.3,"A",IF(OR($P137&gt;2,$P137&lt;0.5),"C","B"))))</f>
        <v/>
      </c>
    </row>
    <row r="138">
      <c r="B138" s="11">
        <f>IF($A138="","",IFERROR(IF(INDEX(Community_Register!$B$2:$B$402,MATCH($A138,Community_Register!$A$2:$A$402,0))="","",INDEX(Community_Register!$B$2:$B$402,MATCH($A138,Community_Register!$A$2:$A$402,0))),""))</f>
        <v/>
      </c>
      <c r="H138" s="11">
        <f>IF($C138="","",IF($C138&lt;1,"yes","no"))</f>
        <v/>
      </c>
      <c r="I138" s="11">
        <f>IF($C138="","",IF($C138&lt;2.6,"r75",IF($C138&lt;5.2,"r110",IF($C138&lt;9.9,"r150",IF($C138&lt;19.8,"r210","r300")))))</f>
        <v/>
      </c>
      <c r="J138" s="11">
        <f>IF($C138="","",ROUND(SQRT($C138*10000/PI()),1))</f>
        <v/>
      </c>
      <c r="N138" s="11">
        <f>IF($A138="","",IFERROR(IF(INDEX(Community_Register!$S$2:$S$402,MATCH($A138,Community_Register!$A$2:$A$402,0))="","",INDEX(Community_Register!$S$2:$S$402,MATCH($A138,Community_Register!$A$2:$A$402,0))),""))</f>
        <v/>
      </c>
      <c r="O138" s="11">
        <f>IF($A138="","",IFERROR(IF(INDEX(Community_Register!$V$2:$V$402,MATCH($A138,Community_Register!$A$2:$A$402,0))="","",INDEX(Community_Register!$V$2:$V$402,MATCH($A138,Community_Register!$A$2:$A$402,0))),""))</f>
        <v/>
      </c>
      <c r="P138" s="11">
        <f>IF(OR($C138="",$N138="",NOT(ISNUMBER($N138))),"",$N138/$C138)</f>
        <v/>
      </c>
      <c r="Q138" s="11">
        <f>IF($C138="","",IF(OR($N138="",NOT(ISNUMBER($N138))),"B",IF(ABS($P138-1)&lt;=0.3,"A",IF(OR($P138&gt;2,$P138&lt;0.5),"C","B"))))</f>
        <v/>
      </c>
    </row>
    <row r="139">
      <c r="B139" s="11">
        <f>IF($A139="","",IFERROR(IF(INDEX(Community_Register!$B$2:$B$402,MATCH($A139,Community_Register!$A$2:$A$402,0))="","",INDEX(Community_Register!$B$2:$B$402,MATCH($A139,Community_Register!$A$2:$A$402,0))),""))</f>
        <v/>
      </c>
      <c r="H139" s="11">
        <f>IF($C139="","",IF($C139&lt;1,"yes","no"))</f>
        <v/>
      </c>
      <c r="I139" s="11">
        <f>IF($C139="","",IF($C139&lt;2.6,"r75",IF($C139&lt;5.2,"r110",IF($C139&lt;9.9,"r150",IF($C139&lt;19.8,"r210","r300")))))</f>
        <v/>
      </c>
      <c r="J139" s="11">
        <f>IF($C139="","",ROUND(SQRT($C139*10000/PI()),1))</f>
        <v/>
      </c>
      <c r="N139" s="11">
        <f>IF($A139="","",IFERROR(IF(INDEX(Community_Register!$S$2:$S$402,MATCH($A139,Community_Register!$A$2:$A$402,0))="","",INDEX(Community_Register!$S$2:$S$402,MATCH($A139,Community_Register!$A$2:$A$402,0))),""))</f>
        <v/>
      </c>
      <c r="O139" s="11">
        <f>IF($A139="","",IFERROR(IF(INDEX(Community_Register!$V$2:$V$402,MATCH($A139,Community_Register!$A$2:$A$402,0))="","",INDEX(Community_Register!$V$2:$V$402,MATCH($A139,Community_Register!$A$2:$A$402,0))),""))</f>
        <v/>
      </c>
      <c r="P139" s="11">
        <f>IF(OR($C139="",$N139="",NOT(ISNUMBER($N139))),"",$N139/$C139)</f>
        <v/>
      </c>
      <c r="Q139" s="11">
        <f>IF($C139="","",IF(OR($N139="",NOT(ISNUMBER($N139))),"B",IF(ABS($P139-1)&lt;=0.3,"A",IF(OR($P139&gt;2,$P139&lt;0.5),"C","B"))))</f>
        <v/>
      </c>
    </row>
    <row r="140">
      <c r="B140" s="11">
        <f>IF($A140="","",IFERROR(IF(INDEX(Community_Register!$B$2:$B$402,MATCH($A140,Community_Register!$A$2:$A$402,0))="","",INDEX(Community_Register!$B$2:$B$402,MATCH($A140,Community_Register!$A$2:$A$402,0))),""))</f>
        <v/>
      </c>
      <c r="H140" s="11">
        <f>IF($C140="","",IF($C140&lt;1,"yes","no"))</f>
        <v/>
      </c>
      <c r="I140" s="11">
        <f>IF($C140="","",IF($C140&lt;2.6,"r75",IF($C140&lt;5.2,"r110",IF($C140&lt;9.9,"r150",IF($C140&lt;19.8,"r210","r300")))))</f>
        <v/>
      </c>
      <c r="J140" s="11">
        <f>IF($C140="","",ROUND(SQRT($C140*10000/PI()),1))</f>
        <v/>
      </c>
      <c r="N140" s="11">
        <f>IF($A140="","",IFERROR(IF(INDEX(Community_Register!$S$2:$S$402,MATCH($A140,Community_Register!$A$2:$A$402,0))="","",INDEX(Community_Register!$S$2:$S$402,MATCH($A140,Community_Register!$A$2:$A$402,0))),""))</f>
        <v/>
      </c>
      <c r="O140" s="11">
        <f>IF($A140="","",IFERROR(IF(INDEX(Community_Register!$V$2:$V$402,MATCH($A140,Community_Register!$A$2:$A$402,0))="","",INDEX(Community_Register!$V$2:$V$402,MATCH($A140,Community_Register!$A$2:$A$402,0))),""))</f>
        <v/>
      </c>
      <c r="P140" s="11">
        <f>IF(OR($C140="",$N140="",NOT(ISNUMBER($N140))),"",$N140/$C140)</f>
        <v/>
      </c>
      <c r="Q140" s="11">
        <f>IF($C140="","",IF(OR($N140="",NOT(ISNUMBER($N140))),"B",IF(ABS($P140-1)&lt;=0.3,"A",IF(OR($P140&gt;2,$P140&lt;0.5),"C","B"))))</f>
        <v/>
      </c>
    </row>
    <row r="141">
      <c r="B141" s="11">
        <f>IF($A141="","",IFERROR(IF(INDEX(Community_Register!$B$2:$B$402,MATCH($A141,Community_Register!$A$2:$A$402,0))="","",INDEX(Community_Register!$B$2:$B$402,MATCH($A141,Community_Register!$A$2:$A$402,0))),""))</f>
        <v/>
      </c>
      <c r="H141" s="11">
        <f>IF($C141="","",IF($C141&lt;1,"yes","no"))</f>
        <v/>
      </c>
      <c r="I141" s="11">
        <f>IF($C141="","",IF($C141&lt;2.6,"r75",IF($C141&lt;5.2,"r110",IF($C141&lt;9.9,"r150",IF($C141&lt;19.8,"r210","r300")))))</f>
        <v/>
      </c>
      <c r="J141" s="11">
        <f>IF($C141="","",ROUND(SQRT($C141*10000/PI()),1))</f>
        <v/>
      </c>
      <c r="N141" s="11">
        <f>IF($A141="","",IFERROR(IF(INDEX(Community_Register!$S$2:$S$402,MATCH($A141,Community_Register!$A$2:$A$402,0))="","",INDEX(Community_Register!$S$2:$S$402,MATCH($A141,Community_Register!$A$2:$A$402,0))),""))</f>
        <v/>
      </c>
      <c r="O141" s="11">
        <f>IF($A141="","",IFERROR(IF(INDEX(Community_Register!$V$2:$V$402,MATCH($A141,Community_Register!$A$2:$A$402,0))="","",INDEX(Community_Register!$V$2:$V$402,MATCH($A141,Community_Register!$A$2:$A$402,0))),""))</f>
        <v/>
      </c>
      <c r="P141" s="11">
        <f>IF(OR($C141="",$N141="",NOT(ISNUMBER($N141))),"",$N141/$C141)</f>
        <v/>
      </c>
      <c r="Q141" s="11">
        <f>IF($C141="","",IF(OR($N141="",NOT(ISNUMBER($N141))),"B",IF(ABS($P141-1)&lt;=0.3,"A",IF(OR($P141&gt;2,$P141&lt;0.5),"C","B"))))</f>
        <v/>
      </c>
    </row>
    <row r="142">
      <c r="B142" s="11">
        <f>IF($A142="","",IFERROR(IF(INDEX(Community_Register!$B$2:$B$402,MATCH($A142,Community_Register!$A$2:$A$402,0))="","",INDEX(Community_Register!$B$2:$B$402,MATCH($A142,Community_Register!$A$2:$A$402,0))),""))</f>
        <v/>
      </c>
      <c r="H142" s="11">
        <f>IF($C142="","",IF($C142&lt;1,"yes","no"))</f>
        <v/>
      </c>
      <c r="I142" s="11">
        <f>IF($C142="","",IF($C142&lt;2.6,"r75",IF($C142&lt;5.2,"r110",IF($C142&lt;9.9,"r150",IF($C142&lt;19.8,"r210","r300")))))</f>
        <v/>
      </c>
      <c r="J142" s="11">
        <f>IF($C142="","",ROUND(SQRT($C142*10000/PI()),1))</f>
        <v/>
      </c>
      <c r="N142" s="11">
        <f>IF($A142="","",IFERROR(IF(INDEX(Community_Register!$S$2:$S$402,MATCH($A142,Community_Register!$A$2:$A$402,0))="","",INDEX(Community_Register!$S$2:$S$402,MATCH($A142,Community_Register!$A$2:$A$402,0))),""))</f>
        <v/>
      </c>
      <c r="O142" s="11">
        <f>IF($A142="","",IFERROR(IF(INDEX(Community_Register!$V$2:$V$402,MATCH($A142,Community_Register!$A$2:$A$402,0))="","",INDEX(Community_Register!$V$2:$V$402,MATCH($A142,Community_Register!$A$2:$A$402,0))),""))</f>
        <v/>
      </c>
      <c r="P142" s="11">
        <f>IF(OR($C142="",$N142="",NOT(ISNUMBER($N142))),"",$N142/$C142)</f>
        <v/>
      </c>
      <c r="Q142" s="11">
        <f>IF($C142="","",IF(OR($N142="",NOT(ISNUMBER($N142))),"B",IF(ABS($P142-1)&lt;=0.3,"A",IF(OR($P142&gt;2,$P142&lt;0.5),"C","B"))))</f>
        <v/>
      </c>
    </row>
    <row r="143">
      <c r="B143" s="11">
        <f>IF($A143="","",IFERROR(IF(INDEX(Community_Register!$B$2:$B$402,MATCH($A143,Community_Register!$A$2:$A$402,0))="","",INDEX(Community_Register!$B$2:$B$402,MATCH($A143,Community_Register!$A$2:$A$402,0))),""))</f>
        <v/>
      </c>
      <c r="H143" s="11">
        <f>IF($C143="","",IF($C143&lt;1,"yes","no"))</f>
        <v/>
      </c>
      <c r="I143" s="11">
        <f>IF($C143="","",IF($C143&lt;2.6,"r75",IF($C143&lt;5.2,"r110",IF($C143&lt;9.9,"r150",IF($C143&lt;19.8,"r210","r300")))))</f>
        <v/>
      </c>
      <c r="J143" s="11">
        <f>IF($C143="","",ROUND(SQRT($C143*10000/PI()),1))</f>
        <v/>
      </c>
      <c r="N143" s="11">
        <f>IF($A143="","",IFERROR(IF(INDEX(Community_Register!$S$2:$S$402,MATCH($A143,Community_Register!$A$2:$A$402,0))="","",INDEX(Community_Register!$S$2:$S$402,MATCH($A143,Community_Register!$A$2:$A$402,0))),""))</f>
        <v/>
      </c>
      <c r="O143" s="11">
        <f>IF($A143="","",IFERROR(IF(INDEX(Community_Register!$V$2:$V$402,MATCH($A143,Community_Register!$A$2:$A$402,0))="","",INDEX(Community_Register!$V$2:$V$402,MATCH($A143,Community_Register!$A$2:$A$402,0))),""))</f>
        <v/>
      </c>
      <c r="P143" s="11">
        <f>IF(OR($C143="",$N143="",NOT(ISNUMBER($N143))),"",$N143/$C143)</f>
        <v/>
      </c>
      <c r="Q143" s="11">
        <f>IF($C143="","",IF(OR($N143="",NOT(ISNUMBER($N143))),"B",IF(ABS($P143-1)&lt;=0.3,"A",IF(OR($P143&gt;2,$P143&lt;0.5),"C","B"))))</f>
        <v/>
      </c>
    </row>
    <row r="144">
      <c r="B144" s="11">
        <f>IF($A144="","",IFERROR(IF(INDEX(Community_Register!$B$2:$B$402,MATCH($A144,Community_Register!$A$2:$A$402,0))="","",INDEX(Community_Register!$B$2:$B$402,MATCH($A144,Community_Register!$A$2:$A$402,0))),""))</f>
        <v/>
      </c>
      <c r="H144" s="11">
        <f>IF($C144="","",IF($C144&lt;1,"yes","no"))</f>
        <v/>
      </c>
      <c r="I144" s="11">
        <f>IF($C144="","",IF($C144&lt;2.6,"r75",IF($C144&lt;5.2,"r110",IF($C144&lt;9.9,"r150",IF($C144&lt;19.8,"r210","r300")))))</f>
        <v/>
      </c>
      <c r="J144" s="11">
        <f>IF($C144="","",ROUND(SQRT($C144*10000/PI()),1))</f>
        <v/>
      </c>
      <c r="N144" s="11">
        <f>IF($A144="","",IFERROR(IF(INDEX(Community_Register!$S$2:$S$402,MATCH($A144,Community_Register!$A$2:$A$402,0))="","",INDEX(Community_Register!$S$2:$S$402,MATCH($A144,Community_Register!$A$2:$A$402,0))),""))</f>
        <v/>
      </c>
      <c r="O144" s="11">
        <f>IF($A144="","",IFERROR(IF(INDEX(Community_Register!$V$2:$V$402,MATCH($A144,Community_Register!$A$2:$A$402,0))="","",INDEX(Community_Register!$V$2:$V$402,MATCH($A144,Community_Register!$A$2:$A$402,0))),""))</f>
        <v/>
      </c>
      <c r="P144" s="11">
        <f>IF(OR($C144="",$N144="",NOT(ISNUMBER($N144))),"",$N144/$C144)</f>
        <v/>
      </c>
      <c r="Q144" s="11">
        <f>IF($C144="","",IF(OR($N144="",NOT(ISNUMBER($N144))),"B",IF(ABS($P144-1)&lt;=0.3,"A",IF(OR($P144&gt;2,$P144&lt;0.5),"C","B"))))</f>
        <v/>
      </c>
    </row>
    <row r="145">
      <c r="B145" s="11">
        <f>IF($A145="","",IFERROR(IF(INDEX(Community_Register!$B$2:$B$402,MATCH($A145,Community_Register!$A$2:$A$402,0))="","",INDEX(Community_Register!$B$2:$B$402,MATCH($A145,Community_Register!$A$2:$A$402,0))),""))</f>
        <v/>
      </c>
      <c r="H145" s="11">
        <f>IF($C145="","",IF($C145&lt;1,"yes","no"))</f>
        <v/>
      </c>
      <c r="I145" s="11">
        <f>IF($C145="","",IF($C145&lt;2.6,"r75",IF($C145&lt;5.2,"r110",IF($C145&lt;9.9,"r150",IF($C145&lt;19.8,"r210","r300")))))</f>
        <v/>
      </c>
      <c r="J145" s="11">
        <f>IF($C145="","",ROUND(SQRT($C145*10000/PI()),1))</f>
        <v/>
      </c>
      <c r="N145" s="11">
        <f>IF($A145="","",IFERROR(IF(INDEX(Community_Register!$S$2:$S$402,MATCH($A145,Community_Register!$A$2:$A$402,0))="","",INDEX(Community_Register!$S$2:$S$402,MATCH($A145,Community_Register!$A$2:$A$402,0))),""))</f>
        <v/>
      </c>
      <c r="O145" s="11">
        <f>IF($A145="","",IFERROR(IF(INDEX(Community_Register!$V$2:$V$402,MATCH($A145,Community_Register!$A$2:$A$402,0))="","",INDEX(Community_Register!$V$2:$V$402,MATCH($A145,Community_Register!$A$2:$A$402,0))),""))</f>
        <v/>
      </c>
      <c r="P145" s="11">
        <f>IF(OR($C145="",$N145="",NOT(ISNUMBER($N145))),"",$N145/$C145)</f>
        <v/>
      </c>
      <c r="Q145" s="11">
        <f>IF($C145="","",IF(OR($N145="",NOT(ISNUMBER($N145))),"B",IF(ABS($P145-1)&lt;=0.3,"A",IF(OR($P145&gt;2,$P145&lt;0.5),"C","B"))))</f>
        <v/>
      </c>
    </row>
    <row r="146">
      <c r="B146" s="11">
        <f>IF($A146="","",IFERROR(IF(INDEX(Community_Register!$B$2:$B$402,MATCH($A146,Community_Register!$A$2:$A$402,0))="","",INDEX(Community_Register!$B$2:$B$402,MATCH($A146,Community_Register!$A$2:$A$402,0))),""))</f>
        <v/>
      </c>
      <c r="H146" s="11">
        <f>IF($C146="","",IF($C146&lt;1,"yes","no"))</f>
        <v/>
      </c>
      <c r="I146" s="11">
        <f>IF($C146="","",IF($C146&lt;2.6,"r75",IF($C146&lt;5.2,"r110",IF($C146&lt;9.9,"r150",IF($C146&lt;19.8,"r210","r300")))))</f>
        <v/>
      </c>
      <c r="J146" s="11">
        <f>IF($C146="","",ROUND(SQRT($C146*10000/PI()),1))</f>
        <v/>
      </c>
      <c r="N146" s="11">
        <f>IF($A146="","",IFERROR(IF(INDEX(Community_Register!$S$2:$S$402,MATCH($A146,Community_Register!$A$2:$A$402,0))="","",INDEX(Community_Register!$S$2:$S$402,MATCH($A146,Community_Register!$A$2:$A$402,0))),""))</f>
        <v/>
      </c>
      <c r="O146" s="11">
        <f>IF($A146="","",IFERROR(IF(INDEX(Community_Register!$V$2:$V$402,MATCH($A146,Community_Register!$A$2:$A$402,0))="","",INDEX(Community_Register!$V$2:$V$402,MATCH($A146,Community_Register!$A$2:$A$402,0))),""))</f>
        <v/>
      </c>
      <c r="P146" s="11">
        <f>IF(OR($C146="",$N146="",NOT(ISNUMBER($N146))),"",$N146/$C146)</f>
        <v/>
      </c>
      <c r="Q146" s="11">
        <f>IF($C146="","",IF(OR($N146="",NOT(ISNUMBER($N146))),"B",IF(ABS($P146-1)&lt;=0.3,"A",IF(OR($P146&gt;2,$P146&lt;0.5),"C","B"))))</f>
        <v/>
      </c>
    </row>
    <row r="147">
      <c r="B147" s="11">
        <f>IF($A147="","",IFERROR(IF(INDEX(Community_Register!$B$2:$B$402,MATCH($A147,Community_Register!$A$2:$A$402,0))="","",INDEX(Community_Register!$B$2:$B$402,MATCH($A147,Community_Register!$A$2:$A$402,0))),""))</f>
        <v/>
      </c>
      <c r="H147" s="11">
        <f>IF($C147="","",IF($C147&lt;1,"yes","no"))</f>
        <v/>
      </c>
      <c r="I147" s="11">
        <f>IF($C147="","",IF($C147&lt;2.6,"r75",IF($C147&lt;5.2,"r110",IF($C147&lt;9.9,"r150",IF($C147&lt;19.8,"r210","r300")))))</f>
        <v/>
      </c>
      <c r="J147" s="11">
        <f>IF($C147="","",ROUND(SQRT($C147*10000/PI()),1))</f>
        <v/>
      </c>
      <c r="N147" s="11">
        <f>IF($A147="","",IFERROR(IF(INDEX(Community_Register!$S$2:$S$402,MATCH($A147,Community_Register!$A$2:$A$402,0))="","",INDEX(Community_Register!$S$2:$S$402,MATCH($A147,Community_Register!$A$2:$A$402,0))),""))</f>
        <v/>
      </c>
      <c r="O147" s="11">
        <f>IF($A147="","",IFERROR(IF(INDEX(Community_Register!$V$2:$V$402,MATCH($A147,Community_Register!$A$2:$A$402,0))="","",INDEX(Community_Register!$V$2:$V$402,MATCH($A147,Community_Register!$A$2:$A$402,0))),""))</f>
        <v/>
      </c>
      <c r="P147" s="11">
        <f>IF(OR($C147="",$N147="",NOT(ISNUMBER($N147))),"",$N147/$C147)</f>
        <v/>
      </c>
      <c r="Q147" s="11">
        <f>IF($C147="","",IF(OR($N147="",NOT(ISNUMBER($N147))),"B",IF(ABS($P147-1)&lt;=0.3,"A",IF(OR($P147&gt;2,$P147&lt;0.5),"C","B"))))</f>
        <v/>
      </c>
    </row>
    <row r="148">
      <c r="B148" s="11">
        <f>IF($A148="","",IFERROR(IF(INDEX(Community_Register!$B$2:$B$402,MATCH($A148,Community_Register!$A$2:$A$402,0))="","",INDEX(Community_Register!$B$2:$B$402,MATCH($A148,Community_Register!$A$2:$A$402,0))),""))</f>
        <v/>
      </c>
      <c r="H148" s="11">
        <f>IF($C148="","",IF($C148&lt;1,"yes","no"))</f>
        <v/>
      </c>
      <c r="I148" s="11">
        <f>IF($C148="","",IF($C148&lt;2.6,"r75",IF($C148&lt;5.2,"r110",IF($C148&lt;9.9,"r150",IF($C148&lt;19.8,"r210","r300")))))</f>
        <v/>
      </c>
      <c r="J148" s="11">
        <f>IF($C148="","",ROUND(SQRT($C148*10000/PI()),1))</f>
        <v/>
      </c>
      <c r="N148" s="11">
        <f>IF($A148="","",IFERROR(IF(INDEX(Community_Register!$S$2:$S$402,MATCH($A148,Community_Register!$A$2:$A$402,0))="","",INDEX(Community_Register!$S$2:$S$402,MATCH($A148,Community_Register!$A$2:$A$402,0))),""))</f>
        <v/>
      </c>
      <c r="O148" s="11">
        <f>IF($A148="","",IFERROR(IF(INDEX(Community_Register!$V$2:$V$402,MATCH($A148,Community_Register!$A$2:$A$402,0))="","",INDEX(Community_Register!$V$2:$V$402,MATCH($A148,Community_Register!$A$2:$A$402,0))),""))</f>
        <v/>
      </c>
      <c r="P148" s="11">
        <f>IF(OR($C148="",$N148="",NOT(ISNUMBER($N148))),"",$N148/$C148)</f>
        <v/>
      </c>
      <c r="Q148" s="11">
        <f>IF($C148="","",IF(OR($N148="",NOT(ISNUMBER($N148))),"B",IF(ABS($P148-1)&lt;=0.3,"A",IF(OR($P148&gt;2,$P148&lt;0.5),"C","B"))))</f>
        <v/>
      </c>
    </row>
    <row r="149">
      <c r="B149" s="11">
        <f>IF($A149="","",IFERROR(IF(INDEX(Community_Register!$B$2:$B$402,MATCH($A149,Community_Register!$A$2:$A$402,0))="","",INDEX(Community_Register!$B$2:$B$402,MATCH($A149,Community_Register!$A$2:$A$402,0))),""))</f>
        <v/>
      </c>
      <c r="H149" s="11">
        <f>IF($C149="","",IF($C149&lt;1,"yes","no"))</f>
        <v/>
      </c>
      <c r="I149" s="11">
        <f>IF($C149="","",IF($C149&lt;2.6,"r75",IF($C149&lt;5.2,"r110",IF($C149&lt;9.9,"r150",IF($C149&lt;19.8,"r210","r300")))))</f>
        <v/>
      </c>
      <c r="J149" s="11">
        <f>IF($C149="","",ROUND(SQRT($C149*10000/PI()),1))</f>
        <v/>
      </c>
      <c r="N149" s="11">
        <f>IF($A149="","",IFERROR(IF(INDEX(Community_Register!$S$2:$S$402,MATCH($A149,Community_Register!$A$2:$A$402,0))="","",INDEX(Community_Register!$S$2:$S$402,MATCH($A149,Community_Register!$A$2:$A$402,0))),""))</f>
        <v/>
      </c>
      <c r="O149" s="11">
        <f>IF($A149="","",IFERROR(IF(INDEX(Community_Register!$V$2:$V$402,MATCH($A149,Community_Register!$A$2:$A$402,0))="","",INDEX(Community_Register!$V$2:$V$402,MATCH($A149,Community_Register!$A$2:$A$402,0))),""))</f>
        <v/>
      </c>
      <c r="P149" s="11">
        <f>IF(OR($C149="",$N149="",NOT(ISNUMBER($N149))),"",$N149/$C149)</f>
        <v/>
      </c>
      <c r="Q149" s="11">
        <f>IF($C149="","",IF(OR($N149="",NOT(ISNUMBER($N149))),"B",IF(ABS($P149-1)&lt;=0.3,"A",IF(OR($P149&gt;2,$P149&lt;0.5),"C","B"))))</f>
        <v/>
      </c>
    </row>
    <row r="150">
      <c r="B150" s="11">
        <f>IF($A150="","",IFERROR(IF(INDEX(Community_Register!$B$2:$B$402,MATCH($A150,Community_Register!$A$2:$A$402,0))="","",INDEX(Community_Register!$B$2:$B$402,MATCH($A150,Community_Register!$A$2:$A$402,0))),""))</f>
        <v/>
      </c>
      <c r="H150" s="11">
        <f>IF($C150="","",IF($C150&lt;1,"yes","no"))</f>
        <v/>
      </c>
      <c r="I150" s="11">
        <f>IF($C150="","",IF($C150&lt;2.6,"r75",IF($C150&lt;5.2,"r110",IF($C150&lt;9.9,"r150",IF($C150&lt;19.8,"r210","r300")))))</f>
        <v/>
      </c>
      <c r="J150" s="11">
        <f>IF($C150="","",ROUND(SQRT($C150*10000/PI()),1))</f>
        <v/>
      </c>
      <c r="N150" s="11">
        <f>IF($A150="","",IFERROR(IF(INDEX(Community_Register!$S$2:$S$402,MATCH($A150,Community_Register!$A$2:$A$402,0))="","",INDEX(Community_Register!$S$2:$S$402,MATCH($A150,Community_Register!$A$2:$A$402,0))),""))</f>
        <v/>
      </c>
      <c r="O150" s="11">
        <f>IF($A150="","",IFERROR(IF(INDEX(Community_Register!$V$2:$V$402,MATCH($A150,Community_Register!$A$2:$A$402,0))="","",INDEX(Community_Register!$V$2:$V$402,MATCH($A150,Community_Register!$A$2:$A$402,0))),""))</f>
        <v/>
      </c>
      <c r="P150" s="11">
        <f>IF(OR($C150="",$N150="",NOT(ISNUMBER($N150))),"",$N150/$C150)</f>
        <v/>
      </c>
      <c r="Q150" s="11">
        <f>IF($C150="","",IF(OR($N150="",NOT(ISNUMBER($N150))),"B",IF(ABS($P150-1)&lt;=0.3,"A",IF(OR($P150&gt;2,$P150&lt;0.5),"C","B"))))</f>
        <v/>
      </c>
    </row>
    <row r="151">
      <c r="B151" s="11">
        <f>IF($A151="","",IFERROR(IF(INDEX(Community_Register!$B$2:$B$402,MATCH($A151,Community_Register!$A$2:$A$402,0))="","",INDEX(Community_Register!$B$2:$B$402,MATCH($A151,Community_Register!$A$2:$A$402,0))),""))</f>
        <v/>
      </c>
      <c r="H151" s="11">
        <f>IF($C151="","",IF($C151&lt;1,"yes","no"))</f>
        <v/>
      </c>
      <c r="I151" s="11">
        <f>IF($C151="","",IF($C151&lt;2.6,"r75",IF($C151&lt;5.2,"r110",IF($C151&lt;9.9,"r150",IF($C151&lt;19.8,"r210","r300")))))</f>
        <v/>
      </c>
      <c r="J151" s="11">
        <f>IF($C151="","",ROUND(SQRT($C151*10000/PI()),1))</f>
        <v/>
      </c>
      <c r="N151" s="11">
        <f>IF($A151="","",IFERROR(IF(INDEX(Community_Register!$S$2:$S$402,MATCH($A151,Community_Register!$A$2:$A$402,0))="","",INDEX(Community_Register!$S$2:$S$402,MATCH($A151,Community_Register!$A$2:$A$402,0))),""))</f>
        <v/>
      </c>
      <c r="O151" s="11">
        <f>IF($A151="","",IFERROR(IF(INDEX(Community_Register!$V$2:$V$402,MATCH($A151,Community_Register!$A$2:$A$402,0))="","",INDEX(Community_Register!$V$2:$V$402,MATCH($A151,Community_Register!$A$2:$A$402,0))),""))</f>
        <v/>
      </c>
      <c r="P151" s="11">
        <f>IF(OR($C151="",$N151="",NOT(ISNUMBER($N151))),"",$N151/$C151)</f>
        <v/>
      </c>
      <c r="Q151" s="11">
        <f>IF($C151="","",IF(OR($N151="",NOT(ISNUMBER($N151))),"B",IF(ABS($P151-1)&lt;=0.3,"A",IF(OR($P151&gt;2,$P151&lt;0.5),"C","B"))))</f>
        <v/>
      </c>
    </row>
    <row r="152">
      <c r="B152" s="11">
        <f>IF($A152="","",IFERROR(IF(INDEX(Community_Register!$B$2:$B$402,MATCH($A152,Community_Register!$A$2:$A$402,0))="","",INDEX(Community_Register!$B$2:$B$402,MATCH($A152,Community_Register!$A$2:$A$402,0))),""))</f>
        <v/>
      </c>
      <c r="H152" s="11">
        <f>IF($C152="","",IF($C152&lt;1,"yes","no"))</f>
        <v/>
      </c>
      <c r="I152" s="11">
        <f>IF($C152="","",IF($C152&lt;2.6,"r75",IF($C152&lt;5.2,"r110",IF($C152&lt;9.9,"r150",IF($C152&lt;19.8,"r210","r300")))))</f>
        <v/>
      </c>
      <c r="J152" s="11">
        <f>IF($C152="","",ROUND(SQRT($C152*10000/PI()),1))</f>
        <v/>
      </c>
      <c r="N152" s="11">
        <f>IF($A152="","",IFERROR(IF(INDEX(Community_Register!$S$2:$S$402,MATCH($A152,Community_Register!$A$2:$A$402,0))="","",INDEX(Community_Register!$S$2:$S$402,MATCH($A152,Community_Register!$A$2:$A$402,0))),""))</f>
        <v/>
      </c>
      <c r="O152" s="11">
        <f>IF($A152="","",IFERROR(IF(INDEX(Community_Register!$V$2:$V$402,MATCH($A152,Community_Register!$A$2:$A$402,0))="","",INDEX(Community_Register!$V$2:$V$402,MATCH($A152,Community_Register!$A$2:$A$402,0))),""))</f>
        <v/>
      </c>
      <c r="P152" s="11">
        <f>IF(OR($C152="",$N152="",NOT(ISNUMBER($N152))),"",$N152/$C152)</f>
        <v/>
      </c>
      <c r="Q152" s="11">
        <f>IF($C152="","",IF(OR($N152="",NOT(ISNUMBER($N152))),"B",IF(ABS($P152-1)&lt;=0.3,"A",IF(OR($P152&gt;2,$P152&lt;0.5),"C","B"))))</f>
        <v/>
      </c>
    </row>
    <row r="153">
      <c r="B153" s="11">
        <f>IF($A153="","",IFERROR(IF(INDEX(Community_Register!$B$2:$B$402,MATCH($A153,Community_Register!$A$2:$A$402,0))="","",INDEX(Community_Register!$B$2:$B$402,MATCH($A153,Community_Register!$A$2:$A$402,0))),""))</f>
        <v/>
      </c>
      <c r="H153" s="11">
        <f>IF($C153="","",IF($C153&lt;1,"yes","no"))</f>
        <v/>
      </c>
      <c r="I153" s="11">
        <f>IF($C153="","",IF($C153&lt;2.6,"r75",IF($C153&lt;5.2,"r110",IF($C153&lt;9.9,"r150",IF($C153&lt;19.8,"r210","r300")))))</f>
        <v/>
      </c>
      <c r="J153" s="11">
        <f>IF($C153="","",ROUND(SQRT($C153*10000/PI()),1))</f>
        <v/>
      </c>
      <c r="N153" s="11">
        <f>IF($A153="","",IFERROR(IF(INDEX(Community_Register!$S$2:$S$402,MATCH($A153,Community_Register!$A$2:$A$402,0))="","",INDEX(Community_Register!$S$2:$S$402,MATCH($A153,Community_Register!$A$2:$A$402,0))),""))</f>
        <v/>
      </c>
      <c r="O153" s="11">
        <f>IF($A153="","",IFERROR(IF(INDEX(Community_Register!$V$2:$V$402,MATCH($A153,Community_Register!$A$2:$A$402,0))="","",INDEX(Community_Register!$V$2:$V$402,MATCH($A153,Community_Register!$A$2:$A$402,0))),""))</f>
        <v/>
      </c>
      <c r="P153" s="11">
        <f>IF(OR($C153="",$N153="",NOT(ISNUMBER($N153))),"",$N153/$C153)</f>
        <v/>
      </c>
      <c r="Q153" s="11">
        <f>IF($C153="","",IF(OR($N153="",NOT(ISNUMBER($N153))),"B",IF(ABS($P153-1)&lt;=0.3,"A",IF(OR($P153&gt;2,$P153&lt;0.5),"C","B"))))</f>
        <v/>
      </c>
    </row>
    <row r="154">
      <c r="B154" s="11">
        <f>IF($A154="","",IFERROR(IF(INDEX(Community_Register!$B$2:$B$402,MATCH($A154,Community_Register!$A$2:$A$402,0))="","",INDEX(Community_Register!$B$2:$B$402,MATCH($A154,Community_Register!$A$2:$A$402,0))),""))</f>
        <v/>
      </c>
      <c r="H154" s="11">
        <f>IF($C154="","",IF($C154&lt;1,"yes","no"))</f>
        <v/>
      </c>
      <c r="I154" s="11">
        <f>IF($C154="","",IF($C154&lt;2.6,"r75",IF($C154&lt;5.2,"r110",IF($C154&lt;9.9,"r150",IF($C154&lt;19.8,"r210","r300")))))</f>
        <v/>
      </c>
      <c r="J154" s="11">
        <f>IF($C154="","",ROUND(SQRT($C154*10000/PI()),1))</f>
        <v/>
      </c>
      <c r="N154" s="11">
        <f>IF($A154="","",IFERROR(IF(INDEX(Community_Register!$S$2:$S$402,MATCH($A154,Community_Register!$A$2:$A$402,0))="","",INDEX(Community_Register!$S$2:$S$402,MATCH($A154,Community_Register!$A$2:$A$402,0))),""))</f>
        <v/>
      </c>
      <c r="O154" s="11">
        <f>IF($A154="","",IFERROR(IF(INDEX(Community_Register!$V$2:$V$402,MATCH($A154,Community_Register!$A$2:$A$402,0))="","",INDEX(Community_Register!$V$2:$V$402,MATCH($A154,Community_Register!$A$2:$A$402,0))),""))</f>
        <v/>
      </c>
      <c r="P154" s="11">
        <f>IF(OR($C154="",$N154="",NOT(ISNUMBER($N154))),"",$N154/$C154)</f>
        <v/>
      </c>
      <c r="Q154" s="11">
        <f>IF($C154="","",IF(OR($N154="",NOT(ISNUMBER($N154))),"B",IF(ABS($P154-1)&lt;=0.3,"A",IF(OR($P154&gt;2,$P154&lt;0.5),"C","B"))))</f>
        <v/>
      </c>
    </row>
    <row r="155">
      <c r="B155" s="11">
        <f>IF($A155="","",IFERROR(IF(INDEX(Community_Register!$B$2:$B$402,MATCH($A155,Community_Register!$A$2:$A$402,0))="","",INDEX(Community_Register!$B$2:$B$402,MATCH($A155,Community_Register!$A$2:$A$402,0))),""))</f>
        <v/>
      </c>
      <c r="H155" s="11">
        <f>IF($C155="","",IF($C155&lt;1,"yes","no"))</f>
        <v/>
      </c>
      <c r="I155" s="11">
        <f>IF($C155="","",IF($C155&lt;2.6,"r75",IF($C155&lt;5.2,"r110",IF($C155&lt;9.9,"r150",IF($C155&lt;19.8,"r210","r300")))))</f>
        <v/>
      </c>
      <c r="J155" s="11">
        <f>IF($C155="","",ROUND(SQRT($C155*10000/PI()),1))</f>
        <v/>
      </c>
      <c r="N155" s="11">
        <f>IF($A155="","",IFERROR(IF(INDEX(Community_Register!$S$2:$S$402,MATCH($A155,Community_Register!$A$2:$A$402,0))="","",INDEX(Community_Register!$S$2:$S$402,MATCH($A155,Community_Register!$A$2:$A$402,0))),""))</f>
        <v/>
      </c>
      <c r="O155" s="11">
        <f>IF($A155="","",IFERROR(IF(INDEX(Community_Register!$V$2:$V$402,MATCH($A155,Community_Register!$A$2:$A$402,0))="","",INDEX(Community_Register!$V$2:$V$402,MATCH($A155,Community_Register!$A$2:$A$402,0))),""))</f>
        <v/>
      </c>
      <c r="P155" s="11">
        <f>IF(OR($C155="",$N155="",NOT(ISNUMBER($N155))),"",$N155/$C155)</f>
        <v/>
      </c>
      <c r="Q155" s="11">
        <f>IF($C155="","",IF(OR($N155="",NOT(ISNUMBER($N155))),"B",IF(ABS($P155-1)&lt;=0.3,"A",IF(OR($P155&gt;2,$P155&lt;0.5),"C","B"))))</f>
        <v/>
      </c>
    </row>
    <row r="156">
      <c r="B156" s="11">
        <f>IF($A156="","",IFERROR(IF(INDEX(Community_Register!$B$2:$B$402,MATCH($A156,Community_Register!$A$2:$A$402,0))="","",INDEX(Community_Register!$B$2:$B$402,MATCH($A156,Community_Register!$A$2:$A$402,0))),""))</f>
        <v/>
      </c>
      <c r="H156" s="11">
        <f>IF($C156="","",IF($C156&lt;1,"yes","no"))</f>
        <v/>
      </c>
      <c r="I156" s="11">
        <f>IF($C156="","",IF($C156&lt;2.6,"r75",IF($C156&lt;5.2,"r110",IF($C156&lt;9.9,"r150",IF($C156&lt;19.8,"r210","r300")))))</f>
        <v/>
      </c>
      <c r="J156" s="11">
        <f>IF($C156="","",ROUND(SQRT($C156*10000/PI()),1))</f>
        <v/>
      </c>
      <c r="N156" s="11">
        <f>IF($A156="","",IFERROR(IF(INDEX(Community_Register!$S$2:$S$402,MATCH($A156,Community_Register!$A$2:$A$402,0))="","",INDEX(Community_Register!$S$2:$S$402,MATCH($A156,Community_Register!$A$2:$A$402,0))),""))</f>
        <v/>
      </c>
      <c r="O156" s="11">
        <f>IF($A156="","",IFERROR(IF(INDEX(Community_Register!$V$2:$V$402,MATCH($A156,Community_Register!$A$2:$A$402,0))="","",INDEX(Community_Register!$V$2:$V$402,MATCH($A156,Community_Register!$A$2:$A$402,0))),""))</f>
        <v/>
      </c>
      <c r="P156" s="11">
        <f>IF(OR($C156="",$N156="",NOT(ISNUMBER($N156))),"",$N156/$C156)</f>
        <v/>
      </c>
      <c r="Q156" s="11">
        <f>IF($C156="","",IF(OR($N156="",NOT(ISNUMBER($N156))),"B",IF(ABS($P156-1)&lt;=0.3,"A",IF(OR($P156&gt;2,$P156&lt;0.5),"C","B"))))</f>
        <v/>
      </c>
    </row>
    <row r="157">
      <c r="B157" s="11">
        <f>IF($A157="","",IFERROR(IF(INDEX(Community_Register!$B$2:$B$402,MATCH($A157,Community_Register!$A$2:$A$402,0))="","",INDEX(Community_Register!$B$2:$B$402,MATCH($A157,Community_Register!$A$2:$A$402,0))),""))</f>
        <v/>
      </c>
      <c r="H157" s="11">
        <f>IF($C157="","",IF($C157&lt;1,"yes","no"))</f>
        <v/>
      </c>
      <c r="I157" s="11">
        <f>IF($C157="","",IF($C157&lt;2.6,"r75",IF($C157&lt;5.2,"r110",IF($C157&lt;9.9,"r150",IF($C157&lt;19.8,"r210","r300")))))</f>
        <v/>
      </c>
      <c r="J157" s="11">
        <f>IF($C157="","",ROUND(SQRT($C157*10000/PI()),1))</f>
        <v/>
      </c>
      <c r="N157" s="11">
        <f>IF($A157="","",IFERROR(IF(INDEX(Community_Register!$S$2:$S$402,MATCH($A157,Community_Register!$A$2:$A$402,0))="","",INDEX(Community_Register!$S$2:$S$402,MATCH($A157,Community_Register!$A$2:$A$402,0))),""))</f>
        <v/>
      </c>
      <c r="O157" s="11">
        <f>IF($A157="","",IFERROR(IF(INDEX(Community_Register!$V$2:$V$402,MATCH($A157,Community_Register!$A$2:$A$402,0))="","",INDEX(Community_Register!$V$2:$V$402,MATCH($A157,Community_Register!$A$2:$A$402,0))),""))</f>
        <v/>
      </c>
      <c r="P157" s="11">
        <f>IF(OR($C157="",$N157="",NOT(ISNUMBER($N157))),"",$N157/$C157)</f>
        <v/>
      </c>
      <c r="Q157" s="11">
        <f>IF($C157="","",IF(OR($N157="",NOT(ISNUMBER($N157))),"B",IF(ABS($P157-1)&lt;=0.3,"A",IF(OR($P157&gt;2,$P157&lt;0.5),"C","B"))))</f>
        <v/>
      </c>
    </row>
    <row r="158">
      <c r="B158" s="11">
        <f>IF($A158="","",IFERROR(IF(INDEX(Community_Register!$B$2:$B$402,MATCH($A158,Community_Register!$A$2:$A$402,0))="","",INDEX(Community_Register!$B$2:$B$402,MATCH($A158,Community_Register!$A$2:$A$402,0))),""))</f>
        <v/>
      </c>
      <c r="H158" s="11">
        <f>IF($C158="","",IF($C158&lt;1,"yes","no"))</f>
        <v/>
      </c>
      <c r="I158" s="11">
        <f>IF($C158="","",IF($C158&lt;2.6,"r75",IF($C158&lt;5.2,"r110",IF($C158&lt;9.9,"r150",IF($C158&lt;19.8,"r210","r300")))))</f>
        <v/>
      </c>
      <c r="J158" s="11">
        <f>IF($C158="","",ROUND(SQRT($C158*10000/PI()),1))</f>
        <v/>
      </c>
      <c r="N158" s="11">
        <f>IF($A158="","",IFERROR(IF(INDEX(Community_Register!$S$2:$S$402,MATCH($A158,Community_Register!$A$2:$A$402,0))="","",INDEX(Community_Register!$S$2:$S$402,MATCH($A158,Community_Register!$A$2:$A$402,0))),""))</f>
        <v/>
      </c>
      <c r="O158" s="11">
        <f>IF($A158="","",IFERROR(IF(INDEX(Community_Register!$V$2:$V$402,MATCH($A158,Community_Register!$A$2:$A$402,0))="","",INDEX(Community_Register!$V$2:$V$402,MATCH($A158,Community_Register!$A$2:$A$402,0))),""))</f>
        <v/>
      </c>
      <c r="P158" s="11">
        <f>IF(OR($C158="",$N158="",NOT(ISNUMBER($N158))),"",$N158/$C158)</f>
        <v/>
      </c>
      <c r="Q158" s="11">
        <f>IF($C158="","",IF(OR($N158="",NOT(ISNUMBER($N158))),"B",IF(ABS($P158-1)&lt;=0.3,"A",IF(OR($P158&gt;2,$P158&lt;0.5),"C","B"))))</f>
        <v/>
      </c>
    </row>
    <row r="159">
      <c r="B159" s="11">
        <f>IF($A159="","",IFERROR(IF(INDEX(Community_Register!$B$2:$B$402,MATCH($A159,Community_Register!$A$2:$A$402,0))="","",INDEX(Community_Register!$B$2:$B$402,MATCH($A159,Community_Register!$A$2:$A$402,0))),""))</f>
        <v/>
      </c>
      <c r="H159" s="11">
        <f>IF($C159="","",IF($C159&lt;1,"yes","no"))</f>
        <v/>
      </c>
      <c r="I159" s="11">
        <f>IF($C159="","",IF($C159&lt;2.6,"r75",IF($C159&lt;5.2,"r110",IF($C159&lt;9.9,"r150",IF($C159&lt;19.8,"r210","r300")))))</f>
        <v/>
      </c>
      <c r="J159" s="11">
        <f>IF($C159="","",ROUND(SQRT($C159*10000/PI()),1))</f>
        <v/>
      </c>
      <c r="N159" s="11">
        <f>IF($A159="","",IFERROR(IF(INDEX(Community_Register!$S$2:$S$402,MATCH($A159,Community_Register!$A$2:$A$402,0))="","",INDEX(Community_Register!$S$2:$S$402,MATCH($A159,Community_Register!$A$2:$A$402,0))),""))</f>
        <v/>
      </c>
      <c r="O159" s="11">
        <f>IF($A159="","",IFERROR(IF(INDEX(Community_Register!$V$2:$V$402,MATCH($A159,Community_Register!$A$2:$A$402,0))="","",INDEX(Community_Register!$V$2:$V$402,MATCH($A159,Community_Register!$A$2:$A$402,0))),""))</f>
        <v/>
      </c>
      <c r="P159" s="11">
        <f>IF(OR($C159="",$N159="",NOT(ISNUMBER($N159))),"",$N159/$C159)</f>
        <v/>
      </c>
      <c r="Q159" s="11">
        <f>IF($C159="","",IF(OR($N159="",NOT(ISNUMBER($N159))),"B",IF(ABS($P159-1)&lt;=0.3,"A",IF(OR($P159&gt;2,$P159&lt;0.5),"C","B"))))</f>
        <v/>
      </c>
    </row>
    <row r="160">
      <c r="B160" s="11">
        <f>IF($A160="","",IFERROR(IF(INDEX(Community_Register!$B$2:$B$402,MATCH($A160,Community_Register!$A$2:$A$402,0))="","",INDEX(Community_Register!$B$2:$B$402,MATCH($A160,Community_Register!$A$2:$A$402,0))),""))</f>
        <v/>
      </c>
      <c r="H160" s="11">
        <f>IF($C160="","",IF($C160&lt;1,"yes","no"))</f>
        <v/>
      </c>
      <c r="I160" s="11">
        <f>IF($C160="","",IF($C160&lt;2.6,"r75",IF($C160&lt;5.2,"r110",IF($C160&lt;9.9,"r150",IF($C160&lt;19.8,"r210","r300")))))</f>
        <v/>
      </c>
      <c r="J160" s="11">
        <f>IF($C160="","",ROUND(SQRT($C160*10000/PI()),1))</f>
        <v/>
      </c>
      <c r="N160" s="11">
        <f>IF($A160="","",IFERROR(IF(INDEX(Community_Register!$S$2:$S$402,MATCH($A160,Community_Register!$A$2:$A$402,0))="","",INDEX(Community_Register!$S$2:$S$402,MATCH($A160,Community_Register!$A$2:$A$402,0))),""))</f>
        <v/>
      </c>
      <c r="O160" s="11">
        <f>IF($A160="","",IFERROR(IF(INDEX(Community_Register!$V$2:$V$402,MATCH($A160,Community_Register!$A$2:$A$402,0))="","",INDEX(Community_Register!$V$2:$V$402,MATCH($A160,Community_Register!$A$2:$A$402,0))),""))</f>
        <v/>
      </c>
      <c r="P160" s="11">
        <f>IF(OR($C160="",$N160="",NOT(ISNUMBER($N160))),"",$N160/$C160)</f>
        <v/>
      </c>
      <c r="Q160" s="11">
        <f>IF($C160="","",IF(OR($N160="",NOT(ISNUMBER($N160))),"B",IF(ABS($P160-1)&lt;=0.3,"A",IF(OR($P160&gt;2,$P160&lt;0.5),"C","B"))))</f>
        <v/>
      </c>
    </row>
    <row r="161">
      <c r="B161" s="11">
        <f>IF($A161="","",IFERROR(IF(INDEX(Community_Register!$B$2:$B$402,MATCH($A161,Community_Register!$A$2:$A$402,0))="","",INDEX(Community_Register!$B$2:$B$402,MATCH($A161,Community_Register!$A$2:$A$402,0))),""))</f>
        <v/>
      </c>
      <c r="H161" s="11">
        <f>IF($C161="","",IF($C161&lt;1,"yes","no"))</f>
        <v/>
      </c>
      <c r="I161" s="11">
        <f>IF($C161="","",IF($C161&lt;2.6,"r75",IF($C161&lt;5.2,"r110",IF($C161&lt;9.9,"r150",IF($C161&lt;19.8,"r210","r300")))))</f>
        <v/>
      </c>
      <c r="J161" s="11">
        <f>IF($C161="","",ROUND(SQRT($C161*10000/PI()),1))</f>
        <v/>
      </c>
      <c r="N161" s="11">
        <f>IF($A161="","",IFERROR(IF(INDEX(Community_Register!$S$2:$S$402,MATCH($A161,Community_Register!$A$2:$A$402,0))="","",INDEX(Community_Register!$S$2:$S$402,MATCH($A161,Community_Register!$A$2:$A$402,0))),""))</f>
        <v/>
      </c>
      <c r="O161" s="11">
        <f>IF($A161="","",IFERROR(IF(INDEX(Community_Register!$V$2:$V$402,MATCH($A161,Community_Register!$A$2:$A$402,0))="","",INDEX(Community_Register!$V$2:$V$402,MATCH($A161,Community_Register!$A$2:$A$402,0))),""))</f>
        <v/>
      </c>
      <c r="P161" s="11">
        <f>IF(OR($C161="",$N161="",NOT(ISNUMBER($N161))),"",$N161/$C161)</f>
        <v/>
      </c>
      <c r="Q161" s="11">
        <f>IF($C161="","",IF(OR($N161="",NOT(ISNUMBER($N161))),"B",IF(ABS($P161-1)&lt;=0.3,"A",IF(OR($P161&gt;2,$P161&lt;0.5),"C","B"))))</f>
        <v/>
      </c>
    </row>
    <row r="162">
      <c r="B162" s="11">
        <f>IF($A162="","",IFERROR(IF(INDEX(Community_Register!$B$2:$B$402,MATCH($A162,Community_Register!$A$2:$A$402,0))="","",INDEX(Community_Register!$B$2:$B$402,MATCH($A162,Community_Register!$A$2:$A$402,0))),""))</f>
        <v/>
      </c>
      <c r="H162" s="11">
        <f>IF($C162="","",IF($C162&lt;1,"yes","no"))</f>
        <v/>
      </c>
      <c r="I162" s="11">
        <f>IF($C162="","",IF($C162&lt;2.6,"r75",IF($C162&lt;5.2,"r110",IF($C162&lt;9.9,"r150",IF($C162&lt;19.8,"r210","r300")))))</f>
        <v/>
      </c>
      <c r="J162" s="11">
        <f>IF($C162="","",ROUND(SQRT($C162*10000/PI()),1))</f>
        <v/>
      </c>
      <c r="N162" s="11">
        <f>IF($A162="","",IFERROR(IF(INDEX(Community_Register!$S$2:$S$402,MATCH($A162,Community_Register!$A$2:$A$402,0))="","",INDEX(Community_Register!$S$2:$S$402,MATCH($A162,Community_Register!$A$2:$A$402,0))),""))</f>
        <v/>
      </c>
      <c r="O162" s="11">
        <f>IF($A162="","",IFERROR(IF(INDEX(Community_Register!$V$2:$V$402,MATCH($A162,Community_Register!$A$2:$A$402,0))="","",INDEX(Community_Register!$V$2:$V$402,MATCH($A162,Community_Register!$A$2:$A$402,0))),""))</f>
        <v/>
      </c>
      <c r="P162" s="11">
        <f>IF(OR($C162="",$N162="",NOT(ISNUMBER($N162))),"",$N162/$C162)</f>
        <v/>
      </c>
      <c r="Q162" s="11">
        <f>IF($C162="","",IF(OR($N162="",NOT(ISNUMBER($N162))),"B",IF(ABS($P162-1)&lt;=0.3,"A",IF(OR($P162&gt;2,$P162&lt;0.5),"C","B"))))</f>
        <v/>
      </c>
    </row>
    <row r="163">
      <c r="B163" s="11">
        <f>IF($A163="","",IFERROR(IF(INDEX(Community_Register!$B$2:$B$402,MATCH($A163,Community_Register!$A$2:$A$402,0))="","",INDEX(Community_Register!$B$2:$B$402,MATCH($A163,Community_Register!$A$2:$A$402,0))),""))</f>
        <v/>
      </c>
      <c r="H163" s="11">
        <f>IF($C163="","",IF($C163&lt;1,"yes","no"))</f>
        <v/>
      </c>
      <c r="I163" s="11">
        <f>IF($C163="","",IF($C163&lt;2.6,"r75",IF($C163&lt;5.2,"r110",IF($C163&lt;9.9,"r150",IF($C163&lt;19.8,"r210","r300")))))</f>
        <v/>
      </c>
      <c r="J163" s="11">
        <f>IF($C163="","",ROUND(SQRT($C163*10000/PI()),1))</f>
        <v/>
      </c>
      <c r="N163" s="11">
        <f>IF($A163="","",IFERROR(IF(INDEX(Community_Register!$S$2:$S$402,MATCH($A163,Community_Register!$A$2:$A$402,0))="","",INDEX(Community_Register!$S$2:$S$402,MATCH($A163,Community_Register!$A$2:$A$402,0))),""))</f>
        <v/>
      </c>
      <c r="O163" s="11">
        <f>IF($A163="","",IFERROR(IF(INDEX(Community_Register!$V$2:$V$402,MATCH($A163,Community_Register!$A$2:$A$402,0))="","",INDEX(Community_Register!$V$2:$V$402,MATCH($A163,Community_Register!$A$2:$A$402,0))),""))</f>
        <v/>
      </c>
      <c r="P163" s="11">
        <f>IF(OR($C163="",$N163="",NOT(ISNUMBER($N163))),"",$N163/$C163)</f>
        <v/>
      </c>
      <c r="Q163" s="11">
        <f>IF($C163="","",IF(OR($N163="",NOT(ISNUMBER($N163))),"B",IF(ABS($P163-1)&lt;=0.3,"A",IF(OR($P163&gt;2,$P163&lt;0.5),"C","B"))))</f>
        <v/>
      </c>
    </row>
    <row r="164">
      <c r="B164" s="11">
        <f>IF($A164="","",IFERROR(IF(INDEX(Community_Register!$B$2:$B$402,MATCH($A164,Community_Register!$A$2:$A$402,0))="","",INDEX(Community_Register!$B$2:$B$402,MATCH($A164,Community_Register!$A$2:$A$402,0))),""))</f>
        <v/>
      </c>
      <c r="H164" s="11">
        <f>IF($C164="","",IF($C164&lt;1,"yes","no"))</f>
        <v/>
      </c>
      <c r="I164" s="11">
        <f>IF($C164="","",IF($C164&lt;2.6,"r75",IF($C164&lt;5.2,"r110",IF($C164&lt;9.9,"r150",IF($C164&lt;19.8,"r210","r300")))))</f>
        <v/>
      </c>
      <c r="J164" s="11">
        <f>IF($C164="","",ROUND(SQRT($C164*10000/PI()),1))</f>
        <v/>
      </c>
      <c r="N164" s="11">
        <f>IF($A164="","",IFERROR(IF(INDEX(Community_Register!$S$2:$S$402,MATCH($A164,Community_Register!$A$2:$A$402,0))="","",INDEX(Community_Register!$S$2:$S$402,MATCH($A164,Community_Register!$A$2:$A$402,0))),""))</f>
        <v/>
      </c>
      <c r="O164" s="11">
        <f>IF($A164="","",IFERROR(IF(INDEX(Community_Register!$V$2:$V$402,MATCH($A164,Community_Register!$A$2:$A$402,0))="","",INDEX(Community_Register!$V$2:$V$402,MATCH($A164,Community_Register!$A$2:$A$402,0))),""))</f>
        <v/>
      </c>
      <c r="P164" s="11">
        <f>IF(OR($C164="",$N164="",NOT(ISNUMBER($N164))),"",$N164/$C164)</f>
        <v/>
      </c>
      <c r="Q164" s="11">
        <f>IF($C164="","",IF(OR($N164="",NOT(ISNUMBER($N164))),"B",IF(ABS($P164-1)&lt;=0.3,"A",IF(OR($P164&gt;2,$P164&lt;0.5),"C","B"))))</f>
        <v/>
      </c>
    </row>
    <row r="165">
      <c r="B165" s="11">
        <f>IF($A165="","",IFERROR(IF(INDEX(Community_Register!$B$2:$B$402,MATCH($A165,Community_Register!$A$2:$A$402,0))="","",INDEX(Community_Register!$B$2:$B$402,MATCH($A165,Community_Register!$A$2:$A$402,0))),""))</f>
        <v/>
      </c>
      <c r="H165" s="11">
        <f>IF($C165="","",IF($C165&lt;1,"yes","no"))</f>
        <v/>
      </c>
      <c r="I165" s="11">
        <f>IF($C165="","",IF($C165&lt;2.6,"r75",IF($C165&lt;5.2,"r110",IF($C165&lt;9.9,"r150",IF($C165&lt;19.8,"r210","r300")))))</f>
        <v/>
      </c>
      <c r="J165" s="11">
        <f>IF($C165="","",ROUND(SQRT($C165*10000/PI()),1))</f>
        <v/>
      </c>
      <c r="N165" s="11">
        <f>IF($A165="","",IFERROR(IF(INDEX(Community_Register!$S$2:$S$402,MATCH($A165,Community_Register!$A$2:$A$402,0))="","",INDEX(Community_Register!$S$2:$S$402,MATCH($A165,Community_Register!$A$2:$A$402,0))),""))</f>
        <v/>
      </c>
      <c r="O165" s="11">
        <f>IF($A165="","",IFERROR(IF(INDEX(Community_Register!$V$2:$V$402,MATCH($A165,Community_Register!$A$2:$A$402,0))="","",INDEX(Community_Register!$V$2:$V$402,MATCH($A165,Community_Register!$A$2:$A$402,0))),""))</f>
        <v/>
      </c>
      <c r="P165" s="11">
        <f>IF(OR($C165="",$N165="",NOT(ISNUMBER($N165))),"",$N165/$C165)</f>
        <v/>
      </c>
      <c r="Q165" s="11">
        <f>IF($C165="","",IF(OR($N165="",NOT(ISNUMBER($N165))),"B",IF(ABS($P165-1)&lt;=0.3,"A",IF(OR($P165&gt;2,$P165&lt;0.5),"C","B"))))</f>
        <v/>
      </c>
    </row>
    <row r="166">
      <c r="B166" s="11">
        <f>IF($A166="","",IFERROR(IF(INDEX(Community_Register!$B$2:$B$402,MATCH($A166,Community_Register!$A$2:$A$402,0))="","",INDEX(Community_Register!$B$2:$B$402,MATCH($A166,Community_Register!$A$2:$A$402,0))),""))</f>
        <v/>
      </c>
      <c r="H166" s="11">
        <f>IF($C166="","",IF($C166&lt;1,"yes","no"))</f>
        <v/>
      </c>
      <c r="I166" s="11">
        <f>IF($C166="","",IF($C166&lt;2.6,"r75",IF($C166&lt;5.2,"r110",IF($C166&lt;9.9,"r150",IF($C166&lt;19.8,"r210","r300")))))</f>
        <v/>
      </c>
      <c r="J166" s="11">
        <f>IF($C166="","",ROUND(SQRT($C166*10000/PI()),1))</f>
        <v/>
      </c>
      <c r="N166" s="11">
        <f>IF($A166="","",IFERROR(IF(INDEX(Community_Register!$S$2:$S$402,MATCH($A166,Community_Register!$A$2:$A$402,0))="","",INDEX(Community_Register!$S$2:$S$402,MATCH($A166,Community_Register!$A$2:$A$402,0))),""))</f>
        <v/>
      </c>
      <c r="O166" s="11">
        <f>IF($A166="","",IFERROR(IF(INDEX(Community_Register!$V$2:$V$402,MATCH($A166,Community_Register!$A$2:$A$402,0))="","",INDEX(Community_Register!$V$2:$V$402,MATCH($A166,Community_Register!$A$2:$A$402,0))),""))</f>
        <v/>
      </c>
      <c r="P166" s="11">
        <f>IF(OR($C166="",$N166="",NOT(ISNUMBER($N166))),"",$N166/$C166)</f>
        <v/>
      </c>
      <c r="Q166" s="11">
        <f>IF($C166="","",IF(OR($N166="",NOT(ISNUMBER($N166))),"B",IF(ABS($P166-1)&lt;=0.3,"A",IF(OR($P166&gt;2,$P166&lt;0.5),"C","B"))))</f>
        <v/>
      </c>
    </row>
    <row r="167">
      <c r="B167" s="11">
        <f>IF($A167="","",IFERROR(IF(INDEX(Community_Register!$B$2:$B$402,MATCH($A167,Community_Register!$A$2:$A$402,0))="","",INDEX(Community_Register!$B$2:$B$402,MATCH($A167,Community_Register!$A$2:$A$402,0))),""))</f>
        <v/>
      </c>
      <c r="H167" s="11">
        <f>IF($C167="","",IF($C167&lt;1,"yes","no"))</f>
        <v/>
      </c>
      <c r="I167" s="11">
        <f>IF($C167="","",IF($C167&lt;2.6,"r75",IF($C167&lt;5.2,"r110",IF($C167&lt;9.9,"r150",IF($C167&lt;19.8,"r210","r300")))))</f>
        <v/>
      </c>
      <c r="J167" s="11">
        <f>IF($C167="","",ROUND(SQRT($C167*10000/PI()),1))</f>
        <v/>
      </c>
      <c r="N167" s="11">
        <f>IF($A167="","",IFERROR(IF(INDEX(Community_Register!$S$2:$S$402,MATCH($A167,Community_Register!$A$2:$A$402,0))="","",INDEX(Community_Register!$S$2:$S$402,MATCH($A167,Community_Register!$A$2:$A$402,0))),""))</f>
        <v/>
      </c>
      <c r="O167" s="11">
        <f>IF($A167="","",IFERROR(IF(INDEX(Community_Register!$V$2:$V$402,MATCH($A167,Community_Register!$A$2:$A$402,0))="","",INDEX(Community_Register!$V$2:$V$402,MATCH($A167,Community_Register!$A$2:$A$402,0))),""))</f>
        <v/>
      </c>
      <c r="P167" s="11">
        <f>IF(OR($C167="",$N167="",NOT(ISNUMBER($N167))),"",$N167/$C167)</f>
        <v/>
      </c>
      <c r="Q167" s="11">
        <f>IF($C167="","",IF(OR($N167="",NOT(ISNUMBER($N167))),"B",IF(ABS($P167-1)&lt;=0.3,"A",IF(OR($P167&gt;2,$P167&lt;0.5),"C","B"))))</f>
        <v/>
      </c>
    </row>
    <row r="168">
      <c r="B168" s="11">
        <f>IF($A168="","",IFERROR(IF(INDEX(Community_Register!$B$2:$B$402,MATCH($A168,Community_Register!$A$2:$A$402,0))="","",INDEX(Community_Register!$B$2:$B$402,MATCH($A168,Community_Register!$A$2:$A$402,0))),""))</f>
        <v/>
      </c>
      <c r="H168" s="11">
        <f>IF($C168="","",IF($C168&lt;1,"yes","no"))</f>
        <v/>
      </c>
      <c r="I168" s="11">
        <f>IF($C168="","",IF($C168&lt;2.6,"r75",IF($C168&lt;5.2,"r110",IF($C168&lt;9.9,"r150",IF($C168&lt;19.8,"r210","r300")))))</f>
        <v/>
      </c>
      <c r="J168" s="11">
        <f>IF($C168="","",ROUND(SQRT($C168*10000/PI()),1))</f>
        <v/>
      </c>
      <c r="N168" s="11">
        <f>IF($A168="","",IFERROR(IF(INDEX(Community_Register!$S$2:$S$402,MATCH($A168,Community_Register!$A$2:$A$402,0))="","",INDEX(Community_Register!$S$2:$S$402,MATCH($A168,Community_Register!$A$2:$A$402,0))),""))</f>
        <v/>
      </c>
      <c r="O168" s="11">
        <f>IF($A168="","",IFERROR(IF(INDEX(Community_Register!$V$2:$V$402,MATCH($A168,Community_Register!$A$2:$A$402,0))="","",INDEX(Community_Register!$V$2:$V$402,MATCH($A168,Community_Register!$A$2:$A$402,0))),""))</f>
        <v/>
      </c>
      <c r="P168" s="11">
        <f>IF(OR($C168="",$N168="",NOT(ISNUMBER($N168))),"",$N168/$C168)</f>
        <v/>
      </c>
      <c r="Q168" s="11">
        <f>IF($C168="","",IF(OR($N168="",NOT(ISNUMBER($N168))),"B",IF(ABS($P168-1)&lt;=0.3,"A",IF(OR($P168&gt;2,$P168&lt;0.5),"C","B"))))</f>
        <v/>
      </c>
    </row>
    <row r="169">
      <c r="B169" s="11">
        <f>IF($A169="","",IFERROR(IF(INDEX(Community_Register!$B$2:$B$402,MATCH($A169,Community_Register!$A$2:$A$402,0))="","",INDEX(Community_Register!$B$2:$B$402,MATCH($A169,Community_Register!$A$2:$A$402,0))),""))</f>
        <v/>
      </c>
      <c r="H169" s="11">
        <f>IF($C169="","",IF($C169&lt;1,"yes","no"))</f>
        <v/>
      </c>
      <c r="I169" s="11">
        <f>IF($C169="","",IF($C169&lt;2.6,"r75",IF($C169&lt;5.2,"r110",IF($C169&lt;9.9,"r150",IF($C169&lt;19.8,"r210","r300")))))</f>
        <v/>
      </c>
      <c r="J169" s="11">
        <f>IF($C169="","",ROUND(SQRT($C169*10000/PI()),1))</f>
        <v/>
      </c>
      <c r="N169" s="11">
        <f>IF($A169="","",IFERROR(IF(INDEX(Community_Register!$S$2:$S$402,MATCH($A169,Community_Register!$A$2:$A$402,0))="","",INDEX(Community_Register!$S$2:$S$402,MATCH($A169,Community_Register!$A$2:$A$402,0))),""))</f>
        <v/>
      </c>
      <c r="O169" s="11">
        <f>IF($A169="","",IFERROR(IF(INDEX(Community_Register!$V$2:$V$402,MATCH($A169,Community_Register!$A$2:$A$402,0))="","",INDEX(Community_Register!$V$2:$V$402,MATCH($A169,Community_Register!$A$2:$A$402,0))),""))</f>
        <v/>
      </c>
      <c r="P169" s="11">
        <f>IF(OR($C169="",$N169="",NOT(ISNUMBER($N169))),"",$N169/$C169)</f>
        <v/>
      </c>
      <c r="Q169" s="11">
        <f>IF($C169="","",IF(OR($N169="",NOT(ISNUMBER($N169))),"B",IF(ABS($P169-1)&lt;=0.3,"A",IF(OR($P169&gt;2,$P169&lt;0.5),"C","B"))))</f>
        <v/>
      </c>
    </row>
    <row r="170">
      <c r="B170" s="11">
        <f>IF($A170="","",IFERROR(IF(INDEX(Community_Register!$B$2:$B$402,MATCH($A170,Community_Register!$A$2:$A$402,0))="","",INDEX(Community_Register!$B$2:$B$402,MATCH($A170,Community_Register!$A$2:$A$402,0))),""))</f>
        <v/>
      </c>
      <c r="H170" s="11">
        <f>IF($C170="","",IF($C170&lt;1,"yes","no"))</f>
        <v/>
      </c>
      <c r="I170" s="11">
        <f>IF($C170="","",IF($C170&lt;2.6,"r75",IF($C170&lt;5.2,"r110",IF($C170&lt;9.9,"r150",IF($C170&lt;19.8,"r210","r300")))))</f>
        <v/>
      </c>
      <c r="J170" s="11">
        <f>IF($C170="","",ROUND(SQRT($C170*10000/PI()),1))</f>
        <v/>
      </c>
      <c r="N170" s="11">
        <f>IF($A170="","",IFERROR(IF(INDEX(Community_Register!$S$2:$S$402,MATCH($A170,Community_Register!$A$2:$A$402,0))="","",INDEX(Community_Register!$S$2:$S$402,MATCH($A170,Community_Register!$A$2:$A$402,0))),""))</f>
        <v/>
      </c>
      <c r="O170" s="11">
        <f>IF($A170="","",IFERROR(IF(INDEX(Community_Register!$V$2:$V$402,MATCH($A170,Community_Register!$A$2:$A$402,0))="","",INDEX(Community_Register!$V$2:$V$402,MATCH($A170,Community_Register!$A$2:$A$402,0))),""))</f>
        <v/>
      </c>
      <c r="P170" s="11">
        <f>IF(OR($C170="",$N170="",NOT(ISNUMBER($N170))),"",$N170/$C170)</f>
        <v/>
      </c>
      <c r="Q170" s="11">
        <f>IF($C170="","",IF(OR($N170="",NOT(ISNUMBER($N170))),"B",IF(ABS($P170-1)&lt;=0.3,"A",IF(OR($P170&gt;2,$P170&lt;0.5),"C","B"))))</f>
        <v/>
      </c>
    </row>
    <row r="171">
      <c r="B171" s="11">
        <f>IF($A171="","",IFERROR(IF(INDEX(Community_Register!$B$2:$B$402,MATCH($A171,Community_Register!$A$2:$A$402,0))="","",INDEX(Community_Register!$B$2:$B$402,MATCH($A171,Community_Register!$A$2:$A$402,0))),""))</f>
        <v/>
      </c>
      <c r="H171" s="11">
        <f>IF($C171="","",IF($C171&lt;1,"yes","no"))</f>
        <v/>
      </c>
      <c r="I171" s="11">
        <f>IF($C171="","",IF($C171&lt;2.6,"r75",IF($C171&lt;5.2,"r110",IF($C171&lt;9.9,"r150",IF($C171&lt;19.8,"r210","r300")))))</f>
        <v/>
      </c>
      <c r="J171" s="11">
        <f>IF($C171="","",ROUND(SQRT($C171*10000/PI()),1))</f>
        <v/>
      </c>
      <c r="N171" s="11">
        <f>IF($A171="","",IFERROR(IF(INDEX(Community_Register!$S$2:$S$402,MATCH($A171,Community_Register!$A$2:$A$402,0))="","",INDEX(Community_Register!$S$2:$S$402,MATCH($A171,Community_Register!$A$2:$A$402,0))),""))</f>
        <v/>
      </c>
      <c r="O171" s="11">
        <f>IF($A171="","",IFERROR(IF(INDEX(Community_Register!$V$2:$V$402,MATCH($A171,Community_Register!$A$2:$A$402,0))="","",INDEX(Community_Register!$V$2:$V$402,MATCH($A171,Community_Register!$A$2:$A$402,0))),""))</f>
        <v/>
      </c>
      <c r="P171" s="11">
        <f>IF(OR($C171="",$N171="",NOT(ISNUMBER($N171))),"",$N171/$C171)</f>
        <v/>
      </c>
      <c r="Q171" s="11">
        <f>IF($C171="","",IF(OR($N171="",NOT(ISNUMBER($N171))),"B",IF(ABS($P171-1)&lt;=0.3,"A",IF(OR($P171&gt;2,$P171&lt;0.5),"C","B"))))</f>
        <v/>
      </c>
    </row>
    <row r="172">
      <c r="B172" s="11">
        <f>IF($A172="","",IFERROR(IF(INDEX(Community_Register!$B$2:$B$402,MATCH($A172,Community_Register!$A$2:$A$402,0))="","",INDEX(Community_Register!$B$2:$B$402,MATCH($A172,Community_Register!$A$2:$A$402,0))),""))</f>
        <v/>
      </c>
      <c r="H172" s="11">
        <f>IF($C172="","",IF($C172&lt;1,"yes","no"))</f>
        <v/>
      </c>
      <c r="I172" s="11">
        <f>IF($C172="","",IF($C172&lt;2.6,"r75",IF($C172&lt;5.2,"r110",IF($C172&lt;9.9,"r150",IF($C172&lt;19.8,"r210","r300")))))</f>
        <v/>
      </c>
      <c r="J172" s="11">
        <f>IF($C172="","",ROUND(SQRT($C172*10000/PI()),1))</f>
        <v/>
      </c>
      <c r="N172" s="11">
        <f>IF($A172="","",IFERROR(IF(INDEX(Community_Register!$S$2:$S$402,MATCH($A172,Community_Register!$A$2:$A$402,0))="","",INDEX(Community_Register!$S$2:$S$402,MATCH($A172,Community_Register!$A$2:$A$402,0))),""))</f>
        <v/>
      </c>
      <c r="O172" s="11">
        <f>IF($A172="","",IFERROR(IF(INDEX(Community_Register!$V$2:$V$402,MATCH($A172,Community_Register!$A$2:$A$402,0))="","",INDEX(Community_Register!$V$2:$V$402,MATCH($A172,Community_Register!$A$2:$A$402,0))),""))</f>
        <v/>
      </c>
      <c r="P172" s="11">
        <f>IF(OR($C172="",$N172="",NOT(ISNUMBER($N172))),"",$N172/$C172)</f>
        <v/>
      </c>
      <c r="Q172" s="11">
        <f>IF($C172="","",IF(OR($N172="",NOT(ISNUMBER($N172))),"B",IF(ABS($P172-1)&lt;=0.3,"A",IF(OR($P172&gt;2,$P172&lt;0.5),"C","B"))))</f>
        <v/>
      </c>
    </row>
    <row r="173">
      <c r="B173" s="11">
        <f>IF($A173="","",IFERROR(IF(INDEX(Community_Register!$B$2:$B$402,MATCH($A173,Community_Register!$A$2:$A$402,0))="","",INDEX(Community_Register!$B$2:$B$402,MATCH($A173,Community_Register!$A$2:$A$402,0))),""))</f>
        <v/>
      </c>
      <c r="H173" s="11">
        <f>IF($C173="","",IF($C173&lt;1,"yes","no"))</f>
        <v/>
      </c>
      <c r="I173" s="11">
        <f>IF($C173="","",IF($C173&lt;2.6,"r75",IF($C173&lt;5.2,"r110",IF($C173&lt;9.9,"r150",IF($C173&lt;19.8,"r210","r300")))))</f>
        <v/>
      </c>
      <c r="J173" s="11">
        <f>IF($C173="","",ROUND(SQRT($C173*10000/PI()),1))</f>
        <v/>
      </c>
      <c r="N173" s="11">
        <f>IF($A173="","",IFERROR(IF(INDEX(Community_Register!$S$2:$S$402,MATCH($A173,Community_Register!$A$2:$A$402,0))="","",INDEX(Community_Register!$S$2:$S$402,MATCH($A173,Community_Register!$A$2:$A$402,0))),""))</f>
        <v/>
      </c>
      <c r="O173" s="11">
        <f>IF($A173="","",IFERROR(IF(INDEX(Community_Register!$V$2:$V$402,MATCH($A173,Community_Register!$A$2:$A$402,0))="","",INDEX(Community_Register!$V$2:$V$402,MATCH($A173,Community_Register!$A$2:$A$402,0))),""))</f>
        <v/>
      </c>
      <c r="P173" s="11">
        <f>IF(OR($C173="",$N173="",NOT(ISNUMBER($N173))),"",$N173/$C173)</f>
        <v/>
      </c>
      <c r="Q173" s="11">
        <f>IF($C173="","",IF(OR($N173="",NOT(ISNUMBER($N173))),"B",IF(ABS($P173-1)&lt;=0.3,"A",IF(OR($P173&gt;2,$P173&lt;0.5),"C","B"))))</f>
        <v/>
      </c>
    </row>
    <row r="174">
      <c r="B174" s="11">
        <f>IF($A174="","",IFERROR(IF(INDEX(Community_Register!$B$2:$B$402,MATCH($A174,Community_Register!$A$2:$A$402,0))="","",INDEX(Community_Register!$B$2:$B$402,MATCH($A174,Community_Register!$A$2:$A$402,0))),""))</f>
        <v/>
      </c>
      <c r="H174" s="11">
        <f>IF($C174="","",IF($C174&lt;1,"yes","no"))</f>
        <v/>
      </c>
      <c r="I174" s="11">
        <f>IF($C174="","",IF($C174&lt;2.6,"r75",IF($C174&lt;5.2,"r110",IF($C174&lt;9.9,"r150",IF($C174&lt;19.8,"r210","r300")))))</f>
        <v/>
      </c>
      <c r="J174" s="11">
        <f>IF($C174="","",ROUND(SQRT($C174*10000/PI()),1))</f>
        <v/>
      </c>
      <c r="N174" s="11">
        <f>IF($A174="","",IFERROR(IF(INDEX(Community_Register!$S$2:$S$402,MATCH($A174,Community_Register!$A$2:$A$402,0))="","",INDEX(Community_Register!$S$2:$S$402,MATCH($A174,Community_Register!$A$2:$A$402,0))),""))</f>
        <v/>
      </c>
      <c r="O174" s="11">
        <f>IF($A174="","",IFERROR(IF(INDEX(Community_Register!$V$2:$V$402,MATCH($A174,Community_Register!$A$2:$A$402,0))="","",INDEX(Community_Register!$V$2:$V$402,MATCH($A174,Community_Register!$A$2:$A$402,0))),""))</f>
        <v/>
      </c>
      <c r="P174" s="11">
        <f>IF(OR($C174="",$N174="",NOT(ISNUMBER($N174))),"",$N174/$C174)</f>
        <v/>
      </c>
      <c r="Q174" s="11">
        <f>IF($C174="","",IF(OR($N174="",NOT(ISNUMBER($N174))),"B",IF(ABS($P174-1)&lt;=0.3,"A",IF(OR($P174&gt;2,$P174&lt;0.5),"C","B"))))</f>
        <v/>
      </c>
    </row>
    <row r="175">
      <c r="B175" s="11">
        <f>IF($A175="","",IFERROR(IF(INDEX(Community_Register!$B$2:$B$402,MATCH($A175,Community_Register!$A$2:$A$402,0))="","",INDEX(Community_Register!$B$2:$B$402,MATCH($A175,Community_Register!$A$2:$A$402,0))),""))</f>
        <v/>
      </c>
      <c r="H175" s="11">
        <f>IF($C175="","",IF($C175&lt;1,"yes","no"))</f>
        <v/>
      </c>
      <c r="I175" s="11">
        <f>IF($C175="","",IF($C175&lt;2.6,"r75",IF($C175&lt;5.2,"r110",IF($C175&lt;9.9,"r150",IF($C175&lt;19.8,"r210","r300")))))</f>
        <v/>
      </c>
      <c r="J175" s="11">
        <f>IF($C175="","",ROUND(SQRT($C175*10000/PI()),1))</f>
        <v/>
      </c>
      <c r="N175" s="11">
        <f>IF($A175="","",IFERROR(IF(INDEX(Community_Register!$S$2:$S$402,MATCH($A175,Community_Register!$A$2:$A$402,0))="","",INDEX(Community_Register!$S$2:$S$402,MATCH($A175,Community_Register!$A$2:$A$402,0))),""))</f>
        <v/>
      </c>
      <c r="O175" s="11">
        <f>IF($A175="","",IFERROR(IF(INDEX(Community_Register!$V$2:$V$402,MATCH($A175,Community_Register!$A$2:$A$402,0))="","",INDEX(Community_Register!$V$2:$V$402,MATCH($A175,Community_Register!$A$2:$A$402,0))),""))</f>
        <v/>
      </c>
      <c r="P175" s="11">
        <f>IF(OR($C175="",$N175="",NOT(ISNUMBER($N175))),"",$N175/$C175)</f>
        <v/>
      </c>
      <c r="Q175" s="11">
        <f>IF($C175="","",IF(OR($N175="",NOT(ISNUMBER($N175))),"B",IF(ABS($P175-1)&lt;=0.3,"A",IF(OR($P175&gt;2,$P175&lt;0.5),"C","B"))))</f>
        <v/>
      </c>
    </row>
    <row r="176">
      <c r="B176" s="11">
        <f>IF($A176="","",IFERROR(IF(INDEX(Community_Register!$B$2:$B$402,MATCH($A176,Community_Register!$A$2:$A$402,0))="","",INDEX(Community_Register!$B$2:$B$402,MATCH($A176,Community_Register!$A$2:$A$402,0))),""))</f>
        <v/>
      </c>
      <c r="H176" s="11">
        <f>IF($C176="","",IF($C176&lt;1,"yes","no"))</f>
        <v/>
      </c>
      <c r="I176" s="11">
        <f>IF($C176="","",IF($C176&lt;2.6,"r75",IF($C176&lt;5.2,"r110",IF($C176&lt;9.9,"r150",IF($C176&lt;19.8,"r210","r300")))))</f>
        <v/>
      </c>
      <c r="J176" s="11">
        <f>IF($C176="","",ROUND(SQRT($C176*10000/PI()),1))</f>
        <v/>
      </c>
      <c r="N176" s="11">
        <f>IF($A176="","",IFERROR(IF(INDEX(Community_Register!$S$2:$S$402,MATCH($A176,Community_Register!$A$2:$A$402,0))="","",INDEX(Community_Register!$S$2:$S$402,MATCH($A176,Community_Register!$A$2:$A$402,0))),""))</f>
        <v/>
      </c>
      <c r="O176" s="11">
        <f>IF($A176="","",IFERROR(IF(INDEX(Community_Register!$V$2:$V$402,MATCH($A176,Community_Register!$A$2:$A$402,0))="","",INDEX(Community_Register!$V$2:$V$402,MATCH($A176,Community_Register!$A$2:$A$402,0))),""))</f>
        <v/>
      </c>
      <c r="P176" s="11">
        <f>IF(OR($C176="",$N176="",NOT(ISNUMBER($N176))),"",$N176/$C176)</f>
        <v/>
      </c>
      <c r="Q176" s="11">
        <f>IF($C176="","",IF(OR($N176="",NOT(ISNUMBER($N176))),"B",IF(ABS($P176-1)&lt;=0.3,"A",IF(OR($P176&gt;2,$P176&lt;0.5),"C","B"))))</f>
        <v/>
      </c>
    </row>
    <row r="177">
      <c r="B177" s="11">
        <f>IF($A177="","",IFERROR(IF(INDEX(Community_Register!$B$2:$B$402,MATCH($A177,Community_Register!$A$2:$A$402,0))="","",INDEX(Community_Register!$B$2:$B$402,MATCH($A177,Community_Register!$A$2:$A$402,0))),""))</f>
        <v/>
      </c>
      <c r="H177" s="11">
        <f>IF($C177="","",IF($C177&lt;1,"yes","no"))</f>
        <v/>
      </c>
      <c r="I177" s="11">
        <f>IF($C177="","",IF($C177&lt;2.6,"r75",IF($C177&lt;5.2,"r110",IF($C177&lt;9.9,"r150",IF($C177&lt;19.8,"r210","r300")))))</f>
        <v/>
      </c>
      <c r="J177" s="11">
        <f>IF($C177="","",ROUND(SQRT($C177*10000/PI()),1))</f>
        <v/>
      </c>
      <c r="N177" s="11">
        <f>IF($A177="","",IFERROR(IF(INDEX(Community_Register!$S$2:$S$402,MATCH($A177,Community_Register!$A$2:$A$402,0))="","",INDEX(Community_Register!$S$2:$S$402,MATCH($A177,Community_Register!$A$2:$A$402,0))),""))</f>
        <v/>
      </c>
      <c r="O177" s="11">
        <f>IF($A177="","",IFERROR(IF(INDEX(Community_Register!$V$2:$V$402,MATCH($A177,Community_Register!$A$2:$A$402,0))="","",INDEX(Community_Register!$V$2:$V$402,MATCH($A177,Community_Register!$A$2:$A$402,0))),""))</f>
        <v/>
      </c>
      <c r="P177" s="11">
        <f>IF(OR($C177="",$N177="",NOT(ISNUMBER($N177))),"",$N177/$C177)</f>
        <v/>
      </c>
      <c r="Q177" s="11">
        <f>IF($C177="","",IF(OR($N177="",NOT(ISNUMBER($N177))),"B",IF(ABS($P177-1)&lt;=0.3,"A",IF(OR($P177&gt;2,$P177&lt;0.5),"C","B"))))</f>
        <v/>
      </c>
    </row>
    <row r="178">
      <c r="B178" s="11">
        <f>IF($A178="","",IFERROR(IF(INDEX(Community_Register!$B$2:$B$402,MATCH($A178,Community_Register!$A$2:$A$402,0))="","",INDEX(Community_Register!$B$2:$B$402,MATCH($A178,Community_Register!$A$2:$A$402,0))),""))</f>
        <v/>
      </c>
      <c r="H178" s="11">
        <f>IF($C178="","",IF($C178&lt;1,"yes","no"))</f>
        <v/>
      </c>
      <c r="I178" s="11">
        <f>IF($C178="","",IF($C178&lt;2.6,"r75",IF($C178&lt;5.2,"r110",IF($C178&lt;9.9,"r150",IF($C178&lt;19.8,"r210","r300")))))</f>
        <v/>
      </c>
      <c r="J178" s="11">
        <f>IF($C178="","",ROUND(SQRT($C178*10000/PI()),1))</f>
        <v/>
      </c>
      <c r="N178" s="11">
        <f>IF($A178="","",IFERROR(IF(INDEX(Community_Register!$S$2:$S$402,MATCH($A178,Community_Register!$A$2:$A$402,0))="","",INDEX(Community_Register!$S$2:$S$402,MATCH($A178,Community_Register!$A$2:$A$402,0))),""))</f>
        <v/>
      </c>
      <c r="O178" s="11">
        <f>IF($A178="","",IFERROR(IF(INDEX(Community_Register!$V$2:$V$402,MATCH($A178,Community_Register!$A$2:$A$402,0))="","",INDEX(Community_Register!$V$2:$V$402,MATCH($A178,Community_Register!$A$2:$A$402,0))),""))</f>
        <v/>
      </c>
      <c r="P178" s="11">
        <f>IF(OR($C178="",$N178="",NOT(ISNUMBER($N178))),"",$N178/$C178)</f>
        <v/>
      </c>
      <c r="Q178" s="11">
        <f>IF($C178="","",IF(OR($N178="",NOT(ISNUMBER($N178))),"B",IF(ABS($P178-1)&lt;=0.3,"A",IF(OR($P178&gt;2,$P178&lt;0.5),"C","B"))))</f>
        <v/>
      </c>
    </row>
    <row r="179">
      <c r="B179" s="11">
        <f>IF($A179="","",IFERROR(IF(INDEX(Community_Register!$B$2:$B$402,MATCH($A179,Community_Register!$A$2:$A$402,0))="","",INDEX(Community_Register!$B$2:$B$402,MATCH($A179,Community_Register!$A$2:$A$402,0))),""))</f>
        <v/>
      </c>
      <c r="H179" s="11">
        <f>IF($C179="","",IF($C179&lt;1,"yes","no"))</f>
        <v/>
      </c>
      <c r="I179" s="11">
        <f>IF($C179="","",IF($C179&lt;2.6,"r75",IF($C179&lt;5.2,"r110",IF($C179&lt;9.9,"r150",IF($C179&lt;19.8,"r210","r300")))))</f>
        <v/>
      </c>
      <c r="J179" s="11">
        <f>IF($C179="","",ROUND(SQRT($C179*10000/PI()),1))</f>
        <v/>
      </c>
      <c r="N179" s="11">
        <f>IF($A179="","",IFERROR(IF(INDEX(Community_Register!$S$2:$S$402,MATCH($A179,Community_Register!$A$2:$A$402,0))="","",INDEX(Community_Register!$S$2:$S$402,MATCH($A179,Community_Register!$A$2:$A$402,0))),""))</f>
        <v/>
      </c>
      <c r="O179" s="11">
        <f>IF($A179="","",IFERROR(IF(INDEX(Community_Register!$V$2:$V$402,MATCH($A179,Community_Register!$A$2:$A$402,0))="","",INDEX(Community_Register!$V$2:$V$402,MATCH($A179,Community_Register!$A$2:$A$402,0))),""))</f>
        <v/>
      </c>
      <c r="P179" s="11">
        <f>IF(OR($C179="",$N179="",NOT(ISNUMBER($N179))),"",$N179/$C179)</f>
        <v/>
      </c>
      <c r="Q179" s="11">
        <f>IF($C179="","",IF(OR($N179="",NOT(ISNUMBER($N179))),"B",IF(ABS($P179-1)&lt;=0.3,"A",IF(OR($P179&gt;2,$P179&lt;0.5),"C","B"))))</f>
        <v/>
      </c>
    </row>
    <row r="180">
      <c r="B180" s="11">
        <f>IF($A180="","",IFERROR(IF(INDEX(Community_Register!$B$2:$B$402,MATCH($A180,Community_Register!$A$2:$A$402,0))="","",INDEX(Community_Register!$B$2:$B$402,MATCH($A180,Community_Register!$A$2:$A$402,0))),""))</f>
        <v/>
      </c>
      <c r="H180" s="11">
        <f>IF($C180="","",IF($C180&lt;1,"yes","no"))</f>
        <v/>
      </c>
      <c r="I180" s="11">
        <f>IF($C180="","",IF($C180&lt;2.6,"r75",IF($C180&lt;5.2,"r110",IF($C180&lt;9.9,"r150",IF($C180&lt;19.8,"r210","r300")))))</f>
        <v/>
      </c>
      <c r="J180" s="11">
        <f>IF($C180="","",ROUND(SQRT($C180*10000/PI()),1))</f>
        <v/>
      </c>
      <c r="N180" s="11">
        <f>IF($A180="","",IFERROR(IF(INDEX(Community_Register!$S$2:$S$402,MATCH($A180,Community_Register!$A$2:$A$402,0))="","",INDEX(Community_Register!$S$2:$S$402,MATCH($A180,Community_Register!$A$2:$A$402,0))),""))</f>
        <v/>
      </c>
      <c r="O180" s="11">
        <f>IF($A180="","",IFERROR(IF(INDEX(Community_Register!$V$2:$V$402,MATCH($A180,Community_Register!$A$2:$A$402,0))="","",INDEX(Community_Register!$V$2:$V$402,MATCH($A180,Community_Register!$A$2:$A$402,0))),""))</f>
        <v/>
      </c>
      <c r="P180" s="11">
        <f>IF(OR($C180="",$N180="",NOT(ISNUMBER($N180))),"",$N180/$C180)</f>
        <v/>
      </c>
      <c r="Q180" s="11">
        <f>IF($C180="","",IF(OR($N180="",NOT(ISNUMBER($N180))),"B",IF(ABS($P180-1)&lt;=0.3,"A",IF(OR($P180&gt;2,$P180&lt;0.5),"C","B"))))</f>
        <v/>
      </c>
    </row>
    <row r="181">
      <c r="B181" s="11">
        <f>IF($A181="","",IFERROR(IF(INDEX(Community_Register!$B$2:$B$402,MATCH($A181,Community_Register!$A$2:$A$402,0))="","",INDEX(Community_Register!$B$2:$B$402,MATCH($A181,Community_Register!$A$2:$A$402,0))),""))</f>
        <v/>
      </c>
      <c r="H181" s="11">
        <f>IF($C181="","",IF($C181&lt;1,"yes","no"))</f>
        <v/>
      </c>
      <c r="I181" s="11">
        <f>IF($C181="","",IF($C181&lt;2.6,"r75",IF($C181&lt;5.2,"r110",IF($C181&lt;9.9,"r150",IF($C181&lt;19.8,"r210","r300")))))</f>
        <v/>
      </c>
      <c r="J181" s="11">
        <f>IF($C181="","",ROUND(SQRT($C181*10000/PI()),1))</f>
        <v/>
      </c>
      <c r="N181" s="11">
        <f>IF($A181="","",IFERROR(IF(INDEX(Community_Register!$S$2:$S$402,MATCH($A181,Community_Register!$A$2:$A$402,0))="","",INDEX(Community_Register!$S$2:$S$402,MATCH($A181,Community_Register!$A$2:$A$402,0))),""))</f>
        <v/>
      </c>
      <c r="O181" s="11">
        <f>IF($A181="","",IFERROR(IF(INDEX(Community_Register!$V$2:$V$402,MATCH($A181,Community_Register!$A$2:$A$402,0))="","",INDEX(Community_Register!$V$2:$V$402,MATCH($A181,Community_Register!$A$2:$A$402,0))),""))</f>
        <v/>
      </c>
      <c r="P181" s="11">
        <f>IF(OR($C181="",$N181="",NOT(ISNUMBER($N181))),"",$N181/$C181)</f>
        <v/>
      </c>
      <c r="Q181" s="11">
        <f>IF($C181="","",IF(OR($N181="",NOT(ISNUMBER($N181))),"B",IF(ABS($P181-1)&lt;=0.3,"A",IF(OR($P181&gt;2,$P181&lt;0.5),"C","B"))))</f>
        <v/>
      </c>
    </row>
    <row r="182">
      <c r="B182" s="11">
        <f>IF($A182="","",IFERROR(IF(INDEX(Community_Register!$B$2:$B$402,MATCH($A182,Community_Register!$A$2:$A$402,0))="","",INDEX(Community_Register!$B$2:$B$402,MATCH($A182,Community_Register!$A$2:$A$402,0))),""))</f>
        <v/>
      </c>
      <c r="H182" s="11">
        <f>IF($C182="","",IF($C182&lt;1,"yes","no"))</f>
        <v/>
      </c>
      <c r="I182" s="11">
        <f>IF($C182="","",IF($C182&lt;2.6,"r75",IF($C182&lt;5.2,"r110",IF($C182&lt;9.9,"r150",IF($C182&lt;19.8,"r210","r300")))))</f>
        <v/>
      </c>
      <c r="J182" s="11">
        <f>IF($C182="","",ROUND(SQRT($C182*10000/PI()),1))</f>
        <v/>
      </c>
      <c r="N182" s="11">
        <f>IF($A182="","",IFERROR(IF(INDEX(Community_Register!$S$2:$S$402,MATCH($A182,Community_Register!$A$2:$A$402,0))="","",INDEX(Community_Register!$S$2:$S$402,MATCH($A182,Community_Register!$A$2:$A$402,0))),""))</f>
        <v/>
      </c>
      <c r="O182" s="11">
        <f>IF($A182="","",IFERROR(IF(INDEX(Community_Register!$V$2:$V$402,MATCH($A182,Community_Register!$A$2:$A$402,0))="","",INDEX(Community_Register!$V$2:$V$402,MATCH($A182,Community_Register!$A$2:$A$402,0))),""))</f>
        <v/>
      </c>
      <c r="P182" s="11">
        <f>IF(OR($C182="",$N182="",NOT(ISNUMBER($N182))),"",$N182/$C182)</f>
        <v/>
      </c>
      <c r="Q182" s="11">
        <f>IF($C182="","",IF(OR($N182="",NOT(ISNUMBER($N182))),"B",IF(ABS($P182-1)&lt;=0.3,"A",IF(OR($P182&gt;2,$P182&lt;0.5),"C","B"))))</f>
        <v/>
      </c>
    </row>
    <row r="183">
      <c r="B183" s="11">
        <f>IF($A183="","",IFERROR(IF(INDEX(Community_Register!$B$2:$B$402,MATCH($A183,Community_Register!$A$2:$A$402,0))="","",INDEX(Community_Register!$B$2:$B$402,MATCH($A183,Community_Register!$A$2:$A$402,0))),""))</f>
        <v/>
      </c>
      <c r="H183" s="11">
        <f>IF($C183="","",IF($C183&lt;1,"yes","no"))</f>
        <v/>
      </c>
      <c r="I183" s="11">
        <f>IF($C183="","",IF($C183&lt;2.6,"r75",IF($C183&lt;5.2,"r110",IF($C183&lt;9.9,"r150",IF($C183&lt;19.8,"r210","r300")))))</f>
        <v/>
      </c>
      <c r="J183" s="11">
        <f>IF($C183="","",ROUND(SQRT($C183*10000/PI()),1))</f>
        <v/>
      </c>
      <c r="N183" s="11">
        <f>IF($A183="","",IFERROR(IF(INDEX(Community_Register!$S$2:$S$402,MATCH($A183,Community_Register!$A$2:$A$402,0))="","",INDEX(Community_Register!$S$2:$S$402,MATCH($A183,Community_Register!$A$2:$A$402,0))),""))</f>
        <v/>
      </c>
      <c r="O183" s="11">
        <f>IF($A183="","",IFERROR(IF(INDEX(Community_Register!$V$2:$V$402,MATCH($A183,Community_Register!$A$2:$A$402,0))="","",INDEX(Community_Register!$V$2:$V$402,MATCH($A183,Community_Register!$A$2:$A$402,0))),""))</f>
        <v/>
      </c>
      <c r="P183" s="11">
        <f>IF(OR($C183="",$N183="",NOT(ISNUMBER($N183))),"",$N183/$C183)</f>
        <v/>
      </c>
      <c r="Q183" s="11">
        <f>IF($C183="","",IF(OR($N183="",NOT(ISNUMBER($N183))),"B",IF(ABS($P183-1)&lt;=0.3,"A",IF(OR($P183&gt;2,$P183&lt;0.5),"C","B"))))</f>
        <v/>
      </c>
    </row>
    <row r="184">
      <c r="B184" s="11">
        <f>IF($A184="","",IFERROR(IF(INDEX(Community_Register!$B$2:$B$402,MATCH($A184,Community_Register!$A$2:$A$402,0))="","",INDEX(Community_Register!$B$2:$B$402,MATCH($A184,Community_Register!$A$2:$A$402,0))),""))</f>
        <v/>
      </c>
      <c r="H184" s="11">
        <f>IF($C184="","",IF($C184&lt;1,"yes","no"))</f>
        <v/>
      </c>
      <c r="I184" s="11">
        <f>IF($C184="","",IF($C184&lt;2.6,"r75",IF($C184&lt;5.2,"r110",IF($C184&lt;9.9,"r150",IF($C184&lt;19.8,"r210","r300")))))</f>
        <v/>
      </c>
      <c r="J184" s="11">
        <f>IF($C184="","",ROUND(SQRT($C184*10000/PI()),1))</f>
        <v/>
      </c>
      <c r="N184" s="11">
        <f>IF($A184="","",IFERROR(IF(INDEX(Community_Register!$S$2:$S$402,MATCH($A184,Community_Register!$A$2:$A$402,0))="","",INDEX(Community_Register!$S$2:$S$402,MATCH($A184,Community_Register!$A$2:$A$402,0))),""))</f>
        <v/>
      </c>
      <c r="O184" s="11">
        <f>IF($A184="","",IFERROR(IF(INDEX(Community_Register!$V$2:$V$402,MATCH($A184,Community_Register!$A$2:$A$402,0))="","",INDEX(Community_Register!$V$2:$V$402,MATCH($A184,Community_Register!$A$2:$A$402,0))),""))</f>
        <v/>
      </c>
      <c r="P184" s="11">
        <f>IF(OR($C184="",$N184="",NOT(ISNUMBER($N184))),"",$N184/$C184)</f>
        <v/>
      </c>
      <c r="Q184" s="11">
        <f>IF($C184="","",IF(OR($N184="",NOT(ISNUMBER($N184))),"B",IF(ABS($P184-1)&lt;=0.3,"A",IF(OR($P184&gt;2,$P184&lt;0.5),"C","B"))))</f>
        <v/>
      </c>
    </row>
    <row r="185">
      <c r="B185" s="11">
        <f>IF($A185="","",IFERROR(IF(INDEX(Community_Register!$B$2:$B$402,MATCH($A185,Community_Register!$A$2:$A$402,0))="","",INDEX(Community_Register!$B$2:$B$402,MATCH($A185,Community_Register!$A$2:$A$402,0))),""))</f>
        <v/>
      </c>
      <c r="H185" s="11">
        <f>IF($C185="","",IF($C185&lt;1,"yes","no"))</f>
        <v/>
      </c>
      <c r="I185" s="11">
        <f>IF($C185="","",IF($C185&lt;2.6,"r75",IF($C185&lt;5.2,"r110",IF($C185&lt;9.9,"r150",IF($C185&lt;19.8,"r210","r300")))))</f>
        <v/>
      </c>
      <c r="J185" s="11">
        <f>IF($C185="","",ROUND(SQRT($C185*10000/PI()),1))</f>
        <v/>
      </c>
      <c r="N185" s="11">
        <f>IF($A185="","",IFERROR(IF(INDEX(Community_Register!$S$2:$S$402,MATCH($A185,Community_Register!$A$2:$A$402,0))="","",INDEX(Community_Register!$S$2:$S$402,MATCH($A185,Community_Register!$A$2:$A$402,0))),""))</f>
        <v/>
      </c>
      <c r="O185" s="11">
        <f>IF($A185="","",IFERROR(IF(INDEX(Community_Register!$V$2:$V$402,MATCH($A185,Community_Register!$A$2:$A$402,0))="","",INDEX(Community_Register!$V$2:$V$402,MATCH($A185,Community_Register!$A$2:$A$402,0))),""))</f>
        <v/>
      </c>
      <c r="P185" s="11">
        <f>IF(OR($C185="",$N185="",NOT(ISNUMBER($N185))),"",$N185/$C185)</f>
        <v/>
      </c>
      <c r="Q185" s="11">
        <f>IF($C185="","",IF(OR($N185="",NOT(ISNUMBER($N185))),"B",IF(ABS($P185-1)&lt;=0.3,"A",IF(OR($P185&gt;2,$P185&lt;0.5),"C","B"))))</f>
        <v/>
      </c>
    </row>
    <row r="186">
      <c r="B186" s="11">
        <f>IF($A186="","",IFERROR(IF(INDEX(Community_Register!$B$2:$B$402,MATCH($A186,Community_Register!$A$2:$A$402,0))="","",INDEX(Community_Register!$B$2:$B$402,MATCH($A186,Community_Register!$A$2:$A$402,0))),""))</f>
        <v/>
      </c>
      <c r="H186" s="11">
        <f>IF($C186="","",IF($C186&lt;1,"yes","no"))</f>
        <v/>
      </c>
      <c r="I186" s="11">
        <f>IF($C186="","",IF($C186&lt;2.6,"r75",IF($C186&lt;5.2,"r110",IF($C186&lt;9.9,"r150",IF($C186&lt;19.8,"r210","r300")))))</f>
        <v/>
      </c>
      <c r="J186" s="11">
        <f>IF($C186="","",ROUND(SQRT($C186*10000/PI()),1))</f>
        <v/>
      </c>
      <c r="N186" s="11">
        <f>IF($A186="","",IFERROR(IF(INDEX(Community_Register!$S$2:$S$402,MATCH($A186,Community_Register!$A$2:$A$402,0))="","",INDEX(Community_Register!$S$2:$S$402,MATCH($A186,Community_Register!$A$2:$A$402,0))),""))</f>
        <v/>
      </c>
      <c r="O186" s="11">
        <f>IF($A186="","",IFERROR(IF(INDEX(Community_Register!$V$2:$V$402,MATCH($A186,Community_Register!$A$2:$A$402,0))="","",INDEX(Community_Register!$V$2:$V$402,MATCH($A186,Community_Register!$A$2:$A$402,0))),""))</f>
        <v/>
      </c>
      <c r="P186" s="11">
        <f>IF(OR($C186="",$N186="",NOT(ISNUMBER($N186))),"",$N186/$C186)</f>
        <v/>
      </c>
      <c r="Q186" s="11">
        <f>IF($C186="","",IF(OR($N186="",NOT(ISNUMBER($N186))),"B",IF(ABS($P186-1)&lt;=0.3,"A",IF(OR($P186&gt;2,$P186&lt;0.5),"C","B"))))</f>
        <v/>
      </c>
    </row>
    <row r="187">
      <c r="B187" s="11">
        <f>IF($A187="","",IFERROR(IF(INDEX(Community_Register!$B$2:$B$402,MATCH($A187,Community_Register!$A$2:$A$402,0))="","",INDEX(Community_Register!$B$2:$B$402,MATCH($A187,Community_Register!$A$2:$A$402,0))),""))</f>
        <v/>
      </c>
      <c r="H187" s="11">
        <f>IF($C187="","",IF($C187&lt;1,"yes","no"))</f>
        <v/>
      </c>
      <c r="I187" s="11">
        <f>IF($C187="","",IF($C187&lt;2.6,"r75",IF($C187&lt;5.2,"r110",IF($C187&lt;9.9,"r150",IF($C187&lt;19.8,"r210","r300")))))</f>
        <v/>
      </c>
      <c r="J187" s="11">
        <f>IF($C187="","",ROUND(SQRT($C187*10000/PI()),1))</f>
        <v/>
      </c>
      <c r="N187" s="11">
        <f>IF($A187="","",IFERROR(IF(INDEX(Community_Register!$S$2:$S$402,MATCH($A187,Community_Register!$A$2:$A$402,0))="","",INDEX(Community_Register!$S$2:$S$402,MATCH($A187,Community_Register!$A$2:$A$402,0))),""))</f>
        <v/>
      </c>
      <c r="O187" s="11">
        <f>IF($A187="","",IFERROR(IF(INDEX(Community_Register!$V$2:$V$402,MATCH($A187,Community_Register!$A$2:$A$402,0))="","",INDEX(Community_Register!$V$2:$V$402,MATCH($A187,Community_Register!$A$2:$A$402,0))),""))</f>
        <v/>
      </c>
      <c r="P187" s="11">
        <f>IF(OR($C187="",$N187="",NOT(ISNUMBER($N187))),"",$N187/$C187)</f>
        <v/>
      </c>
      <c r="Q187" s="11">
        <f>IF($C187="","",IF(OR($N187="",NOT(ISNUMBER($N187))),"B",IF(ABS($P187-1)&lt;=0.3,"A",IF(OR($P187&gt;2,$P187&lt;0.5),"C","B"))))</f>
        <v/>
      </c>
    </row>
    <row r="188">
      <c r="B188" s="11">
        <f>IF($A188="","",IFERROR(IF(INDEX(Community_Register!$B$2:$B$402,MATCH($A188,Community_Register!$A$2:$A$402,0))="","",INDEX(Community_Register!$B$2:$B$402,MATCH($A188,Community_Register!$A$2:$A$402,0))),""))</f>
        <v/>
      </c>
      <c r="H188" s="11">
        <f>IF($C188="","",IF($C188&lt;1,"yes","no"))</f>
        <v/>
      </c>
      <c r="I188" s="11">
        <f>IF($C188="","",IF($C188&lt;2.6,"r75",IF($C188&lt;5.2,"r110",IF($C188&lt;9.9,"r150",IF($C188&lt;19.8,"r210","r300")))))</f>
        <v/>
      </c>
      <c r="J188" s="11">
        <f>IF($C188="","",ROUND(SQRT($C188*10000/PI()),1))</f>
        <v/>
      </c>
      <c r="N188" s="11">
        <f>IF($A188="","",IFERROR(IF(INDEX(Community_Register!$S$2:$S$402,MATCH($A188,Community_Register!$A$2:$A$402,0))="","",INDEX(Community_Register!$S$2:$S$402,MATCH($A188,Community_Register!$A$2:$A$402,0))),""))</f>
        <v/>
      </c>
      <c r="O188" s="11">
        <f>IF($A188="","",IFERROR(IF(INDEX(Community_Register!$V$2:$V$402,MATCH($A188,Community_Register!$A$2:$A$402,0))="","",INDEX(Community_Register!$V$2:$V$402,MATCH($A188,Community_Register!$A$2:$A$402,0))),""))</f>
        <v/>
      </c>
      <c r="P188" s="11">
        <f>IF(OR($C188="",$N188="",NOT(ISNUMBER($N188))),"",$N188/$C188)</f>
        <v/>
      </c>
      <c r="Q188" s="11">
        <f>IF($C188="","",IF(OR($N188="",NOT(ISNUMBER($N188))),"B",IF(ABS($P188-1)&lt;=0.3,"A",IF(OR($P188&gt;2,$P188&lt;0.5),"C","B"))))</f>
        <v/>
      </c>
    </row>
    <row r="189">
      <c r="B189" s="11">
        <f>IF($A189="","",IFERROR(IF(INDEX(Community_Register!$B$2:$B$402,MATCH($A189,Community_Register!$A$2:$A$402,0))="","",INDEX(Community_Register!$B$2:$B$402,MATCH($A189,Community_Register!$A$2:$A$402,0))),""))</f>
        <v/>
      </c>
      <c r="H189" s="11">
        <f>IF($C189="","",IF($C189&lt;1,"yes","no"))</f>
        <v/>
      </c>
      <c r="I189" s="11">
        <f>IF($C189="","",IF($C189&lt;2.6,"r75",IF($C189&lt;5.2,"r110",IF($C189&lt;9.9,"r150",IF($C189&lt;19.8,"r210","r300")))))</f>
        <v/>
      </c>
      <c r="J189" s="11">
        <f>IF($C189="","",ROUND(SQRT($C189*10000/PI()),1))</f>
        <v/>
      </c>
      <c r="N189" s="11">
        <f>IF($A189="","",IFERROR(IF(INDEX(Community_Register!$S$2:$S$402,MATCH($A189,Community_Register!$A$2:$A$402,0))="","",INDEX(Community_Register!$S$2:$S$402,MATCH($A189,Community_Register!$A$2:$A$402,0))),""))</f>
        <v/>
      </c>
      <c r="O189" s="11">
        <f>IF($A189="","",IFERROR(IF(INDEX(Community_Register!$V$2:$V$402,MATCH($A189,Community_Register!$A$2:$A$402,0))="","",INDEX(Community_Register!$V$2:$V$402,MATCH($A189,Community_Register!$A$2:$A$402,0))),""))</f>
        <v/>
      </c>
      <c r="P189" s="11">
        <f>IF(OR($C189="",$N189="",NOT(ISNUMBER($N189))),"",$N189/$C189)</f>
        <v/>
      </c>
      <c r="Q189" s="11">
        <f>IF($C189="","",IF(OR($N189="",NOT(ISNUMBER($N189))),"B",IF(ABS($P189-1)&lt;=0.3,"A",IF(OR($P189&gt;2,$P189&lt;0.5),"C","B"))))</f>
        <v/>
      </c>
    </row>
    <row r="190">
      <c r="B190" s="11">
        <f>IF($A190="","",IFERROR(IF(INDEX(Community_Register!$B$2:$B$402,MATCH($A190,Community_Register!$A$2:$A$402,0))="","",INDEX(Community_Register!$B$2:$B$402,MATCH($A190,Community_Register!$A$2:$A$402,0))),""))</f>
        <v/>
      </c>
      <c r="H190" s="11">
        <f>IF($C190="","",IF($C190&lt;1,"yes","no"))</f>
        <v/>
      </c>
      <c r="I190" s="11">
        <f>IF($C190="","",IF($C190&lt;2.6,"r75",IF($C190&lt;5.2,"r110",IF($C190&lt;9.9,"r150",IF($C190&lt;19.8,"r210","r300")))))</f>
        <v/>
      </c>
      <c r="J190" s="11">
        <f>IF($C190="","",ROUND(SQRT($C190*10000/PI()),1))</f>
        <v/>
      </c>
      <c r="N190" s="11">
        <f>IF($A190="","",IFERROR(IF(INDEX(Community_Register!$S$2:$S$402,MATCH($A190,Community_Register!$A$2:$A$402,0))="","",INDEX(Community_Register!$S$2:$S$402,MATCH($A190,Community_Register!$A$2:$A$402,0))),""))</f>
        <v/>
      </c>
      <c r="O190" s="11">
        <f>IF($A190="","",IFERROR(IF(INDEX(Community_Register!$V$2:$V$402,MATCH($A190,Community_Register!$A$2:$A$402,0))="","",INDEX(Community_Register!$V$2:$V$402,MATCH($A190,Community_Register!$A$2:$A$402,0))),""))</f>
        <v/>
      </c>
      <c r="P190" s="11">
        <f>IF(OR($C190="",$N190="",NOT(ISNUMBER($N190))),"",$N190/$C190)</f>
        <v/>
      </c>
      <c r="Q190" s="11">
        <f>IF($C190="","",IF(OR($N190="",NOT(ISNUMBER($N190))),"B",IF(ABS($P190-1)&lt;=0.3,"A",IF(OR($P190&gt;2,$P190&lt;0.5),"C","B"))))</f>
        <v/>
      </c>
    </row>
    <row r="191">
      <c r="B191" s="11">
        <f>IF($A191="","",IFERROR(IF(INDEX(Community_Register!$B$2:$B$402,MATCH($A191,Community_Register!$A$2:$A$402,0))="","",INDEX(Community_Register!$B$2:$B$402,MATCH($A191,Community_Register!$A$2:$A$402,0))),""))</f>
        <v/>
      </c>
      <c r="H191" s="11">
        <f>IF($C191="","",IF($C191&lt;1,"yes","no"))</f>
        <v/>
      </c>
      <c r="I191" s="11">
        <f>IF($C191="","",IF($C191&lt;2.6,"r75",IF($C191&lt;5.2,"r110",IF($C191&lt;9.9,"r150",IF($C191&lt;19.8,"r210","r300")))))</f>
        <v/>
      </c>
      <c r="J191" s="11">
        <f>IF($C191="","",ROUND(SQRT($C191*10000/PI()),1))</f>
        <v/>
      </c>
      <c r="N191" s="11">
        <f>IF($A191="","",IFERROR(IF(INDEX(Community_Register!$S$2:$S$402,MATCH($A191,Community_Register!$A$2:$A$402,0))="","",INDEX(Community_Register!$S$2:$S$402,MATCH($A191,Community_Register!$A$2:$A$402,0))),""))</f>
        <v/>
      </c>
      <c r="O191" s="11">
        <f>IF($A191="","",IFERROR(IF(INDEX(Community_Register!$V$2:$V$402,MATCH($A191,Community_Register!$A$2:$A$402,0))="","",INDEX(Community_Register!$V$2:$V$402,MATCH($A191,Community_Register!$A$2:$A$402,0))),""))</f>
        <v/>
      </c>
      <c r="P191" s="11">
        <f>IF(OR($C191="",$N191="",NOT(ISNUMBER($N191))),"",$N191/$C191)</f>
        <v/>
      </c>
      <c r="Q191" s="11">
        <f>IF($C191="","",IF(OR($N191="",NOT(ISNUMBER($N191))),"B",IF(ABS($P191-1)&lt;=0.3,"A",IF(OR($P191&gt;2,$P191&lt;0.5),"C","B"))))</f>
        <v/>
      </c>
    </row>
    <row r="192">
      <c r="B192" s="11">
        <f>IF($A192="","",IFERROR(IF(INDEX(Community_Register!$B$2:$B$402,MATCH($A192,Community_Register!$A$2:$A$402,0))="","",INDEX(Community_Register!$B$2:$B$402,MATCH($A192,Community_Register!$A$2:$A$402,0))),""))</f>
        <v/>
      </c>
      <c r="H192" s="11">
        <f>IF($C192="","",IF($C192&lt;1,"yes","no"))</f>
        <v/>
      </c>
      <c r="I192" s="11">
        <f>IF($C192="","",IF($C192&lt;2.6,"r75",IF($C192&lt;5.2,"r110",IF($C192&lt;9.9,"r150",IF($C192&lt;19.8,"r210","r300")))))</f>
        <v/>
      </c>
      <c r="J192" s="11">
        <f>IF($C192="","",ROUND(SQRT($C192*10000/PI()),1))</f>
        <v/>
      </c>
      <c r="N192" s="11">
        <f>IF($A192="","",IFERROR(IF(INDEX(Community_Register!$S$2:$S$402,MATCH($A192,Community_Register!$A$2:$A$402,0))="","",INDEX(Community_Register!$S$2:$S$402,MATCH($A192,Community_Register!$A$2:$A$402,0))),""))</f>
        <v/>
      </c>
      <c r="O192" s="11">
        <f>IF($A192="","",IFERROR(IF(INDEX(Community_Register!$V$2:$V$402,MATCH($A192,Community_Register!$A$2:$A$402,0))="","",INDEX(Community_Register!$V$2:$V$402,MATCH($A192,Community_Register!$A$2:$A$402,0))),""))</f>
        <v/>
      </c>
      <c r="P192" s="11">
        <f>IF(OR($C192="",$N192="",NOT(ISNUMBER($N192))),"",$N192/$C192)</f>
        <v/>
      </c>
      <c r="Q192" s="11">
        <f>IF($C192="","",IF(OR($N192="",NOT(ISNUMBER($N192))),"B",IF(ABS($P192-1)&lt;=0.3,"A",IF(OR($P192&gt;2,$P192&lt;0.5),"C","B"))))</f>
        <v/>
      </c>
    </row>
    <row r="193">
      <c r="B193" s="11">
        <f>IF($A193="","",IFERROR(IF(INDEX(Community_Register!$B$2:$B$402,MATCH($A193,Community_Register!$A$2:$A$402,0))="","",INDEX(Community_Register!$B$2:$B$402,MATCH($A193,Community_Register!$A$2:$A$402,0))),""))</f>
        <v/>
      </c>
      <c r="H193" s="11">
        <f>IF($C193="","",IF($C193&lt;1,"yes","no"))</f>
        <v/>
      </c>
      <c r="I193" s="11">
        <f>IF($C193="","",IF($C193&lt;2.6,"r75",IF($C193&lt;5.2,"r110",IF($C193&lt;9.9,"r150",IF($C193&lt;19.8,"r210","r300")))))</f>
        <v/>
      </c>
      <c r="J193" s="11">
        <f>IF($C193="","",ROUND(SQRT($C193*10000/PI()),1))</f>
        <v/>
      </c>
      <c r="N193" s="11">
        <f>IF($A193="","",IFERROR(IF(INDEX(Community_Register!$S$2:$S$402,MATCH($A193,Community_Register!$A$2:$A$402,0))="","",INDEX(Community_Register!$S$2:$S$402,MATCH($A193,Community_Register!$A$2:$A$402,0))),""))</f>
        <v/>
      </c>
      <c r="O193" s="11">
        <f>IF($A193="","",IFERROR(IF(INDEX(Community_Register!$V$2:$V$402,MATCH($A193,Community_Register!$A$2:$A$402,0))="","",INDEX(Community_Register!$V$2:$V$402,MATCH($A193,Community_Register!$A$2:$A$402,0))),""))</f>
        <v/>
      </c>
      <c r="P193" s="11">
        <f>IF(OR($C193="",$N193="",NOT(ISNUMBER($N193))),"",$N193/$C193)</f>
        <v/>
      </c>
      <c r="Q193" s="11">
        <f>IF($C193="","",IF(OR($N193="",NOT(ISNUMBER($N193))),"B",IF(ABS($P193-1)&lt;=0.3,"A",IF(OR($P193&gt;2,$P193&lt;0.5),"C","B"))))</f>
        <v/>
      </c>
    </row>
    <row r="194">
      <c r="B194" s="11">
        <f>IF($A194="","",IFERROR(IF(INDEX(Community_Register!$B$2:$B$402,MATCH($A194,Community_Register!$A$2:$A$402,0))="","",INDEX(Community_Register!$B$2:$B$402,MATCH($A194,Community_Register!$A$2:$A$402,0))),""))</f>
        <v/>
      </c>
      <c r="H194" s="11">
        <f>IF($C194="","",IF($C194&lt;1,"yes","no"))</f>
        <v/>
      </c>
      <c r="I194" s="11">
        <f>IF($C194="","",IF($C194&lt;2.6,"r75",IF($C194&lt;5.2,"r110",IF($C194&lt;9.9,"r150",IF($C194&lt;19.8,"r210","r300")))))</f>
        <v/>
      </c>
      <c r="J194" s="11">
        <f>IF($C194="","",ROUND(SQRT($C194*10000/PI()),1))</f>
        <v/>
      </c>
      <c r="N194" s="11">
        <f>IF($A194="","",IFERROR(IF(INDEX(Community_Register!$S$2:$S$402,MATCH($A194,Community_Register!$A$2:$A$402,0))="","",INDEX(Community_Register!$S$2:$S$402,MATCH($A194,Community_Register!$A$2:$A$402,0))),""))</f>
        <v/>
      </c>
      <c r="O194" s="11">
        <f>IF($A194="","",IFERROR(IF(INDEX(Community_Register!$V$2:$V$402,MATCH($A194,Community_Register!$A$2:$A$402,0))="","",INDEX(Community_Register!$V$2:$V$402,MATCH($A194,Community_Register!$A$2:$A$402,0))),""))</f>
        <v/>
      </c>
      <c r="P194" s="11">
        <f>IF(OR($C194="",$N194="",NOT(ISNUMBER($N194))),"",$N194/$C194)</f>
        <v/>
      </c>
      <c r="Q194" s="11">
        <f>IF($C194="","",IF(OR($N194="",NOT(ISNUMBER($N194))),"B",IF(ABS($P194-1)&lt;=0.3,"A",IF(OR($P194&gt;2,$P194&lt;0.5),"C","B"))))</f>
        <v/>
      </c>
    </row>
    <row r="195">
      <c r="B195" s="11">
        <f>IF($A195="","",IFERROR(IF(INDEX(Community_Register!$B$2:$B$402,MATCH($A195,Community_Register!$A$2:$A$402,0))="","",INDEX(Community_Register!$B$2:$B$402,MATCH($A195,Community_Register!$A$2:$A$402,0))),""))</f>
        <v/>
      </c>
      <c r="H195" s="11">
        <f>IF($C195="","",IF($C195&lt;1,"yes","no"))</f>
        <v/>
      </c>
      <c r="I195" s="11">
        <f>IF($C195="","",IF($C195&lt;2.6,"r75",IF($C195&lt;5.2,"r110",IF($C195&lt;9.9,"r150",IF($C195&lt;19.8,"r210","r300")))))</f>
        <v/>
      </c>
      <c r="J195" s="11">
        <f>IF($C195="","",ROUND(SQRT($C195*10000/PI()),1))</f>
        <v/>
      </c>
      <c r="N195" s="11">
        <f>IF($A195="","",IFERROR(IF(INDEX(Community_Register!$S$2:$S$402,MATCH($A195,Community_Register!$A$2:$A$402,0))="","",INDEX(Community_Register!$S$2:$S$402,MATCH($A195,Community_Register!$A$2:$A$402,0))),""))</f>
        <v/>
      </c>
      <c r="O195" s="11">
        <f>IF($A195="","",IFERROR(IF(INDEX(Community_Register!$V$2:$V$402,MATCH($A195,Community_Register!$A$2:$A$402,0))="","",INDEX(Community_Register!$V$2:$V$402,MATCH($A195,Community_Register!$A$2:$A$402,0))),""))</f>
        <v/>
      </c>
      <c r="P195" s="11">
        <f>IF(OR($C195="",$N195="",NOT(ISNUMBER($N195))),"",$N195/$C195)</f>
        <v/>
      </c>
      <c r="Q195" s="11">
        <f>IF($C195="","",IF(OR($N195="",NOT(ISNUMBER($N195))),"B",IF(ABS($P195-1)&lt;=0.3,"A",IF(OR($P195&gt;2,$P195&lt;0.5),"C","B"))))</f>
        <v/>
      </c>
    </row>
    <row r="196">
      <c r="B196" s="11">
        <f>IF($A196="","",IFERROR(IF(INDEX(Community_Register!$B$2:$B$402,MATCH($A196,Community_Register!$A$2:$A$402,0))="","",INDEX(Community_Register!$B$2:$B$402,MATCH($A196,Community_Register!$A$2:$A$402,0))),""))</f>
        <v/>
      </c>
      <c r="H196" s="11">
        <f>IF($C196="","",IF($C196&lt;1,"yes","no"))</f>
        <v/>
      </c>
      <c r="I196" s="11">
        <f>IF($C196="","",IF($C196&lt;2.6,"r75",IF($C196&lt;5.2,"r110",IF($C196&lt;9.9,"r150",IF($C196&lt;19.8,"r210","r300")))))</f>
        <v/>
      </c>
      <c r="J196" s="11">
        <f>IF($C196="","",ROUND(SQRT($C196*10000/PI()),1))</f>
        <v/>
      </c>
      <c r="N196" s="11">
        <f>IF($A196="","",IFERROR(IF(INDEX(Community_Register!$S$2:$S$402,MATCH($A196,Community_Register!$A$2:$A$402,0))="","",INDEX(Community_Register!$S$2:$S$402,MATCH($A196,Community_Register!$A$2:$A$402,0))),""))</f>
        <v/>
      </c>
      <c r="O196" s="11">
        <f>IF($A196="","",IFERROR(IF(INDEX(Community_Register!$V$2:$V$402,MATCH($A196,Community_Register!$A$2:$A$402,0))="","",INDEX(Community_Register!$V$2:$V$402,MATCH($A196,Community_Register!$A$2:$A$402,0))),""))</f>
        <v/>
      </c>
      <c r="P196" s="11">
        <f>IF(OR($C196="",$N196="",NOT(ISNUMBER($N196))),"",$N196/$C196)</f>
        <v/>
      </c>
      <c r="Q196" s="11">
        <f>IF($C196="","",IF(OR($N196="",NOT(ISNUMBER($N196))),"B",IF(ABS($P196-1)&lt;=0.3,"A",IF(OR($P196&gt;2,$P196&lt;0.5),"C","B"))))</f>
        <v/>
      </c>
    </row>
    <row r="197">
      <c r="B197" s="11">
        <f>IF($A197="","",IFERROR(IF(INDEX(Community_Register!$B$2:$B$402,MATCH($A197,Community_Register!$A$2:$A$402,0))="","",INDEX(Community_Register!$B$2:$B$402,MATCH($A197,Community_Register!$A$2:$A$402,0))),""))</f>
        <v/>
      </c>
      <c r="H197" s="11">
        <f>IF($C197="","",IF($C197&lt;1,"yes","no"))</f>
        <v/>
      </c>
      <c r="I197" s="11">
        <f>IF($C197="","",IF($C197&lt;2.6,"r75",IF($C197&lt;5.2,"r110",IF($C197&lt;9.9,"r150",IF($C197&lt;19.8,"r210","r300")))))</f>
        <v/>
      </c>
      <c r="J197" s="11">
        <f>IF($C197="","",ROUND(SQRT($C197*10000/PI()),1))</f>
        <v/>
      </c>
      <c r="N197" s="11">
        <f>IF($A197="","",IFERROR(IF(INDEX(Community_Register!$S$2:$S$402,MATCH($A197,Community_Register!$A$2:$A$402,0))="","",INDEX(Community_Register!$S$2:$S$402,MATCH($A197,Community_Register!$A$2:$A$402,0))),""))</f>
        <v/>
      </c>
      <c r="O197" s="11">
        <f>IF($A197="","",IFERROR(IF(INDEX(Community_Register!$V$2:$V$402,MATCH($A197,Community_Register!$A$2:$A$402,0))="","",INDEX(Community_Register!$V$2:$V$402,MATCH($A197,Community_Register!$A$2:$A$402,0))),""))</f>
        <v/>
      </c>
      <c r="P197" s="11">
        <f>IF(OR($C197="",$N197="",NOT(ISNUMBER($N197))),"",$N197/$C197)</f>
        <v/>
      </c>
      <c r="Q197" s="11">
        <f>IF($C197="","",IF(OR($N197="",NOT(ISNUMBER($N197))),"B",IF(ABS($P197-1)&lt;=0.3,"A",IF(OR($P197&gt;2,$P197&lt;0.5),"C","B"))))</f>
        <v/>
      </c>
    </row>
    <row r="198">
      <c r="B198" s="11">
        <f>IF($A198="","",IFERROR(IF(INDEX(Community_Register!$B$2:$B$402,MATCH($A198,Community_Register!$A$2:$A$402,0))="","",INDEX(Community_Register!$B$2:$B$402,MATCH($A198,Community_Register!$A$2:$A$402,0))),""))</f>
        <v/>
      </c>
      <c r="H198" s="11">
        <f>IF($C198="","",IF($C198&lt;1,"yes","no"))</f>
        <v/>
      </c>
      <c r="I198" s="11">
        <f>IF($C198="","",IF($C198&lt;2.6,"r75",IF($C198&lt;5.2,"r110",IF($C198&lt;9.9,"r150",IF($C198&lt;19.8,"r210","r300")))))</f>
        <v/>
      </c>
      <c r="J198" s="11">
        <f>IF($C198="","",ROUND(SQRT($C198*10000/PI()),1))</f>
        <v/>
      </c>
      <c r="N198" s="11">
        <f>IF($A198="","",IFERROR(IF(INDEX(Community_Register!$S$2:$S$402,MATCH($A198,Community_Register!$A$2:$A$402,0))="","",INDEX(Community_Register!$S$2:$S$402,MATCH($A198,Community_Register!$A$2:$A$402,0))),""))</f>
        <v/>
      </c>
      <c r="O198" s="11">
        <f>IF($A198="","",IFERROR(IF(INDEX(Community_Register!$V$2:$V$402,MATCH($A198,Community_Register!$A$2:$A$402,0))="","",INDEX(Community_Register!$V$2:$V$402,MATCH($A198,Community_Register!$A$2:$A$402,0))),""))</f>
        <v/>
      </c>
      <c r="P198" s="11">
        <f>IF(OR($C198="",$N198="",NOT(ISNUMBER($N198))),"",$N198/$C198)</f>
        <v/>
      </c>
      <c r="Q198" s="11">
        <f>IF($C198="","",IF(OR($N198="",NOT(ISNUMBER($N198))),"B",IF(ABS($P198-1)&lt;=0.3,"A",IF(OR($P198&gt;2,$P198&lt;0.5),"C","B"))))</f>
        <v/>
      </c>
    </row>
    <row r="199">
      <c r="B199" s="11">
        <f>IF($A199="","",IFERROR(IF(INDEX(Community_Register!$B$2:$B$402,MATCH($A199,Community_Register!$A$2:$A$402,0))="","",INDEX(Community_Register!$B$2:$B$402,MATCH($A199,Community_Register!$A$2:$A$402,0))),""))</f>
        <v/>
      </c>
      <c r="H199" s="11">
        <f>IF($C199="","",IF($C199&lt;1,"yes","no"))</f>
        <v/>
      </c>
      <c r="I199" s="11">
        <f>IF($C199="","",IF($C199&lt;2.6,"r75",IF($C199&lt;5.2,"r110",IF($C199&lt;9.9,"r150",IF($C199&lt;19.8,"r210","r300")))))</f>
        <v/>
      </c>
      <c r="J199" s="11">
        <f>IF($C199="","",ROUND(SQRT($C199*10000/PI()),1))</f>
        <v/>
      </c>
      <c r="N199" s="11">
        <f>IF($A199="","",IFERROR(IF(INDEX(Community_Register!$S$2:$S$402,MATCH($A199,Community_Register!$A$2:$A$402,0))="","",INDEX(Community_Register!$S$2:$S$402,MATCH($A199,Community_Register!$A$2:$A$402,0))),""))</f>
        <v/>
      </c>
      <c r="O199" s="11">
        <f>IF($A199="","",IFERROR(IF(INDEX(Community_Register!$V$2:$V$402,MATCH($A199,Community_Register!$A$2:$A$402,0))="","",INDEX(Community_Register!$V$2:$V$402,MATCH($A199,Community_Register!$A$2:$A$402,0))),""))</f>
        <v/>
      </c>
      <c r="P199" s="11">
        <f>IF(OR($C199="",$N199="",NOT(ISNUMBER($N199))),"",$N199/$C199)</f>
        <v/>
      </c>
      <c r="Q199" s="11">
        <f>IF($C199="","",IF(OR($N199="",NOT(ISNUMBER($N199))),"B",IF(ABS($P199-1)&lt;=0.3,"A",IF(OR($P199&gt;2,$P199&lt;0.5),"C","B"))))</f>
        <v/>
      </c>
    </row>
    <row r="200">
      <c r="B200" s="11">
        <f>IF($A200="","",IFERROR(IF(INDEX(Community_Register!$B$2:$B$402,MATCH($A200,Community_Register!$A$2:$A$402,0))="","",INDEX(Community_Register!$B$2:$B$402,MATCH($A200,Community_Register!$A$2:$A$402,0))),""))</f>
        <v/>
      </c>
      <c r="H200" s="11">
        <f>IF($C200="","",IF($C200&lt;1,"yes","no"))</f>
        <v/>
      </c>
      <c r="I200" s="11">
        <f>IF($C200="","",IF($C200&lt;2.6,"r75",IF($C200&lt;5.2,"r110",IF($C200&lt;9.9,"r150",IF($C200&lt;19.8,"r210","r300")))))</f>
        <v/>
      </c>
      <c r="J200" s="11">
        <f>IF($C200="","",ROUND(SQRT($C200*10000/PI()),1))</f>
        <v/>
      </c>
      <c r="N200" s="11">
        <f>IF($A200="","",IFERROR(IF(INDEX(Community_Register!$S$2:$S$402,MATCH($A200,Community_Register!$A$2:$A$402,0))="","",INDEX(Community_Register!$S$2:$S$402,MATCH($A200,Community_Register!$A$2:$A$402,0))),""))</f>
        <v/>
      </c>
      <c r="O200" s="11">
        <f>IF($A200="","",IFERROR(IF(INDEX(Community_Register!$V$2:$V$402,MATCH($A200,Community_Register!$A$2:$A$402,0))="","",INDEX(Community_Register!$V$2:$V$402,MATCH($A200,Community_Register!$A$2:$A$402,0))),""))</f>
        <v/>
      </c>
      <c r="P200" s="11">
        <f>IF(OR($C200="",$N200="",NOT(ISNUMBER($N200))),"",$N200/$C200)</f>
        <v/>
      </c>
      <c r="Q200" s="11">
        <f>IF($C200="","",IF(OR($N200="",NOT(ISNUMBER($N200))),"B",IF(ABS($P200-1)&lt;=0.3,"A",IF(OR($P200&gt;2,$P200&lt;0.5),"C","B"))))</f>
        <v/>
      </c>
    </row>
    <row r="201">
      <c r="B201" s="11">
        <f>IF($A201="","",IFERROR(IF(INDEX(Community_Register!$B$2:$B$402,MATCH($A201,Community_Register!$A$2:$A$402,0))="","",INDEX(Community_Register!$B$2:$B$402,MATCH($A201,Community_Register!$A$2:$A$402,0))),""))</f>
        <v/>
      </c>
      <c r="H201" s="11">
        <f>IF($C201="","",IF($C201&lt;1,"yes","no"))</f>
        <v/>
      </c>
      <c r="I201" s="11">
        <f>IF($C201="","",IF($C201&lt;2.6,"r75",IF($C201&lt;5.2,"r110",IF($C201&lt;9.9,"r150",IF($C201&lt;19.8,"r210","r300")))))</f>
        <v/>
      </c>
      <c r="J201" s="11">
        <f>IF($C201="","",ROUND(SQRT($C201*10000/PI()),1))</f>
        <v/>
      </c>
      <c r="N201" s="11">
        <f>IF($A201="","",IFERROR(IF(INDEX(Community_Register!$S$2:$S$402,MATCH($A201,Community_Register!$A$2:$A$402,0))="","",INDEX(Community_Register!$S$2:$S$402,MATCH($A201,Community_Register!$A$2:$A$402,0))),""))</f>
        <v/>
      </c>
      <c r="O201" s="11">
        <f>IF($A201="","",IFERROR(IF(INDEX(Community_Register!$V$2:$V$402,MATCH($A201,Community_Register!$A$2:$A$402,0))="","",INDEX(Community_Register!$V$2:$V$402,MATCH($A201,Community_Register!$A$2:$A$402,0))),""))</f>
        <v/>
      </c>
      <c r="P201" s="11">
        <f>IF(OR($C201="",$N201="",NOT(ISNUMBER($N201))),"",$N201/$C201)</f>
        <v/>
      </c>
      <c r="Q201" s="11">
        <f>IF($C201="","",IF(OR($N201="",NOT(ISNUMBER($N201))),"B",IF(ABS($P201-1)&lt;=0.3,"A",IF(OR($P201&gt;2,$P201&lt;0.5),"C","B"))))</f>
        <v/>
      </c>
    </row>
    <row r="202">
      <c r="B202" s="11">
        <f>IF($A202="","",IFERROR(IF(INDEX(Community_Register!$B$2:$B$402,MATCH($A202,Community_Register!$A$2:$A$402,0))="","",INDEX(Community_Register!$B$2:$B$402,MATCH($A202,Community_Register!$A$2:$A$402,0))),""))</f>
        <v/>
      </c>
      <c r="H202" s="11">
        <f>IF($C202="","",IF($C202&lt;1,"yes","no"))</f>
        <v/>
      </c>
      <c r="I202" s="11">
        <f>IF($C202="","",IF($C202&lt;2.6,"r75",IF($C202&lt;5.2,"r110",IF($C202&lt;9.9,"r150",IF($C202&lt;19.8,"r210","r300")))))</f>
        <v/>
      </c>
      <c r="J202" s="11">
        <f>IF($C202="","",ROUND(SQRT($C202*10000/PI()),1))</f>
        <v/>
      </c>
      <c r="N202" s="11">
        <f>IF($A202="","",IFERROR(IF(INDEX(Community_Register!$S$2:$S$402,MATCH($A202,Community_Register!$A$2:$A$402,0))="","",INDEX(Community_Register!$S$2:$S$402,MATCH($A202,Community_Register!$A$2:$A$402,0))),""))</f>
        <v/>
      </c>
      <c r="O202" s="11">
        <f>IF($A202="","",IFERROR(IF(INDEX(Community_Register!$V$2:$V$402,MATCH($A202,Community_Register!$A$2:$A$402,0))="","",INDEX(Community_Register!$V$2:$V$402,MATCH($A202,Community_Register!$A$2:$A$402,0))),""))</f>
        <v/>
      </c>
      <c r="P202" s="11">
        <f>IF(OR($C202="",$N202="",NOT(ISNUMBER($N202))),"",$N202/$C202)</f>
        <v/>
      </c>
      <c r="Q202" s="11">
        <f>IF($C202="","",IF(OR($N202="",NOT(ISNUMBER($N202))),"B",IF(ABS($P202-1)&lt;=0.3,"A",IF(OR($P202&gt;2,$P202&lt;0.5),"C","B"))))</f>
        <v/>
      </c>
    </row>
    <row r="203">
      <c r="B203" s="11">
        <f>IF($A203="","",IFERROR(IF(INDEX(Community_Register!$B$2:$B$402,MATCH($A203,Community_Register!$A$2:$A$402,0))="","",INDEX(Community_Register!$B$2:$B$402,MATCH($A203,Community_Register!$A$2:$A$402,0))),""))</f>
        <v/>
      </c>
      <c r="H203" s="11">
        <f>IF($C203="","",IF($C203&lt;1,"yes","no"))</f>
        <v/>
      </c>
      <c r="I203" s="11">
        <f>IF($C203="","",IF($C203&lt;2.6,"r75",IF($C203&lt;5.2,"r110",IF($C203&lt;9.9,"r150",IF($C203&lt;19.8,"r210","r300")))))</f>
        <v/>
      </c>
      <c r="J203" s="11">
        <f>IF($C203="","",ROUND(SQRT($C203*10000/PI()),1))</f>
        <v/>
      </c>
      <c r="N203" s="11">
        <f>IF($A203="","",IFERROR(IF(INDEX(Community_Register!$S$2:$S$402,MATCH($A203,Community_Register!$A$2:$A$402,0))="","",INDEX(Community_Register!$S$2:$S$402,MATCH($A203,Community_Register!$A$2:$A$402,0))),""))</f>
        <v/>
      </c>
      <c r="O203" s="11">
        <f>IF($A203="","",IFERROR(IF(INDEX(Community_Register!$V$2:$V$402,MATCH($A203,Community_Register!$A$2:$A$402,0))="","",INDEX(Community_Register!$V$2:$V$402,MATCH($A203,Community_Register!$A$2:$A$402,0))),""))</f>
        <v/>
      </c>
      <c r="P203" s="11">
        <f>IF(OR($C203="",$N203="",NOT(ISNUMBER($N203))),"",$N203/$C203)</f>
        <v/>
      </c>
      <c r="Q203" s="11">
        <f>IF($C203="","",IF(OR($N203="",NOT(ISNUMBER($N203))),"B",IF(ABS($P203-1)&lt;=0.3,"A",IF(OR($P203&gt;2,$P203&lt;0.5),"C","B"))))</f>
        <v/>
      </c>
    </row>
    <row r="204">
      <c r="B204" s="11">
        <f>IF($A204="","",IFERROR(IF(INDEX(Community_Register!$B$2:$B$402,MATCH($A204,Community_Register!$A$2:$A$402,0))="","",INDEX(Community_Register!$B$2:$B$402,MATCH($A204,Community_Register!$A$2:$A$402,0))),""))</f>
        <v/>
      </c>
      <c r="H204" s="11">
        <f>IF($C204="","",IF($C204&lt;1,"yes","no"))</f>
        <v/>
      </c>
      <c r="I204" s="11">
        <f>IF($C204="","",IF($C204&lt;2.6,"r75",IF($C204&lt;5.2,"r110",IF($C204&lt;9.9,"r150",IF($C204&lt;19.8,"r210","r300")))))</f>
        <v/>
      </c>
      <c r="J204" s="11">
        <f>IF($C204="","",ROUND(SQRT($C204*10000/PI()),1))</f>
        <v/>
      </c>
      <c r="N204" s="11">
        <f>IF($A204="","",IFERROR(IF(INDEX(Community_Register!$S$2:$S$402,MATCH($A204,Community_Register!$A$2:$A$402,0))="","",INDEX(Community_Register!$S$2:$S$402,MATCH($A204,Community_Register!$A$2:$A$402,0))),""))</f>
        <v/>
      </c>
      <c r="O204" s="11">
        <f>IF($A204="","",IFERROR(IF(INDEX(Community_Register!$V$2:$V$402,MATCH($A204,Community_Register!$A$2:$A$402,0))="","",INDEX(Community_Register!$V$2:$V$402,MATCH($A204,Community_Register!$A$2:$A$402,0))),""))</f>
        <v/>
      </c>
      <c r="P204" s="11">
        <f>IF(OR($C204="",$N204="",NOT(ISNUMBER($N204))),"",$N204/$C204)</f>
        <v/>
      </c>
      <c r="Q204" s="11">
        <f>IF($C204="","",IF(OR($N204="",NOT(ISNUMBER($N204))),"B",IF(ABS($P204-1)&lt;=0.3,"A",IF(OR($P204&gt;2,$P204&lt;0.5),"C","B"))))</f>
        <v/>
      </c>
    </row>
    <row r="205">
      <c r="B205" s="11">
        <f>IF($A205="","",IFERROR(IF(INDEX(Community_Register!$B$2:$B$402,MATCH($A205,Community_Register!$A$2:$A$402,0))="","",INDEX(Community_Register!$B$2:$B$402,MATCH($A205,Community_Register!$A$2:$A$402,0))),""))</f>
        <v/>
      </c>
      <c r="H205" s="11">
        <f>IF($C205="","",IF($C205&lt;1,"yes","no"))</f>
        <v/>
      </c>
      <c r="I205" s="11">
        <f>IF($C205="","",IF($C205&lt;2.6,"r75",IF($C205&lt;5.2,"r110",IF($C205&lt;9.9,"r150",IF($C205&lt;19.8,"r210","r300")))))</f>
        <v/>
      </c>
      <c r="J205" s="11">
        <f>IF($C205="","",ROUND(SQRT($C205*10000/PI()),1))</f>
        <v/>
      </c>
      <c r="N205" s="11">
        <f>IF($A205="","",IFERROR(IF(INDEX(Community_Register!$S$2:$S$402,MATCH($A205,Community_Register!$A$2:$A$402,0))="","",INDEX(Community_Register!$S$2:$S$402,MATCH($A205,Community_Register!$A$2:$A$402,0))),""))</f>
        <v/>
      </c>
      <c r="O205" s="11">
        <f>IF($A205="","",IFERROR(IF(INDEX(Community_Register!$V$2:$V$402,MATCH($A205,Community_Register!$A$2:$A$402,0))="","",INDEX(Community_Register!$V$2:$V$402,MATCH($A205,Community_Register!$A$2:$A$402,0))),""))</f>
        <v/>
      </c>
      <c r="P205" s="11">
        <f>IF(OR($C205="",$N205="",NOT(ISNUMBER($N205))),"",$N205/$C205)</f>
        <v/>
      </c>
      <c r="Q205" s="11">
        <f>IF($C205="","",IF(OR($N205="",NOT(ISNUMBER($N205))),"B",IF(ABS($P205-1)&lt;=0.3,"A",IF(OR($P205&gt;2,$P205&lt;0.5),"C","B"))))</f>
        <v/>
      </c>
    </row>
    <row r="206">
      <c r="B206" s="11">
        <f>IF($A206="","",IFERROR(IF(INDEX(Community_Register!$B$2:$B$402,MATCH($A206,Community_Register!$A$2:$A$402,0))="","",INDEX(Community_Register!$B$2:$B$402,MATCH($A206,Community_Register!$A$2:$A$402,0))),""))</f>
        <v/>
      </c>
      <c r="H206" s="11">
        <f>IF($C206="","",IF($C206&lt;1,"yes","no"))</f>
        <v/>
      </c>
      <c r="I206" s="11">
        <f>IF($C206="","",IF($C206&lt;2.6,"r75",IF($C206&lt;5.2,"r110",IF($C206&lt;9.9,"r150",IF($C206&lt;19.8,"r210","r300")))))</f>
        <v/>
      </c>
      <c r="J206" s="11">
        <f>IF($C206="","",ROUND(SQRT($C206*10000/PI()),1))</f>
        <v/>
      </c>
      <c r="N206" s="11">
        <f>IF($A206="","",IFERROR(IF(INDEX(Community_Register!$S$2:$S$402,MATCH($A206,Community_Register!$A$2:$A$402,0))="","",INDEX(Community_Register!$S$2:$S$402,MATCH($A206,Community_Register!$A$2:$A$402,0))),""))</f>
        <v/>
      </c>
      <c r="O206" s="11">
        <f>IF($A206="","",IFERROR(IF(INDEX(Community_Register!$V$2:$V$402,MATCH($A206,Community_Register!$A$2:$A$402,0))="","",INDEX(Community_Register!$V$2:$V$402,MATCH($A206,Community_Register!$A$2:$A$402,0))),""))</f>
        <v/>
      </c>
      <c r="P206" s="11">
        <f>IF(OR($C206="",$N206="",NOT(ISNUMBER($N206))),"",$N206/$C206)</f>
        <v/>
      </c>
      <c r="Q206" s="11">
        <f>IF($C206="","",IF(OR($N206="",NOT(ISNUMBER($N206))),"B",IF(ABS($P206-1)&lt;=0.3,"A",IF(OR($P206&gt;2,$P206&lt;0.5),"C","B"))))</f>
        <v/>
      </c>
    </row>
    <row r="207">
      <c r="B207" s="11">
        <f>IF($A207="","",IFERROR(IF(INDEX(Community_Register!$B$2:$B$402,MATCH($A207,Community_Register!$A$2:$A$402,0))="","",INDEX(Community_Register!$B$2:$B$402,MATCH($A207,Community_Register!$A$2:$A$402,0))),""))</f>
        <v/>
      </c>
      <c r="H207" s="11">
        <f>IF($C207="","",IF($C207&lt;1,"yes","no"))</f>
        <v/>
      </c>
      <c r="I207" s="11">
        <f>IF($C207="","",IF($C207&lt;2.6,"r75",IF($C207&lt;5.2,"r110",IF($C207&lt;9.9,"r150",IF($C207&lt;19.8,"r210","r300")))))</f>
        <v/>
      </c>
      <c r="J207" s="11">
        <f>IF($C207="","",ROUND(SQRT($C207*10000/PI()),1))</f>
        <v/>
      </c>
      <c r="N207" s="11">
        <f>IF($A207="","",IFERROR(IF(INDEX(Community_Register!$S$2:$S$402,MATCH($A207,Community_Register!$A$2:$A$402,0))="","",INDEX(Community_Register!$S$2:$S$402,MATCH($A207,Community_Register!$A$2:$A$402,0))),""))</f>
        <v/>
      </c>
      <c r="O207" s="11">
        <f>IF($A207="","",IFERROR(IF(INDEX(Community_Register!$V$2:$V$402,MATCH($A207,Community_Register!$A$2:$A$402,0))="","",INDEX(Community_Register!$V$2:$V$402,MATCH($A207,Community_Register!$A$2:$A$402,0))),""))</f>
        <v/>
      </c>
      <c r="P207" s="11">
        <f>IF(OR($C207="",$N207="",NOT(ISNUMBER($N207))),"",$N207/$C207)</f>
        <v/>
      </c>
      <c r="Q207" s="11">
        <f>IF($C207="","",IF(OR($N207="",NOT(ISNUMBER($N207))),"B",IF(ABS($P207-1)&lt;=0.3,"A",IF(OR($P207&gt;2,$P207&lt;0.5),"C","B"))))</f>
        <v/>
      </c>
    </row>
    <row r="208">
      <c r="B208" s="11">
        <f>IF($A208="","",IFERROR(IF(INDEX(Community_Register!$B$2:$B$402,MATCH($A208,Community_Register!$A$2:$A$402,0))="","",INDEX(Community_Register!$B$2:$B$402,MATCH($A208,Community_Register!$A$2:$A$402,0))),""))</f>
        <v/>
      </c>
      <c r="H208" s="11">
        <f>IF($C208="","",IF($C208&lt;1,"yes","no"))</f>
        <v/>
      </c>
      <c r="I208" s="11">
        <f>IF($C208="","",IF($C208&lt;2.6,"r75",IF($C208&lt;5.2,"r110",IF($C208&lt;9.9,"r150",IF($C208&lt;19.8,"r210","r300")))))</f>
        <v/>
      </c>
      <c r="J208" s="11">
        <f>IF($C208="","",ROUND(SQRT($C208*10000/PI()),1))</f>
        <v/>
      </c>
      <c r="N208" s="11">
        <f>IF($A208="","",IFERROR(IF(INDEX(Community_Register!$S$2:$S$402,MATCH($A208,Community_Register!$A$2:$A$402,0))="","",INDEX(Community_Register!$S$2:$S$402,MATCH($A208,Community_Register!$A$2:$A$402,0))),""))</f>
        <v/>
      </c>
      <c r="O208" s="11">
        <f>IF($A208="","",IFERROR(IF(INDEX(Community_Register!$V$2:$V$402,MATCH($A208,Community_Register!$A$2:$A$402,0))="","",INDEX(Community_Register!$V$2:$V$402,MATCH($A208,Community_Register!$A$2:$A$402,0))),""))</f>
        <v/>
      </c>
      <c r="P208" s="11">
        <f>IF(OR($C208="",$N208="",NOT(ISNUMBER($N208))),"",$N208/$C208)</f>
        <v/>
      </c>
      <c r="Q208" s="11">
        <f>IF($C208="","",IF(OR($N208="",NOT(ISNUMBER($N208))),"B",IF(ABS($P208-1)&lt;=0.3,"A",IF(OR($P208&gt;2,$P208&lt;0.5),"C","B"))))</f>
        <v/>
      </c>
    </row>
    <row r="209">
      <c r="B209" s="11">
        <f>IF($A209="","",IFERROR(IF(INDEX(Community_Register!$B$2:$B$402,MATCH($A209,Community_Register!$A$2:$A$402,0))="","",INDEX(Community_Register!$B$2:$B$402,MATCH($A209,Community_Register!$A$2:$A$402,0))),""))</f>
        <v/>
      </c>
      <c r="H209" s="11">
        <f>IF($C209="","",IF($C209&lt;1,"yes","no"))</f>
        <v/>
      </c>
      <c r="I209" s="11">
        <f>IF($C209="","",IF($C209&lt;2.6,"r75",IF($C209&lt;5.2,"r110",IF($C209&lt;9.9,"r150",IF($C209&lt;19.8,"r210","r300")))))</f>
        <v/>
      </c>
      <c r="J209" s="11">
        <f>IF($C209="","",ROUND(SQRT($C209*10000/PI()),1))</f>
        <v/>
      </c>
      <c r="N209" s="11">
        <f>IF($A209="","",IFERROR(IF(INDEX(Community_Register!$S$2:$S$402,MATCH($A209,Community_Register!$A$2:$A$402,0))="","",INDEX(Community_Register!$S$2:$S$402,MATCH($A209,Community_Register!$A$2:$A$402,0))),""))</f>
        <v/>
      </c>
      <c r="O209" s="11">
        <f>IF($A209="","",IFERROR(IF(INDEX(Community_Register!$V$2:$V$402,MATCH($A209,Community_Register!$A$2:$A$402,0))="","",INDEX(Community_Register!$V$2:$V$402,MATCH($A209,Community_Register!$A$2:$A$402,0))),""))</f>
        <v/>
      </c>
      <c r="P209" s="11">
        <f>IF(OR($C209="",$N209="",NOT(ISNUMBER($N209))),"",$N209/$C209)</f>
        <v/>
      </c>
      <c r="Q209" s="11">
        <f>IF($C209="","",IF(OR($N209="",NOT(ISNUMBER($N209))),"B",IF(ABS($P209-1)&lt;=0.3,"A",IF(OR($P209&gt;2,$P209&lt;0.5),"C","B"))))</f>
        <v/>
      </c>
    </row>
    <row r="210">
      <c r="B210" s="11">
        <f>IF($A210="","",IFERROR(IF(INDEX(Community_Register!$B$2:$B$402,MATCH($A210,Community_Register!$A$2:$A$402,0))="","",INDEX(Community_Register!$B$2:$B$402,MATCH($A210,Community_Register!$A$2:$A$402,0))),""))</f>
        <v/>
      </c>
      <c r="H210" s="11">
        <f>IF($C210="","",IF($C210&lt;1,"yes","no"))</f>
        <v/>
      </c>
      <c r="I210" s="11">
        <f>IF($C210="","",IF($C210&lt;2.6,"r75",IF($C210&lt;5.2,"r110",IF($C210&lt;9.9,"r150",IF($C210&lt;19.8,"r210","r300")))))</f>
        <v/>
      </c>
      <c r="J210" s="11">
        <f>IF($C210="","",ROUND(SQRT($C210*10000/PI()),1))</f>
        <v/>
      </c>
      <c r="N210" s="11">
        <f>IF($A210="","",IFERROR(IF(INDEX(Community_Register!$S$2:$S$402,MATCH($A210,Community_Register!$A$2:$A$402,0))="","",INDEX(Community_Register!$S$2:$S$402,MATCH($A210,Community_Register!$A$2:$A$402,0))),""))</f>
        <v/>
      </c>
      <c r="O210" s="11">
        <f>IF($A210="","",IFERROR(IF(INDEX(Community_Register!$V$2:$V$402,MATCH($A210,Community_Register!$A$2:$A$402,0))="","",INDEX(Community_Register!$V$2:$V$402,MATCH($A210,Community_Register!$A$2:$A$402,0))),""))</f>
        <v/>
      </c>
      <c r="P210" s="11">
        <f>IF(OR($C210="",$N210="",NOT(ISNUMBER($N210))),"",$N210/$C210)</f>
        <v/>
      </c>
      <c r="Q210" s="11">
        <f>IF($C210="","",IF(OR($N210="",NOT(ISNUMBER($N210))),"B",IF(ABS($P210-1)&lt;=0.3,"A",IF(OR($P210&gt;2,$P210&lt;0.5),"C","B"))))</f>
        <v/>
      </c>
    </row>
    <row r="211">
      <c r="B211" s="11">
        <f>IF($A211="","",IFERROR(IF(INDEX(Community_Register!$B$2:$B$402,MATCH($A211,Community_Register!$A$2:$A$402,0))="","",INDEX(Community_Register!$B$2:$B$402,MATCH($A211,Community_Register!$A$2:$A$402,0))),""))</f>
        <v/>
      </c>
      <c r="H211" s="11">
        <f>IF($C211="","",IF($C211&lt;1,"yes","no"))</f>
        <v/>
      </c>
      <c r="I211" s="11">
        <f>IF($C211="","",IF($C211&lt;2.6,"r75",IF($C211&lt;5.2,"r110",IF($C211&lt;9.9,"r150",IF($C211&lt;19.8,"r210","r300")))))</f>
        <v/>
      </c>
      <c r="J211" s="11">
        <f>IF($C211="","",ROUND(SQRT($C211*10000/PI()),1))</f>
        <v/>
      </c>
      <c r="N211" s="11">
        <f>IF($A211="","",IFERROR(IF(INDEX(Community_Register!$S$2:$S$402,MATCH($A211,Community_Register!$A$2:$A$402,0))="","",INDEX(Community_Register!$S$2:$S$402,MATCH($A211,Community_Register!$A$2:$A$402,0))),""))</f>
        <v/>
      </c>
      <c r="O211" s="11">
        <f>IF($A211="","",IFERROR(IF(INDEX(Community_Register!$V$2:$V$402,MATCH($A211,Community_Register!$A$2:$A$402,0))="","",INDEX(Community_Register!$V$2:$V$402,MATCH($A211,Community_Register!$A$2:$A$402,0))),""))</f>
        <v/>
      </c>
      <c r="P211" s="11">
        <f>IF(OR($C211="",$N211="",NOT(ISNUMBER($N211))),"",$N211/$C211)</f>
        <v/>
      </c>
      <c r="Q211" s="11">
        <f>IF($C211="","",IF(OR($N211="",NOT(ISNUMBER($N211))),"B",IF(ABS($P211-1)&lt;=0.3,"A",IF(OR($P211&gt;2,$P211&lt;0.5),"C","B"))))</f>
        <v/>
      </c>
    </row>
    <row r="212">
      <c r="B212" s="11">
        <f>IF($A212="","",IFERROR(IF(INDEX(Community_Register!$B$2:$B$402,MATCH($A212,Community_Register!$A$2:$A$402,0))="","",INDEX(Community_Register!$B$2:$B$402,MATCH($A212,Community_Register!$A$2:$A$402,0))),""))</f>
        <v/>
      </c>
      <c r="H212" s="11">
        <f>IF($C212="","",IF($C212&lt;1,"yes","no"))</f>
        <v/>
      </c>
      <c r="I212" s="11">
        <f>IF($C212="","",IF($C212&lt;2.6,"r75",IF($C212&lt;5.2,"r110",IF($C212&lt;9.9,"r150",IF($C212&lt;19.8,"r210","r300")))))</f>
        <v/>
      </c>
      <c r="J212" s="11">
        <f>IF($C212="","",ROUND(SQRT($C212*10000/PI()),1))</f>
        <v/>
      </c>
      <c r="N212" s="11">
        <f>IF($A212="","",IFERROR(IF(INDEX(Community_Register!$S$2:$S$402,MATCH($A212,Community_Register!$A$2:$A$402,0))="","",INDEX(Community_Register!$S$2:$S$402,MATCH($A212,Community_Register!$A$2:$A$402,0))),""))</f>
        <v/>
      </c>
      <c r="O212" s="11">
        <f>IF($A212="","",IFERROR(IF(INDEX(Community_Register!$V$2:$V$402,MATCH($A212,Community_Register!$A$2:$A$402,0))="","",INDEX(Community_Register!$V$2:$V$402,MATCH($A212,Community_Register!$A$2:$A$402,0))),""))</f>
        <v/>
      </c>
      <c r="P212" s="11">
        <f>IF(OR($C212="",$N212="",NOT(ISNUMBER($N212))),"",$N212/$C212)</f>
        <v/>
      </c>
      <c r="Q212" s="11">
        <f>IF($C212="","",IF(OR($N212="",NOT(ISNUMBER($N212))),"B",IF(ABS($P212-1)&lt;=0.3,"A",IF(OR($P212&gt;2,$P212&lt;0.5),"C","B"))))</f>
        <v/>
      </c>
    </row>
    <row r="213">
      <c r="B213" s="11">
        <f>IF($A213="","",IFERROR(IF(INDEX(Community_Register!$B$2:$B$402,MATCH($A213,Community_Register!$A$2:$A$402,0))="","",INDEX(Community_Register!$B$2:$B$402,MATCH($A213,Community_Register!$A$2:$A$402,0))),""))</f>
        <v/>
      </c>
      <c r="H213" s="11">
        <f>IF($C213="","",IF($C213&lt;1,"yes","no"))</f>
        <v/>
      </c>
      <c r="I213" s="11">
        <f>IF($C213="","",IF($C213&lt;2.6,"r75",IF($C213&lt;5.2,"r110",IF($C213&lt;9.9,"r150",IF($C213&lt;19.8,"r210","r300")))))</f>
        <v/>
      </c>
      <c r="J213" s="11">
        <f>IF($C213="","",ROUND(SQRT($C213*10000/PI()),1))</f>
        <v/>
      </c>
      <c r="N213" s="11">
        <f>IF($A213="","",IFERROR(IF(INDEX(Community_Register!$S$2:$S$402,MATCH($A213,Community_Register!$A$2:$A$402,0))="","",INDEX(Community_Register!$S$2:$S$402,MATCH($A213,Community_Register!$A$2:$A$402,0))),""))</f>
        <v/>
      </c>
      <c r="O213" s="11">
        <f>IF($A213="","",IFERROR(IF(INDEX(Community_Register!$V$2:$V$402,MATCH($A213,Community_Register!$A$2:$A$402,0))="","",INDEX(Community_Register!$V$2:$V$402,MATCH($A213,Community_Register!$A$2:$A$402,0))),""))</f>
        <v/>
      </c>
      <c r="P213" s="11">
        <f>IF(OR($C213="",$N213="",NOT(ISNUMBER($N213))),"",$N213/$C213)</f>
        <v/>
      </c>
      <c r="Q213" s="11">
        <f>IF($C213="","",IF(OR($N213="",NOT(ISNUMBER($N213))),"B",IF(ABS($P213-1)&lt;=0.3,"A",IF(OR($P213&gt;2,$P213&lt;0.5),"C","B"))))</f>
        <v/>
      </c>
    </row>
    <row r="214">
      <c r="B214" s="11">
        <f>IF($A214="","",IFERROR(IF(INDEX(Community_Register!$B$2:$B$402,MATCH($A214,Community_Register!$A$2:$A$402,0))="","",INDEX(Community_Register!$B$2:$B$402,MATCH($A214,Community_Register!$A$2:$A$402,0))),""))</f>
        <v/>
      </c>
      <c r="H214" s="11">
        <f>IF($C214="","",IF($C214&lt;1,"yes","no"))</f>
        <v/>
      </c>
      <c r="I214" s="11">
        <f>IF($C214="","",IF($C214&lt;2.6,"r75",IF($C214&lt;5.2,"r110",IF($C214&lt;9.9,"r150",IF($C214&lt;19.8,"r210","r300")))))</f>
        <v/>
      </c>
      <c r="J214" s="11">
        <f>IF($C214="","",ROUND(SQRT($C214*10000/PI()),1))</f>
        <v/>
      </c>
      <c r="N214" s="11">
        <f>IF($A214="","",IFERROR(IF(INDEX(Community_Register!$S$2:$S$402,MATCH($A214,Community_Register!$A$2:$A$402,0))="","",INDEX(Community_Register!$S$2:$S$402,MATCH($A214,Community_Register!$A$2:$A$402,0))),""))</f>
        <v/>
      </c>
      <c r="O214" s="11">
        <f>IF($A214="","",IFERROR(IF(INDEX(Community_Register!$V$2:$V$402,MATCH($A214,Community_Register!$A$2:$A$402,0))="","",INDEX(Community_Register!$V$2:$V$402,MATCH($A214,Community_Register!$A$2:$A$402,0))),""))</f>
        <v/>
      </c>
      <c r="P214" s="11">
        <f>IF(OR($C214="",$N214="",NOT(ISNUMBER($N214))),"",$N214/$C214)</f>
        <v/>
      </c>
      <c r="Q214" s="11">
        <f>IF($C214="","",IF(OR($N214="",NOT(ISNUMBER($N214))),"B",IF(ABS($P214-1)&lt;=0.3,"A",IF(OR($P214&gt;2,$P214&lt;0.5),"C","B"))))</f>
        <v/>
      </c>
    </row>
    <row r="215">
      <c r="B215" s="11">
        <f>IF($A215="","",IFERROR(IF(INDEX(Community_Register!$B$2:$B$402,MATCH($A215,Community_Register!$A$2:$A$402,0))="","",INDEX(Community_Register!$B$2:$B$402,MATCH($A215,Community_Register!$A$2:$A$402,0))),""))</f>
        <v/>
      </c>
      <c r="H215" s="11">
        <f>IF($C215="","",IF($C215&lt;1,"yes","no"))</f>
        <v/>
      </c>
      <c r="I215" s="11">
        <f>IF($C215="","",IF($C215&lt;2.6,"r75",IF($C215&lt;5.2,"r110",IF($C215&lt;9.9,"r150",IF($C215&lt;19.8,"r210","r300")))))</f>
        <v/>
      </c>
      <c r="J215" s="11">
        <f>IF($C215="","",ROUND(SQRT($C215*10000/PI()),1))</f>
        <v/>
      </c>
      <c r="N215" s="11">
        <f>IF($A215="","",IFERROR(IF(INDEX(Community_Register!$S$2:$S$402,MATCH($A215,Community_Register!$A$2:$A$402,0))="","",INDEX(Community_Register!$S$2:$S$402,MATCH($A215,Community_Register!$A$2:$A$402,0))),""))</f>
        <v/>
      </c>
      <c r="O215" s="11">
        <f>IF($A215="","",IFERROR(IF(INDEX(Community_Register!$V$2:$V$402,MATCH($A215,Community_Register!$A$2:$A$402,0))="","",INDEX(Community_Register!$V$2:$V$402,MATCH($A215,Community_Register!$A$2:$A$402,0))),""))</f>
        <v/>
      </c>
      <c r="P215" s="11">
        <f>IF(OR($C215="",$N215="",NOT(ISNUMBER($N215))),"",$N215/$C215)</f>
        <v/>
      </c>
      <c r="Q215" s="11">
        <f>IF($C215="","",IF(OR($N215="",NOT(ISNUMBER($N215))),"B",IF(ABS($P215-1)&lt;=0.3,"A",IF(OR($P215&gt;2,$P215&lt;0.5),"C","B"))))</f>
        <v/>
      </c>
    </row>
    <row r="216">
      <c r="B216" s="11">
        <f>IF($A216="","",IFERROR(IF(INDEX(Community_Register!$B$2:$B$402,MATCH($A216,Community_Register!$A$2:$A$402,0))="","",INDEX(Community_Register!$B$2:$B$402,MATCH($A216,Community_Register!$A$2:$A$402,0))),""))</f>
        <v/>
      </c>
      <c r="H216" s="11">
        <f>IF($C216="","",IF($C216&lt;1,"yes","no"))</f>
        <v/>
      </c>
      <c r="I216" s="11">
        <f>IF($C216="","",IF($C216&lt;2.6,"r75",IF($C216&lt;5.2,"r110",IF($C216&lt;9.9,"r150",IF($C216&lt;19.8,"r210","r300")))))</f>
        <v/>
      </c>
      <c r="J216" s="11">
        <f>IF($C216="","",ROUND(SQRT($C216*10000/PI()),1))</f>
        <v/>
      </c>
      <c r="N216" s="11">
        <f>IF($A216="","",IFERROR(IF(INDEX(Community_Register!$S$2:$S$402,MATCH($A216,Community_Register!$A$2:$A$402,0))="","",INDEX(Community_Register!$S$2:$S$402,MATCH($A216,Community_Register!$A$2:$A$402,0))),""))</f>
        <v/>
      </c>
      <c r="O216" s="11">
        <f>IF($A216="","",IFERROR(IF(INDEX(Community_Register!$V$2:$V$402,MATCH($A216,Community_Register!$A$2:$A$402,0))="","",INDEX(Community_Register!$V$2:$V$402,MATCH($A216,Community_Register!$A$2:$A$402,0))),""))</f>
        <v/>
      </c>
      <c r="P216" s="11">
        <f>IF(OR($C216="",$N216="",NOT(ISNUMBER($N216))),"",$N216/$C216)</f>
        <v/>
      </c>
      <c r="Q216" s="11">
        <f>IF($C216="","",IF(OR($N216="",NOT(ISNUMBER($N216))),"B",IF(ABS($P216-1)&lt;=0.3,"A",IF(OR($P216&gt;2,$P216&lt;0.5),"C","B"))))</f>
        <v/>
      </c>
    </row>
    <row r="217">
      <c r="B217" s="11">
        <f>IF($A217="","",IFERROR(IF(INDEX(Community_Register!$B$2:$B$402,MATCH($A217,Community_Register!$A$2:$A$402,0))="","",INDEX(Community_Register!$B$2:$B$402,MATCH($A217,Community_Register!$A$2:$A$402,0))),""))</f>
        <v/>
      </c>
      <c r="H217" s="11">
        <f>IF($C217="","",IF($C217&lt;1,"yes","no"))</f>
        <v/>
      </c>
      <c r="I217" s="11">
        <f>IF($C217="","",IF($C217&lt;2.6,"r75",IF($C217&lt;5.2,"r110",IF($C217&lt;9.9,"r150",IF($C217&lt;19.8,"r210","r300")))))</f>
        <v/>
      </c>
      <c r="J217" s="11">
        <f>IF($C217="","",ROUND(SQRT($C217*10000/PI()),1))</f>
        <v/>
      </c>
      <c r="N217" s="11">
        <f>IF($A217="","",IFERROR(IF(INDEX(Community_Register!$S$2:$S$402,MATCH($A217,Community_Register!$A$2:$A$402,0))="","",INDEX(Community_Register!$S$2:$S$402,MATCH($A217,Community_Register!$A$2:$A$402,0))),""))</f>
        <v/>
      </c>
      <c r="O217" s="11">
        <f>IF($A217="","",IFERROR(IF(INDEX(Community_Register!$V$2:$V$402,MATCH($A217,Community_Register!$A$2:$A$402,0))="","",INDEX(Community_Register!$V$2:$V$402,MATCH($A217,Community_Register!$A$2:$A$402,0))),""))</f>
        <v/>
      </c>
      <c r="P217" s="11">
        <f>IF(OR($C217="",$N217="",NOT(ISNUMBER($N217))),"",$N217/$C217)</f>
        <v/>
      </c>
      <c r="Q217" s="11">
        <f>IF($C217="","",IF(OR($N217="",NOT(ISNUMBER($N217))),"B",IF(ABS($P217-1)&lt;=0.3,"A",IF(OR($P217&gt;2,$P217&lt;0.5),"C","B"))))</f>
        <v/>
      </c>
    </row>
    <row r="218">
      <c r="B218" s="11">
        <f>IF($A218="","",IFERROR(IF(INDEX(Community_Register!$B$2:$B$402,MATCH($A218,Community_Register!$A$2:$A$402,0))="","",INDEX(Community_Register!$B$2:$B$402,MATCH($A218,Community_Register!$A$2:$A$402,0))),""))</f>
        <v/>
      </c>
      <c r="H218" s="11">
        <f>IF($C218="","",IF($C218&lt;1,"yes","no"))</f>
        <v/>
      </c>
      <c r="I218" s="11">
        <f>IF($C218="","",IF($C218&lt;2.6,"r75",IF($C218&lt;5.2,"r110",IF($C218&lt;9.9,"r150",IF($C218&lt;19.8,"r210","r300")))))</f>
        <v/>
      </c>
      <c r="J218" s="11">
        <f>IF($C218="","",ROUND(SQRT($C218*10000/PI()),1))</f>
        <v/>
      </c>
      <c r="N218" s="11">
        <f>IF($A218="","",IFERROR(IF(INDEX(Community_Register!$S$2:$S$402,MATCH($A218,Community_Register!$A$2:$A$402,0))="","",INDEX(Community_Register!$S$2:$S$402,MATCH($A218,Community_Register!$A$2:$A$402,0))),""))</f>
        <v/>
      </c>
      <c r="O218" s="11">
        <f>IF($A218="","",IFERROR(IF(INDEX(Community_Register!$V$2:$V$402,MATCH($A218,Community_Register!$A$2:$A$402,0))="","",INDEX(Community_Register!$V$2:$V$402,MATCH($A218,Community_Register!$A$2:$A$402,0))),""))</f>
        <v/>
      </c>
      <c r="P218" s="11">
        <f>IF(OR($C218="",$N218="",NOT(ISNUMBER($N218))),"",$N218/$C218)</f>
        <v/>
      </c>
      <c r="Q218" s="11">
        <f>IF($C218="","",IF(OR($N218="",NOT(ISNUMBER($N218))),"B",IF(ABS($P218-1)&lt;=0.3,"A",IF(OR($P218&gt;2,$P218&lt;0.5),"C","B"))))</f>
        <v/>
      </c>
    </row>
    <row r="219">
      <c r="B219" s="11">
        <f>IF($A219="","",IFERROR(IF(INDEX(Community_Register!$B$2:$B$402,MATCH($A219,Community_Register!$A$2:$A$402,0))="","",INDEX(Community_Register!$B$2:$B$402,MATCH($A219,Community_Register!$A$2:$A$402,0))),""))</f>
        <v/>
      </c>
      <c r="H219" s="11">
        <f>IF($C219="","",IF($C219&lt;1,"yes","no"))</f>
        <v/>
      </c>
      <c r="I219" s="11">
        <f>IF($C219="","",IF($C219&lt;2.6,"r75",IF($C219&lt;5.2,"r110",IF($C219&lt;9.9,"r150",IF($C219&lt;19.8,"r210","r300")))))</f>
        <v/>
      </c>
      <c r="J219" s="11">
        <f>IF($C219="","",ROUND(SQRT($C219*10000/PI()),1))</f>
        <v/>
      </c>
      <c r="N219" s="11">
        <f>IF($A219="","",IFERROR(IF(INDEX(Community_Register!$S$2:$S$402,MATCH($A219,Community_Register!$A$2:$A$402,0))="","",INDEX(Community_Register!$S$2:$S$402,MATCH($A219,Community_Register!$A$2:$A$402,0))),""))</f>
        <v/>
      </c>
      <c r="O219" s="11">
        <f>IF($A219="","",IFERROR(IF(INDEX(Community_Register!$V$2:$V$402,MATCH($A219,Community_Register!$A$2:$A$402,0))="","",INDEX(Community_Register!$V$2:$V$402,MATCH($A219,Community_Register!$A$2:$A$402,0))),""))</f>
        <v/>
      </c>
      <c r="P219" s="11">
        <f>IF(OR($C219="",$N219="",NOT(ISNUMBER($N219))),"",$N219/$C219)</f>
        <v/>
      </c>
      <c r="Q219" s="11">
        <f>IF($C219="","",IF(OR($N219="",NOT(ISNUMBER($N219))),"B",IF(ABS($P219-1)&lt;=0.3,"A",IF(OR($P219&gt;2,$P219&lt;0.5),"C","B"))))</f>
        <v/>
      </c>
    </row>
    <row r="220">
      <c r="B220" s="11">
        <f>IF($A220="","",IFERROR(IF(INDEX(Community_Register!$B$2:$B$402,MATCH($A220,Community_Register!$A$2:$A$402,0))="","",INDEX(Community_Register!$B$2:$B$402,MATCH($A220,Community_Register!$A$2:$A$402,0))),""))</f>
        <v/>
      </c>
      <c r="H220" s="11">
        <f>IF($C220="","",IF($C220&lt;1,"yes","no"))</f>
        <v/>
      </c>
      <c r="I220" s="11">
        <f>IF($C220="","",IF($C220&lt;2.6,"r75",IF($C220&lt;5.2,"r110",IF($C220&lt;9.9,"r150",IF($C220&lt;19.8,"r210","r300")))))</f>
        <v/>
      </c>
      <c r="J220" s="11">
        <f>IF($C220="","",ROUND(SQRT($C220*10000/PI()),1))</f>
        <v/>
      </c>
      <c r="N220" s="11">
        <f>IF($A220="","",IFERROR(IF(INDEX(Community_Register!$S$2:$S$402,MATCH($A220,Community_Register!$A$2:$A$402,0))="","",INDEX(Community_Register!$S$2:$S$402,MATCH($A220,Community_Register!$A$2:$A$402,0))),""))</f>
        <v/>
      </c>
      <c r="O220" s="11">
        <f>IF($A220="","",IFERROR(IF(INDEX(Community_Register!$V$2:$V$402,MATCH($A220,Community_Register!$A$2:$A$402,0))="","",INDEX(Community_Register!$V$2:$V$402,MATCH($A220,Community_Register!$A$2:$A$402,0))),""))</f>
        <v/>
      </c>
      <c r="P220" s="11">
        <f>IF(OR($C220="",$N220="",NOT(ISNUMBER($N220))),"",$N220/$C220)</f>
        <v/>
      </c>
      <c r="Q220" s="11">
        <f>IF($C220="","",IF(OR($N220="",NOT(ISNUMBER($N220))),"B",IF(ABS($P220-1)&lt;=0.3,"A",IF(OR($P220&gt;2,$P220&lt;0.5),"C","B"))))</f>
        <v/>
      </c>
    </row>
    <row r="221">
      <c r="B221" s="11">
        <f>IF($A221="","",IFERROR(IF(INDEX(Community_Register!$B$2:$B$402,MATCH($A221,Community_Register!$A$2:$A$402,0))="","",INDEX(Community_Register!$B$2:$B$402,MATCH($A221,Community_Register!$A$2:$A$402,0))),""))</f>
        <v/>
      </c>
      <c r="H221" s="11">
        <f>IF($C221="","",IF($C221&lt;1,"yes","no"))</f>
        <v/>
      </c>
      <c r="I221" s="11">
        <f>IF($C221="","",IF($C221&lt;2.6,"r75",IF($C221&lt;5.2,"r110",IF($C221&lt;9.9,"r150",IF($C221&lt;19.8,"r210","r300")))))</f>
        <v/>
      </c>
      <c r="J221" s="11">
        <f>IF($C221="","",ROUND(SQRT($C221*10000/PI()),1))</f>
        <v/>
      </c>
      <c r="N221" s="11">
        <f>IF($A221="","",IFERROR(IF(INDEX(Community_Register!$S$2:$S$402,MATCH($A221,Community_Register!$A$2:$A$402,0))="","",INDEX(Community_Register!$S$2:$S$402,MATCH($A221,Community_Register!$A$2:$A$402,0))),""))</f>
        <v/>
      </c>
      <c r="O221" s="11">
        <f>IF($A221="","",IFERROR(IF(INDEX(Community_Register!$V$2:$V$402,MATCH($A221,Community_Register!$A$2:$A$402,0))="","",INDEX(Community_Register!$V$2:$V$402,MATCH($A221,Community_Register!$A$2:$A$402,0))),""))</f>
        <v/>
      </c>
      <c r="P221" s="11">
        <f>IF(OR($C221="",$N221="",NOT(ISNUMBER($N221))),"",$N221/$C221)</f>
        <v/>
      </c>
      <c r="Q221" s="11">
        <f>IF($C221="","",IF(OR($N221="",NOT(ISNUMBER($N221))),"B",IF(ABS($P221-1)&lt;=0.3,"A",IF(OR($P221&gt;2,$P221&lt;0.5),"C","B"))))</f>
        <v/>
      </c>
    </row>
    <row r="222">
      <c r="B222" s="11">
        <f>IF($A222="","",IFERROR(IF(INDEX(Community_Register!$B$2:$B$402,MATCH($A222,Community_Register!$A$2:$A$402,0))="","",INDEX(Community_Register!$B$2:$B$402,MATCH($A222,Community_Register!$A$2:$A$402,0))),""))</f>
        <v/>
      </c>
      <c r="H222" s="11">
        <f>IF($C222="","",IF($C222&lt;1,"yes","no"))</f>
        <v/>
      </c>
      <c r="I222" s="11">
        <f>IF($C222="","",IF($C222&lt;2.6,"r75",IF($C222&lt;5.2,"r110",IF($C222&lt;9.9,"r150",IF($C222&lt;19.8,"r210","r300")))))</f>
        <v/>
      </c>
      <c r="J222" s="11">
        <f>IF($C222="","",ROUND(SQRT($C222*10000/PI()),1))</f>
        <v/>
      </c>
      <c r="N222" s="11">
        <f>IF($A222="","",IFERROR(IF(INDEX(Community_Register!$S$2:$S$402,MATCH($A222,Community_Register!$A$2:$A$402,0))="","",INDEX(Community_Register!$S$2:$S$402,MATCH($A222,Community_Register!$A$2:$A$402,0))),""))</f>
        <v/>
      </c>
      <c r="O222" s="11">
        <f>IF($A222="","",IFERROR(IF(INDEX(Community_Register!$V$2:$V$402,MATCH($A222,Community_Register!$A$2:$A$402,0))="","",INDEX(Community_Register!$V$2:$V$402,MATCH($A222,Community_Register!$A$2:$A$402,0))),""))</f>
        <v/>
      </c>
      <c r="P222" s="11">
        <f>IF(OR($C222="",$N222="",NOT(ISNUMBER($N222))),"",$N222/$C222)</f>
        <v/>
      </c>
      <c r="Q222" s="11">
        <f>IF($C222="","",IF(OR($N222="",NOT(ISNUMBER($N222))),"B",IF(ABS($P222-1)&lt;=0.3,"A",IF(OR($P222&gt;2,$P222&lt;0.5),"C","B"))))</f>
        <v/>
      </c>
    </row>
    <row r="223">
      <c r="B223" s="11">
        <f>IF($A223="","",IFERROR(IF(INDEX(Community_Register!$B$2:$B$402,MATCH($A223,Community_Register!$A$2:$A$402,0))="","",INDEX(Community_Register!$B$2:$B$402,MATCH($A223,Community_Register!$A$2:$A$402,0))),""))</f>
        <v/>
      </c>
      <c r="H223" s="11">
        <f>IF($C223="","",IF($C223&lt;1,"yes","no"))</f>
        <v/>
      </c>
      <c r="I223" s="11">
        <f>IF($C223="","",IF($C223&lt;2.6,"r75",IF($C223&lt;5.2,"r110",IF($C223&lt;9.9,"r150",IF($C223&lt;19.8,"r210","r300")))))</f>
        <v/>
      </c>
      <c r="J223" s="11">
        <f>IF($C223="","",ROUND(SQRT($C223*10000/PI()),1))</f>
        <v/>
      </c>
      <c r="N223" s="11">
        <f>IF($A223="","",IFERROR(IF(INDEX(Community_Register!$S$2:$S$402,MATCH($A223,Community_Register!$A$2:$A$402,0))="","",INDEX(Community_Register!$S$2:$S$402,MATCH($A223,Community_Register!$A$2:$A$402,0))),""))</f>
        <v/>
      </c>
      <c r="O223" s="11">
        <f>IF($A223="","",IFERROR(IF(INDEX(Community_Register!$V$2:$V$402,MATCH($A223,Community_Register!$A$2:$A$402,0))="","",INDEX(Community_Register!$V$2:$V$402,MATCH($A223,Community_Register!$A$2:$A$402,0))),""))</f>
        <v/>
      </c>
      <c r="P223" s="11">
        <f>IF(OR($C223="",$N223="",NOT(ISNUMBER($N223))),"",$N223/$C223)</f>
        <v/>
      </c>
      <c r="Q223" s="11">
        <f>IF($C223="","",IF(OR($N223="",NOT(ISNUMBER($N223))),"B",IF(ABS($P223-1)&lt;=0.3,"A",IF(OR($P223&gt;2,$P223&lt;0.5),"C","B"))))</f>
        <v/>
      </c>
    </row>
    <row r="224">
      <c r="B224" s="11">
        <f>IF($A224="","",IFERROR(IF(INDEX(Community_Register!$B$2:$B$402,MATCH($A224,Community_Register!$A$2:$A$402,0))="","",INDEX(Community_Register!$B$2:$B$402,MATCH($A224,Community_Register!$A$2:$A$402,0))),""))</f>
        <v/>
      </c>
      <c r="H224" s="11">
        <f>IF($C224="","",IF($C224&lt;1,"yes","no"))</f>
        <v/>
      </c>
      <c r="I224" s="11">
        <f>IF($C224="","",IF($C224&lt;2.6,"r75",IF($C224&lt;5.2,"r110",IF($C224&lt;9.9,"r150",IF($C224&lt;19.8,"r210","r300")))))</f>
        <v/>
      </c>
      <c r="J224" s="11">
        <f>IF($C224="","",ROUND(SQRT($C224*10000/PI()),1))</f>
        <v/>
      </c>
      <c r="N224" s="11">
        <f>IF($A224="","",IFERROR(IF(INDEX(Community_Register!$S$2:$S$402,MATCH($A224,Community_Register!$A$2:$A$402,0))="","",INDEX(Community_Register!$S$2:$S$402,MATCH($A224,Community_Register!$A$2:$A$402,0))),""))</f>
        <v/>
      </c>
      <c r="O224" s="11">
        <f>IF($A224="","",IFERROR(IF(INDEX(Community_Register!$V$2:$V$402,MATCH($A224,Community_Register!$A$2:$A$402,0))="","",INDEX(Community_Register!$V$2:$V$402,MATCH($A224,Community_Register!$A$2:$A$402,0))),""))</f>
        <v/>
      </c>
      <c r="P224" s="11">
        <f>IF(OR($C224="",$N224="",NOT(ISNUMBER($N224))),"",$N224/$C224)</f>
        <v/>
      </c>
      <c r="Q224" s="11">
        <f>IF($C224="","",IF(OR($N224="",NOT(ISNUMBER($N224))),"B",IF(ABS($P224-1)&lt;=0.3,"A",IF(OR($P224&gt;2,$P224&lt;0.5),"C","B"))))</f>
        <v/>
      </c>
    </row>
    <row r="225">
      <c r="B225" s="11">
        <f>IF($A225="","",IFERROR(IF(INDEX(Community_Register!$B$2:$B$402,MATCH($A225,Community_Register!$A$2:$A$402,0))="","",INDEX(Community_Register!$B$2:$B$402,MATCH($A225,Community_Register!$A$2:$A$402,0))),""))</f>
        <v/>
      </c>
      <c r="H225" s="11">
        <f>IF($C225="","",IF($C225&lt;1,"yes","no"))</f>
        <v/>
      </c>
      <c r="I225" s="11">
        <f>IF($C225="","",IF($C225&lt;2.6,"r75",IF($C225&lt;5.2,"r110",IF($C225&lt;9.9,"r150",IF($C225&lt;19.8,"r210","r300")))))</f>
        <v/>
      </c>
      <c r="J225" s="11">
        <f>IF($C225="","",ROUND(SQRT($C225*10000/PI()),1))</f>
        <v/>
      </c>
      <c r="N225" s="11">
        <f>IF($A225="","",IFERROR(IF(INDEX(Community_Register!$S$2:$S$402,MATCH($A225,Community_Register!$A$2:$A$402,0))="","",INDEX(Community_Register!$S$2:$S$402,MATCH($A225,Community_Register!$A$2:$A$402,0))),""))</f>
        <v/>
      </c>
      <c r="O225" s="11">
        <f>IF($A225="","",IFERROR(IF(INDEX(Community_Register!$V$2:$V$402,MATCH($A225,Community_Register!$A$2:$A$402,0))="","",INDEX(Community_Register!$V$2:$V$402,MATCH($A225,Community_Register!$A$2:$A$402,0))),""))</f>
        <v/>
      </c>
      <c r="P225" s="11">
        <f>IF(OR($C225="",$N225="",NOT(ISNUMBER($N225))),"",$N225/$C225)</f>
        <v/>
      </c>
      <c r="Q225" s="11">
        <f>IF($C225="","",IF(OR($N225="",NOT(ISNUMBER($N225))),"B",IF(ABS($P225-1)&lt;=0.3,"A",IF(OR($P225&gt;2,$P225&lt;0.5),"C","B"))))</f>
        <v/>
      </c>
    </row>
    <row r="226">
      <c r="B226" s="11">
        <f>IF($A226="","",IFERROR(IF(INDEX(Community_Register!$B$2:$B$402,MATCH($A226,Community_Register!$A$2:$A$402,0))="","",INDEX(Community_Register!$B$2:$B$402,MATCH($A226,Community_Register!$A$2:$A$402,0))),""))</f>
        <v/>
      </c>
      <c r="H226" s="11">
        <f>IF($C226="","",IF($C226&lt;1,"yes","no"))</f>
        <v/>
      </c>
      <c r="I226" s="11">
        <f>IF($C226="","",IF($C226&lt;2.6,"r75",IF($C226&lt;5.2,"r110",IF($C226&lt;9.9,"r150",IF($C226&lt;19.8,"r210","r300")))))</f>
        <v/>
      </c>
      <c r="J226" s="11">
        <f>IF($C226="","",ROUND(SQRT($C226*10000/PI()),1))</f>
        <v/>
      </c>
      <c r="N226" s="11">
        <f>IF($A226="","",IFERROR(IF(INDEX(Community_Register!$S$2:$S$402,MATCH($A226,Community_Register!$A$2:$A$402,0))="","",INDEX(Community_Register!$S$2:$S$402,MATCH($A226,Community_Register!$A$2:$A$402,0))),""))</f>
        <v/>
      </c>
      <c r="O226" s="11">
        <f>IF($A226="","",IFERROR(IF(INDEX(Community_Register!$V$2:$V$402,MATCH($A226,Community_Register!$A$2:$A$402,0))="","",INDEX(Community_Register!$V$2:$V$402,MATCH($A226,Community_Register!$A$2:$A$402,0))),""))</f>
        <v/>
      </c>
      <c r="P226" s="11">
        <f>IF(OR($C226="",$N226="",NOT(ISNUMBER($N226))),"",$N226/$C226)</f>
        <v/>
      </c>
      <c r="Q226" s="11">
        <f>IF($C226="","",IF(OR($N226="",NOT(ISNUMBER($N226))),"B",IF(ABS($P226-1)&lt;=0.3,"A",IF(OR($P226&gt;2,$P226&lt;0.5),"C","B"))))</f>
        <v/>
      </c>
    </row>
    <row r="227">
      <c r="B227" s="11">
        <f>IF($A227="","",IFERROR(IF(INDEX(Community_Register!$B$2:$B$402,MATCH($A227,Community_Register!$A$2:$A$402,0))="","",INDEX(Community_Register!$B$2:$B$402,MATCH($A227,Community_Register!$A$2:$A$402,0))),""))</f>
        <v/>
      </c>
      <c r="H227" s="11">
        <f>IF($C227="","",IF($C227&lt;1,"yes","no"))</f>
        <v/>
      </c>
      <c r="I227" s="11">
        <f>IF($C227="","",IF($C227&lt;2.6,"r75",IF($C227&lt;5.2,"r110",IF($C227&lt;9.9,"r150",IF($C227&lt;19.8,"r210","r300")))))</f>
        <v/>
      </c>
      <c r="J227" s="11">
        <f>IF($C227="","",ROUND(SQRT($C227*10000/PI()),1))</f>
        <v/>
      </c>
      <c r="N227" s="11">
        <f>IF($A227="","",IFERROR(IF(INDEX(Community_Register!$S$2:$S$402,MATCH($A227,Community_Register!$A$2:$A$402,0))="","",INDEX(Community_Register!$S$2:$S$402,MATCH($A227,Community_Register!$A$2:$A$402,0))),""))</f>
        <v/>
      </c>
      <c r="O227" s="11">
        <f>IF($A227="","",IFERROR(IF(INDEX(Community_Register!$V$2:$V$402,MATCH($A227,Community_Register!$A$2:$A$402,0))="","",INDEX(Community_Register!$V$2:$V$402,MATCH($A227,Community_Register!$A$2:$A$402,0))),""))</f>
        <v/>
      </c>
      <c r="P227" s="11">
        <f>IF(OR($C227="",$N227="",NOT(ISNUMBER($N227))),"",$N227/$C227)</f>
        <v/>
      </c>
      <c r="Q227" s="11">
        <f>IF($C227="","",IF(OR($N227="",NOT(ISNUMBER($N227))),"B",IF(ABS($P227-1)&lt;=0.3,"A",IF(OR($P227&gt;2,$P227&lt;0.5),"C","B"))))</f>
        <v/>
      </c>
    </row>
    <row r="228">
      <c r="B228" s="11">
        <f>IF($A228="","",IFERROR(IF(INDEX(Community_Register!$B$2:$B$402,MATCH($A228,Community_Register!$A$2:$A$402,0))="","",INDEX(Community_Register!$B$2:$B$402,MATCH($A228,Community_Register!$A$2:$A$402,0))),""))</f>
        <v/>
      </c>
      <c r="H228" s="11">
        <f>IF($C228="","",IF($C228&lt;1,"yes","no"))</f>
        <v/>
      </c>
      <c r="I228" s="11">
        <f>IF($C228="","",IF($C228&lt;2.6,"r75",IF($C228&lt;5.2,"r110",IF($C228&lt;9.9,"r150",IF($C228&lt;19.8,"r210","r300")))))</f>
        <v/>
      </c>
      <c r="J228" s="11">
        <f>IF($C228="","",ROUND(SQRT($C228*10000/PI()),1))</f>
        <v/>
      </c>
      <c r="N228" s="11">
        <f>IF($A228="","",IFERROR(IF(INDEX(Community_Register!$S$2:$S$402,MATCH($A228,Community_Register!$A$2:$A$402,0))="","",INDEX(Community_Register!$S$2:$S$402,MATCH($A228,Community_Register!$A$2:$A$402,0))),""))</f>
        <v/>
      </c>
      <c r="O228" s="11">
        <f>IF($A228="","",IFERROR(IF(INDEX(Community_Register!$V$2:$V$402,MATCH($A228,Community_Register!$A$2:$A$402,0))="","",INDEX(Community_Register!$V$2:$V$402,MATCH($A228,Community_Register!$A$2:$A$402,0))),""))</f>
        <v/>
      </c>
      <c r="P228" s="11">
        <f>IF(OR($C228="",$N228="",NOT(ISNUMBER($N228))),"",$N228/$C228)</f>
        <v/>
      </c>
      <c r="Q228" s="11">
        <f>IF($C228="","",IF(OR($N228="",NOT(ISNUMBER($N228))),"B",IF(ABS($P228-1)&lt;=0.3,"A",IF(OR($P228&gt;2,$P228&lt;0.5),"C","B"))))</f>
        <v/>
      </c>
    </row>
    <row r="229">
      <c r="B229" s="11">
        <f>IF($A229="","",IFERROR(IF(INDEX(Community_Register!$B$2:$B$402,MATCH($A229,Community_Register!$A$2:$A$402,0))="","",INDEX(Community_Register!$B$2:$B$402,MATCH($A229,Community_Register!$A$2:$A$402,0))),""))</f>
        <v/>
      </c>
      <c r="H229" s="11">
        <f>IF($C229="","",IF($C229&lt;1,"yes","no"))</f>
        <v/>
      </c>
      <c r="I229" s="11">
        <f>IF($C229="","",IF($C229&lt;2.6,"r75",IF($C229&lt;5.2,"r110",IF($C229&lt;9.9,"r150",IF($C229&lt;19.8,"r210","r300")))))</f>
        <v/>
      </c>
      <c r="J229" s="11">
        <f>IF($C229="","",ROUND(SQRT($C229*10000/PI()),1))</f>
        <v/>
      </c>
      <c r="N229" s="11">
        <f>IF($A229="","",IFERROR(IF(INDEX(Community_Register!$S$2:$S$402,MATCH($A229,Community_Register!$A$2:$A$402,0))="","",INDEX(Community_Register!$S$2:$S$402,MATCH($A229,Community_Register!$A$2:$A$402,0))),""))</f>
        <v/>
      </c>
      <c r="O229" s="11">
        <f>IF($A229="","",IFERROR(IF(INDEX(Community_Register!$V$2:$V$402,MATCH($A229,Community_Register!$A$2:$A$402,0))="","",INDEX(Community_Register!$V$2:$V$402,MATCH($A229,Community_Register!$A$2:$A$402,0))),""))</f>
        <v/>
      </c>
      <c r="P229" s="11">
        <f>IF(OR($C229="",$N229="",NOT(ISNUMBER($N229))),"",$N229/$C229)</f>
        <v/>
      </c>
      <c r="Q229" s="11">
        <f>IF($C229="","",IF(OR($N229="",NOT(ISNUMBER($N229))),"B",IF(ABS($P229-1)&lt;=0.3,"A",IF(OR($P229&gt;2,$P229&lt;0.5),"C","B"))))</f>
        <v/>
      </c>
    </row>
    <row r="230">
      <c r="B230" s="11">
        <f>IF($A230="","",IFERROR(IF(INDEX(Community_Register!$B$2:$B$402,MATCH($A230,Community_Register!$A$2:$A$402,0))="","",INDEX(Community_Register!$B$2:$B$402,MATCH($A230,Community_Register!$A$2:$A$402,0))),""))</f>
        <v/>
      </c>
      <c r="H230" s="11">
        <f>IF($C230="","",IF($C230&lt;1,"yes","no"))</f>
        <v/>
      </c>
      <c r="I230" s="11">
        <f>IF($C230="","",IF($C230&lt;2.6,"r75",IF($C230&lt;5.2,"r110",IF($C230&lt;9.9,"r150",IF($C230&lt;19.8,"r210","r300")))))</f>
        <v/>
      </c>
      <c r="J230" s="11">
        <f>IF($C230="","",ROUND(SQRT($C230*10000/PI()),1))</f>
        <v/>
      </c>
      <c r="N230" s="11">
        <f>IF($A230="","",IFERROR(IF(INDEX(Community_Register!$S$2:$S$402,MATCH($A230,Community_Register!$A$2:$A$402,0))="","",INDEX(Community_Register!$S$2:$S$402,MATCH($A230,Community_Register!$A$2:$A$402,0))),""))</f>
        <v/>
      </c>
      <c r="O230" s="11">
        <f>IF($A230="","",IFERROR(IF(INDEX(Community_Register!$V$2:$V$402,MATCH($A230,Community_Register!$A$2:$A$402,0))="","",INDEX(Community_Register!$V$2:$V$402,MATCH($A230,Community_Register!$A$2:$A$402,0))),""))</f>
        <v/>
      </c>
      <c r="P230" s="11">
        <f>IF(OR($C230="",$N230="",NOT(ISNUMBER($N230))),"",$N230/$C230)</f>
        <v/>
      </c>
      <c r="Q230" s="11">
        <f>IF($C230="","",IF(OR($N230="",NOT(ISNUMBER($N230))),"B",IF(ABS($P230-1)&lt;=0.3,"A",IF(OR($P230&gt;2,$P230&lt;0.5),"C","B"))))</f>
        <v/>
      </c>
    </row>
    <row r="231">
      <c r="B231" s="11">
        <f>IF($A231="","",IFERROR(IF(INDEX(Community_Register!$B$2:$B$402,MATCH($A231,Community_Register!$A$2:$A$402,0))="","",INDEX(Community_Register!$B$2:$B$402,MATCH($A231,Community_Register!$A$2:$A$402,0))),""))</f>
        <v/>
      </c>
      <c r="H231" s="11">
        <f>IF($C231="","",IF($C231&lt;1,"yes","no"))</f>
        <v/>
      </c>
      <c r="I231" s="11">
        <f>IF($C231="","",IF($C231&lt;2.6,"r75",IF($C231&lt;5.2,"r110",IF($C231&lt;9.9,"r150",IF($C231&lt;19.8,"r210","r300")))))</f>
        <v/>
      </c>
      <c r="J231" s="11">
        <f>IF($C231="","",ROUND(SQRT($C231*10000/PI()),1))</f>
        <v/>
      </c>
      <c r="N231" s="11">
        <f>IF($A231="","",IFERROR(IF(INDEX(Community_Register!$S$2:$S$402,MATCH($A231,Community_Register!$A$2:$A$402,0))="","",INDEX(Community_Register!$S$2:$S$402,MATCH($A231,Community_Register!$A$2:$A$402,0))),""))</f>
        <v/>
      </c>
      <c r="O231" s="11">
        <f>IF($A231="","",IFERROR(IF(INDEX(Community_Register!$V$2:$V$402,MATCH($A231,Community_Register!$A$2:$A$402,0))="","",INDEX(Community_Register!$V$2:$V$402,MATCH($A231,Community_Register!$A$2:$A$402,0))),""))</f>
        <v/>
      </c>
      <c r="P231" s="11">
        <f>IF(OR($C231="",$N231="",NOT(ISNUMBER($N231))),"",$N231/$C231)</f>
        <v/>
      </c>
      <c r="Q231" s="11">
        <f>IF($C231="","",IF(OR($N231="",NOT(ISNUMBER($N231))),"B",IF(ABS($P231-1)&lt;=0.3,"A",IF(OR($P231&gt;2,$P231&lt;0.5),"C","B"))))</f>
        <v/>
      </c>
    </row>
    <row r="232">
      <c r="B232" s="11">
        <f>IF($A232="","",IFERROR(IF(INDEX(Community_Register!$B$2:$B$402,MATCH($A232,Community_Register!$A$2:$A$402,0))="","",INDEX(Community_Register!$B$2:$B$402,MATCH($A232,Community_Register!$A$2:$A$402,0))),""))</f>
        <v/>
      </c>
      <c r="H232" s="11">
        <f>IF($C232="","",IF($C232&lt;1,"yes","no"))</f>
        <v/>
      </c>
      <c r="I232" s="11">
        <f>IF($C232="","",IF($C232&lt;2.6,"r75",IF($C232&lt;5.2,"r110",IF($C232&lt;9.9,"r150",IF($C232&lt;19.8,"r210","r300")))))</f>
        <v/>
      </c>
      <c r="J232" s="11">
        <f>IF($C232="","",ROUND(SQRT($C232*10000/PI()),1))</f>
        <v/>
      </c>
      <c r="N232" s="11">
        <f>IF($A232="","",IFERROR(IF(INDEX(Community_Register!$S$2:$S$402,MATCH($A232,Community_Register!$A$2:$A$402,0))="","",INDEX(Community_Register!$S$2:$S$402,MATCH($A232,Community_Register!$A$2:$A$402,0))),""))</f>
        <v/>
      </c>
      <c r="O232" s="11">
        <f>IF($A232="","",IFERROR(IF(INDEX(Community_Register!$V$2:$V$402,MATCH($A232,Community_Register!$A$2:$A$402,0))="","",INDEX(Community_Register!$V$2:$V$402,MATCH($A232,Community_Register!$A$2:$A$402,0))),""))</f>
        <v/>
      </c>
      <c r="P232" s="11">
        <f>IF(OR($C232="",$N232="",NOT(ISNUMBER($N232))),"",$N232/$C232)</f>
        <v/>
      </c>
      <c r="Q232" s="11">
        <f>IF($C232="","",IF(OR($N232="",NOT(ISNUMBER($N232))),"B",IF(ABS($P232-1)&lt;=0.3,"A",IF(OR($P232&gt;2,$P232&lt;0.5),"C","B"))))</f>
        <v/>
      </c>
    </row>
    <row r="233">
      <c r="B233" s="11">
        <f>IF($A233="","",IFERROR(IF(INDEX(Community_Register!$B$2:$B$402,MATCH($A233,Community_Register!$A$2:$A$402,0))="","",INDEX(Community_Register!$B$2:$B$402,MATCH($A233,Community_Register!$A$2:$A$402,0))),""))</f>
        <v/>
      </c>
      <c r="H233" s="11">
        <f>IF($C233="","",IF($C233&lt;1,"yes","no"))</f>
        <v/>
      </c>
      <c r="I233" s="11">
        <f>IF($C233="","",IF($C233&lt;2.6,"r75",IF($C233&lt;5.2,"r110",IF($C233&lt;9.9,"r150",IF($C233&lt;19.8,"r210","r300")))))</f>
        <v/>
      </c>
      <c r="J233" s="11">
        <f>IF($C233="","",ROUND(SQRT($C233*10000/PI()),1))</f>
        <v/>
      </c>
      <c r="N233" s="11">
        <f>IF($A233="","",IFERROR(IF(INDEX(Community_Register!$S$2:$S$402,MATCH($A233,Community_Register!$A$2:$A$402,0))="","",INDEX(Community_Register!$S$2:$S$402,MATCH($A233,Community_Register!$A$2:$A$402,0))),""))</f>
        <v/>
      </c>
      <c r="O233" s="11">
        <f>IF($A233="","",IFERROR(IF(INDEX(Community_Register!$V$2:$V$402,MATCH($A233,Community_Register!$A$2:$A$402,0))="","",INDEX(Community_Register!$V$2:$V$402,MATCH($A233,Community_Register!$A$2:$A$402,0))),""))</f>
        <v/>
      </c>
      <c r="P233" s="11">
        <f>IF(OR($C233="",$N233="",NOT(ISNUMBER($N233))),"",$N233/$C233)</f>
        <v/>
      </c>
      <c r="Q233" s="11">
        <f>IF($C233="","",IF(OR($N233="",NOT(ISNUMBER($N233))),"B",IF(ABS($P233-1)&lt;=0.3,"A",IF(OR($P233&gt;2,$P233&lt;0.5),"C","B"))))</f>
        <v/>
      </c>
    </row>
    <row r="234">
      <c r="B234" s="11">
        <f>IF($A234="","",IFERROR(IF(INDEX(Community_Register!$B$2:$B$402,MATCH($A234,Community_Register!$A$2:$A$402,0))="","",INDEX(Community_Register!$B$2:$B$402,MATCH($A234,Community_Register!$A$2:$A$402,0))),""))</f>
        <v/>
      </c>
      <c r="H234" s="11">
        <f>IF($C234="","",IF($C234&lt;1,"yes","no"))</f>
        <v/>
      </c>
      <c r="I234" s="11">
        <f>IF($C234="","",IF($C234&lt;2.6,"r75",IF($C234&lt;5.2,"r110",IF($C234&lt;9.9,"r150",IF($C234&lt;19.8,"r210","r300")))))</f>
        <v/>
      </c>
      <c r="J234" s="11">
        <f>IF($C234="","",ROUND(SQRT($C234*10000/PI()),1))</f>
        <v/>
      </c>
      <c r="N234" s="11">
        <f>IF($A234="","",IFERROR(IF(INDEX(Community_Register!$S$2:$S$402,MATCH($A234,Community_Register!$A$2:$A$402,0))="","",INDEX(Community_Register!$S$2:$S$402,MATCH($A234,Community_Register!$A$2:$A$402,0))),""))</f>
        <v/>
      </c>
      <c r="O234" s="11">
        <f>IF($A234="","",IFERROR(IF(INDEX(Community_Register!$V$2:$V$402,MATCH($A234,Community_Register!$A$2:$A$402,0))="","",INDEX(Community_Register!$V$2:$V$402,MATCH($A234,Community_Register!$A$2:$A$402,0))),""))</f>
        <v/>
      </c>
      <c r="P234" s="11">
        <f>IF(OR($C234="",$N234="",NOT(ISNUMBER($N234))),"",$N234/$C234)</f>
        <v/>
      </c>
      <c r="Q234" s="11">
        <f>IF($C234="","",IF(OR($N234="",NOT(ISNUMBER($N234))),"B",IF(ABS($P234-1)&lt;=0.3,"A",IF(OR($P234&gt;2,$P234&lt;0.5),"C","B"))))</f>
        <v/>
      </c>
    </row>
    <row r="235">
      <c r="B235" s="11">
        <f>IF($A235="","",IFERROR(IF(INDEX(Community_Register!$B$2:$B$402,MATCH($A235,Community_Register!$A$2:$A$402,0))="","",INDEX(Community_Register!$B$2:$B$402,MATCH($A235,Community_Register!$A$2:$A$402,0))),""))</f>
        <v/>
      </c>
      <c r="H235" s="11">
        <f>IF($C235="","",IF($C235&lt;1,"yes","no"))</f>
        <v/>
      </c>
      <c r="I235" s="11">
        <f>IF($C235="","",IF($C235&lt;2.6,"r75",IF($C235&lt;5.2,"r110",IF($C235&lt;9.9,"r150",IF($C235&lt;19.8,"r210","r300")))))</f>
        <v/>
      </c>
      <c r="J235" s="11">
        <f>IF($C235="","",ROUND(SQRT($C235*10000/PI()),1))</f>
        <v/>
      </c>
      <c r="N235" s="11">
        <f>IF($A235="","",IFERROR(IF(INDEX(Community_Register!$S$2:$S$402,MATCH($A235,Community_Register!$A$2:$A$402,0))="","",INDEX(Community_Register!$S$2:$S$402,MATCH($A235,Community_Register!$A$2:$A$402,0))),""))</f>
        <v/>
      </c>
      <c r="O235" s="11">
        <f>IF($A235="","",IFERROR(IF(INDEX(Community_Register!$V$2:$V$402,MATCH($A235,Community_Register!$A$2:$A$402,0))="","",INDEX(Community_Register!$V$2:$V$402,MATCH($A235,Community_Register!$A$2:$A$402,0))),""))</f>
        <v/>
      </c>
      <c r="P235" s="11">
        <f>IF(OR($C235="",$N235="",NOT(ISNUMBER($N235))),"",$N235/$C235)</f>
        <v/>
      </c>
      <c r="Q235" s="11">
        <f>IF($C235="","",IF(OR($N235="",NOT(ISNUMBER($N235))),"B",IF(ABS($P235-1)&lt;=0.3,"A",IF(OR($P235&gt;2,$P235&lt;0.5),"C","B"))))</f>
        <v/>
      </c>
    </row>
    <row r="236">
      <c r="B236" s="11">
        <f>IF($A236="","",IFERROR(IF(INDEX(Community_Register!$B$2:$B$402,MATCH($A236,Community_Register!$A$2:$A$402,0))="","",INDEX(Community_Register!$B$2:$B$402,MATCH($A236,Community_Register!$A$2:$A$402,0))),""))</f>
        <v/>
      </c>
      <c r="H236" s="11">
        <f>IF($C236="","",IF($C236&lt;1,"yes","no"))</f>
        <v/>
      </c>
      <c r="I236" s="11">
        <f>IF($C236="","",IF($C236&lt;2.6,"r75",IF($C236&lt;5.2,"r110",IF($C236&lt;9.9,"r150",IF($C236&lt;19.8,"r210","r300")))))</f>
        <v/>
      </c>
      <c r="J236" s="11">
        <f>IF($C236="","",ROUND(SQRT($C236*10000/PI()),1))</f>
        <v/>
      </c>
      <c r="N236" s="11">
        <f>IF($A236="","",IFERROR(IF(INDEX(Community_Register!$S$2:$S$402,MATCH($A236,Community_Register!$A$2:$A$402,0))="","",INDEX(Community_Register!$S$2:$S$402,MATCH($A236,Community_Register!$A$2:$A$402,0))),""))</f>
        <v/>
      </c>
      <c r="O236" s="11">
        <f>IF($A236="","",IFERROR(IF(INDEX(Community_Register!$V$2:$V$402,MATCH($A236,Community_Register!$A$2:$A$402,0))="","",INDEX(Community_Register!$V$2:$V$402,MATCH($A236,Community_Register!$A$2:$A$402,0))),""))</f>
        <v/>
      </c>
      <c r="P236" s="11">
        <f>IF(OR($C236="",$N236="",NOT(ISNUMBER($N236))),"",$N236/$C236)</f>
        <v/>
      </c>
      <c r="Q236" s="11">
        <f>IF($C236="","",IF(OR($N236="",NOT(ISNUMBER($N236))),"B",IF(ABS($P236-1)&lt;=0.3,"A",IF(OR($P236&gt;2,$P236&lt;0.5),"C","B"))))</f>
        <v/>
      </c>
    </row>
    <row r="237">
      <c r="B237" s="11">
        <f>IF($A237="","",IFERROR(IF(INDEX(Community_Register!$B$2:$B$402,MATCH($A237,Community_Register!$A$2:$A$402,0))="","",INDEX(Community_Register!$B$2:$B$402,MATCH($A237,Community_Register!$A$2:$A$402,0))),""))</f>
        <v/>
      </c>
      <c r="H237" s="11">
        <f>IF($C237="","",IF($C237&lt;1,"yes","no"))</f>
        <v/>
      </c>
      <c r="I237" s="11">
        <f>IF($C237="","",IF($C237&lt;2.6,"r75",IF($C237&lt;5.2,"r110",IF($C237&lt;9.9,"r150",IF($C237&lt;19.8,"r210","r300")))))</f>
        <v/>
      </c>
      <c r="J237" s="11">
        <f>IF($C237="","",ROUND(SQRT($C237*10000/PI()),1))</f>
        <v/>
      </c>
      <c r="N237" s="11">
        <f>IF($A237="","",IFERROR(IF(INDEX(Community_Register!$S$2:$S$402,MATCH($A237,Community_Register!$A$2:$A$402,0))="","",INDEX(Community_Register!$S$2:$S$402,MATCH($A237,Community_Register!$A$2:$A$402,0))),""))</f>
        <v/>
      </c>
      <c r="O237" s="11">
        <f>IF($A237="","",IFERROR(IF(INDEX(Community_Register!$V$2:$V$402,MATCH($A237,Community_Register!$A$2:$A$402,0))="","",INDEX(Community_Register!$V$2:$V$402,MATCH($A237,Community_Register!$A$2:$A$402,0))),""))</f>
        <v/>
      </c>
      <c r="P237" s="11">
        <f>IF(OR($C237="",$N237="",NOT(ISNUMBER($N237))),"",$N237/$C237)</f>
        <v/>
      </c>
      <c r="Q237" s="11">
        <f>IF($C237="","",IF(OR($N237="",NOT(ISNUMBER($N237))),"B",IF(ABS($P237-1)&lt;=0.3,"A",IF(OR($P237&gt;2,$P237&lt;0.5),"C","B"))))</f>
        <v/>
      </c>
    </row>
    <row r="238">
      <c r="B238" s="11">
        <f>IF($A238="","",IFERROR(IF(INDEX(Community_Register!$B$2:$B$402,MATCH($A238,Community_Register!$A$2:$A$402,0))="","",INDEX(Community_Register!$B$2:$B$402,MATCH($A238,Community_Register!$A$2:$A$402,0))),""))</f>
        <v/>
      </c>
      <c r="H238" s="11">
        <f>IF($C238="","",IF($C238&lt;1,"yes","no"))</f>
        <v/>
      </c>
      <c r="I238" s="11">
        <f>IF($C238="","",IF($C238&lt;2.6,"r75",IF($C238&lt;5.2,"r110",IF($C238&lt;9.9,"r150",IF($C238&lt;19.8,"r210","r300")))))</f>
        <v/>
      </c>
      <c r="J238" s="11">
        <f>IF($C238="","",ROUND(SQRT($C238*10000/PI()),1))</f>
        <v/>
      </c>
      <c r="N238" s="11">
        <f>IF($A238="","",IFERROR(IF(INDEX(Community_Register!$S$2:$S$402,MATCH($A238,Community_Register!$A$2:$A$402,0))="","",INDEX(Community_Register!$S$2:$S$402,MATCH($A238,Community_Register!$A$2:$A$402,0))),""))</f>
        <v/>
      </c>
      <c r="O238" s="11">
        <f>IF($A238="","",IFERROR(IF(INDEX(Community_Register!$V$2:$V$402,MATCH($A238,Community_Register!$A$2:$A$402,0))="","",INDEX(Community_Register!$V$2:$V$402,MATCH($A238,Community_Register!$A$2:$A$402,0))),""))</f>
        <v/>
      </c>
      <c r="P238" s="11">
        <f>IF(OR($C238="",$N238="",NOT(ISNUMBER($N238))),"",$N238/$C238)</f>
        <v/>
      </c>
      <c r="Q238" s="11">
        <f>IF($C238="","",IF(OR($N238="",NOT(ISNUMBER($N238))),"B",IF(ABS($P238-1)&lt;=0.3,"A",IF(OR($P238&gt;2,$P238&lt;0.5),"C","B"))))</f>
        <v/>
      </c>
    </row>
    <row r="239">
      <c r="B239" s="11">
        <f>IF($A239="","",IFERROR(IF(INDEX(Community_Register!$B$2:$B$402,MATCH($A239,Community_Register!$A$2:$A$402,0))="","",INDEX(Community_Register!$B$2:$B$402,MATCH($A239,Community_Register!$A$2:$A$402,0))),""))</f>
        <v/>
      </c>
      <c r="H239" s="11">
        <f>IF($C239="","",IF($C239&lt;1,"yes","no"))</f>
        <v/>
      </c>
      <c r="I239" s="11">
        <f>IF($C239="","",IF($C239&lt;2.6,"r75",IF($C239&lt;5.2,"r110",IF($C239&lt;9.9,"r150",IF($C239&lt;19.8,"r210","r300")))))</f>
        <v/>
      </c>
      <c r="J239" s="11">
        <f>IF($C239="","",ROUND(SQRT($C239*10000/PI()),1))</f>
        <v/>
      </c>
      <c r="N239" s="11">
        <f>IF($A239="","",IFERROR(IF(INDEX(Community_Register!$S$2:$S$402,MATCH($A239,Community_Register!$A$2:$A$402,0))="","",INDEX(Community_Register!$S$2:$S$402,MATCH($A239,Community_Register!$A$2:$A$402,0))),""))</f>
        <v/>
      </c>
      <c r="O239" s="11">
        <f>IF($A239="","",IFERROR(IF(INDEX(Community_Register!$V$2:$V$402,MATCH($A239,Community_Register!$A$2:$A$402,0))="","",INDEX(Community_Register!$V$2:$V$402,MATCH($A239,Community_Register!$A$2:$A$402,0))),""))</f>
        <v/>
      </c>
      <c r="P239" s="11">
        <f>IF(OR($C239="",$N239="",NOT(ISNUMBER($N239))),"",$N239/$C239)</f>
        <v/>
      </c>
      <c r="Q239" s="11">
        <f>IF($C239="","",IF(OR($N239="",NOT(ISNUMBER($N239))),"B",IF(ABS($P239-1)&lt;=0.3,"A",IF(OR($P239&gt;2,$P239&lt;0.5),"C","B"))))</f>
        <v/>
      </c>
    </row>
    <row r="240">
      <c r="B240" s="11">
        <f>IF($A240="","",IFERROR(IF(INDEX(Community_Register!$B$2:$B$402,MATCH($A240,Community_Register!$A$2:$A$402,0))="","",INDEX(Community_Register!$B$2:$B$402,MATCH($A240,Community_Register!$A$2:$A$402,0))),""))</f>
        <v/>
      </c>
      <c r="H240" s="11">
        <f>IF($C240="","",IF($C240&lt;1,"yes","no"))</f>
        <v/>
      </c>
      <c r="I240" s="11">
        <f>IF($C240="","",IF($C240&lt;2.6,"r75",IF($C240&lt;5.2,"r110",IF($C240&lt;9.9,"r150",IF($C240&lt;19.8,"r210","r300")))))</f>
        <v/>
      </c>
      <c r="J240" s="11">
        <f>IF($C240="","",ROUND(SQRT($C240*10000/PI()),1))</f>
        <v/>
      </c>
      <c r="N240" s="11">
        <f>IF($A240="","",IFERROR(IF(INDEX(Community_Register!$S$2:$S$402,MATCH($A240,Community_Register!$A$2:$A$402,0))="","",INDEX(Community_Register!$S$2:$S$402,MATCH($A240,Community_Register!$A$2:$A$402,0))),""))</f>
        <v/>
      </c>
      <c r="O240" s="11">
        <f>IF($A240="","",IFERROR(IF(INDEX(Community_Register!$V$2:$V$402,MATCH($A240,Community_Register!$A$2:$A$402,0))="","",INDEX(Community_Register!$V$2:$V$402,MATCH($A240,Community_Register!$A$2:$A$402,0))),""))</f>
        <v/>
      </c>
      <c r="P240" s="11">
        <f>IF(OR($C240="",$N240="",NOT(ISNUMBER($N240))),"",$N240/$C240)</f>
        <v/>
      </c>
      <c r="Q240" s="11">
        <f>IF($C240="","",IF(OR($N240="",NOT(ISNUMBER($N240))),"B",IF(ABS($P240-1)&lt;=0.3,"A",IF(OR($P240&gt;2,$P240&lt;0.5),"C","B"))))</f>
        <v/>
      </c>
    </row>
    <row r="241">
      <c r="B241" s="11">
        <f>IF($A241="","",IFERROR(IF(INDEX(Community_Register!$B$2:$B$402,MATCH($A241,Community_Register!$A$2:$A$402,0))="","",INDEX(Community_Register!$B$2:$B$402,MATCH($A241,Community_Register!$A$2:$A$402,0))),""))</f>
        <v/>
      </c>
      <c r="H241" s="11">
        <f>IF($C241="","",IF($C241&lt;1,"yes","no"))</f>
        <v/>
      </c>
      <c r="I241" s="11">
        <f>IF($C241="","",IF($C241&lt;2.6,"r75",IF($C241&lt;5.2,"r110",IF($C241&lt;9.9,"r150",IF($C241&lt;19.8,"r210","r300")))))</f>
        <v/>
      </c>
      <c r="J241" s="11">
        <f>IF($C241="","",ROUND(SQRT($C241*10000/PI()),1))</f>
        <v/>
      </c>
      <c r="N241" s="11">
        <f>IF($A241="","",IFERROR(IF(INDEX(Community_Register!$S$2:$S$402,MATCH($A241,Community_Register!$A$2:$A$402,0))="","",INDEX(Community_Register!$S$2:$S$402,MATCH($A241,Community_Register!$A$2:$A$402,0))),""))</f>
        <v/>
      </c>
      <c r="O241" s="11">
        <f>IF($A241="","",IFERROR(IF(INDEX(Community_Register!$V$2:$V$402,MATCH($A241,Community_Register!$A$2:$A$402,0))="","",INDEX(Community_Register!$V$2:$V$402,MATCH($A241,Community_Register!$A$2:$A$402,0))),""))</f>
        <v/>
      </c>
      <c r="P241" s="11">
        <f>IF(OR($C241="",$N241="",NOT(ISNUMBER($N241))),"",$N241/$C241)</f>
        <v/>
      </c>
      <c r="Q241" s="11">
        <f>IF($C241="","",IF(OR($N241="",NOT(ISNUMBER($N241))),"B",IF(ABS($P241-1)&lt;=0.3,"A",IF(OR($P241&gt;2,$P241&lt;0.5),"C","B"))))</f>
        <v/>
      </c>
    </row>
    <row r="242">
      <c r="B242" s="11">
        <f>IF($A242="","",IFERROR(IF(INDEX(Community_Register!$B$2:$B$402,MATCH($A242,Community_Register!$A$2:$A$402,0))="","",INDEX(Community_Register!$B$2:$B$402,MATCH($A242,Community_Register!$A$2:$A$402,0))),""))</f>
        <v/>
      </c>
      <c r="H242" s="11">
        <f>IF($C242="","",IF($C242&lt;1,"yes","no"))</f>
        <v/>
      </c>
      <c r="I242" s="11">
        <f>IF($C242="","",IF($C242&lt;2.6,"r75",IF($C242&lt;5.2,"r110",IF($C242&lt;9.9,"r150",IF($C242&lt;19.8,"r210","r300")))))</f>
        <v/>
      </c>
      <c r="J242" s="11">
        <f>IF($C242="","",ROUND(SQRT($C242*10000/PI()),1))</f>
        <v/>
      </c>
      <c r="N242" s="11">
        <f>IF($A242="","",IFERROR(IF(INDEX(Community_Register!$S$2:$S$402,MATCH($A242,Community_Register!$A$2:$A$402,0))="","",INDEX(Community_Register!$S$2:$S$402,MATCH($A242,Community_Register!$A$2:$A$402,0))),""))</f>
        <v/>
      </c>
      <c r="O242" s="11">
        <f>IF($A242="","",IFERROR(IF(INDEX(Community_Register!$V$2:$V$402,MATCH($A242,Community_Register!$A$2:$A$402,0))="","",INDEX(Community_Register!$V$2:$V$402,MATCH($A242,Community_Register!$A$2:$A$402,0))),""))</f>
        <v/>
      </c>
      <c r="P242" s="11">
        <f>IF(OR($C242="",$N242="",NOT(ISNUMBER($N242))),"",$N242/$C242)</f>
        <v/>
      </c>
      <c r="Q242" s="11">
        <f>IF($C242="","",IF(OR($N242="",NOT(ISNUMBER($N242))),"B",IF(ABS($P242-1)&lt;=0.3,"A",IF(OR($P242&gt;2,$P242&lt;0.5),"C","B"))))</f>
        <v/>
      </c>
    </row>
    <row r="243">
      <c r="B243" s="11">
        <f>IF($A243="","",IFERROR(IF(INDEX(Community_Register!$B$2:$B$402,MATCH($A243,Community_Register!$A$2:$A$402,0))="","",INDEX(Community_Register!$B$2:$B$402,MATCH($A243,Community_Register!$A$2:$A$402,0))),""))</f>
        <v/>
      </c>
      <c r="H243" s="11">
        <f>IF($C243="","",IF($C243&lt;1,"yes","no"))</f>
        <v/>
      </c>
      <c r="I243" s="11">
        <f>IF($C243="","",IF($C243&lt;2.6,"r75",IF($C243&lt;5.2,"r110",IF($C243&lt;9.9,"r150",IF($C243&lt;19.8,"r210","r300")))))</f>
        <v/>
      </c>
      <c r="J243" s="11">
        <f>IF($C243="","",ROUND(SQRT($C243*10000/PI()),1))</f>
        <v/>
      </c>
      <c r="N243" s="11">
        <f>IF($A243="","",IFERROR(IF(INDEX(Community_Register!$S$2:$S$402,MATCH($A243,Community_Register!$A$2:$A$402,0))="","",INDEX(Community_Register!$S$2:$S$402,MATCH($A243,Community_Register!$A$2:$A$402,0))),""))</f>
        <v/>
      </c>
      <c r="O243" s="11">
        <f>IF($A243="","",IFERROR(IF(INDEX(Community_Register!$V$2:$V$402,MATCH($A243,Community_Register!$A$2:$A$402,0))="","",INDEX(Community_Register!$V$2:$V$402,MATCH($A243,Community_Register!$A$2:$A$402,0))),""))</f>
        <v/>
      </c>
      <c r="P243" s="11">
        <f>IF(OR($C243="",$N243="",NOT(ISNUMBER($N243))),"",$N243/$C243)</f>
        <v/>
      </c>
      <c r="Q243" s="11">
        <f>IF($C243="","",IF(OR($N243="",NOT(ISNUMBER($N243))),"B",IF(ABS($P243-1)&lt;=0.3,"A",IF(OR($P243&gt;2,$P243&lt;0.5),"C","B"))))</f>
        <v/>
      </c>
    </row>
    <row r="244">
      <c r="B244" s="11">
        <f>IF($A244="","",IFERROR(IF(INDEX(Community_Register!$B$2:$B$402,MATCH($A244,Community_Register!$A$2:$A$402,0))="","",INDEX(Community_Register!$B$2:$B$402,MATCH($A244,Community_Register!$A$2:$A$402,0))),""))</f>
        <v/>
      </c>
      <c r="H244" s="11">
        <f>IF($C244="","",IF($C244&lt;1,"yes","no"))</f>
        <v/>
      </c>
      <c r="I244" s="11">
        <f>IF($C244="","",IF($C244&lt;2.6,"r75",IF($C244&lt;5.2,"r110",IF($C244&lt;9.9,"r150",IF($C244&lt;19.8,"r210","r300")))))</f>
        <v/>
      </c>
      <c r="J244" s="11">
        <f>IF($C244="","",ROUND(SQRT($C244*10000/PI()),1))</f>
        <v/>
      </c>
      <c r="N244" s="11">
        <f>IF($A244="","",IFERROR(IF(INDEX(Community_Register!$S$2:$S$402,MATCH($A244,Community_Register!$A$2:$A$402,0))="","",INDEX(Community_Register!$S$2:$S$402,MATCH($A244,Community_Register!$A$2:$A$402,0))),""))</f>
        <v/>
      </c>
      <c r="O244" s="11">
        <f>IF($A244="","",IFERROR(IF(INDEX(Community_Register!$V$2:$V$402,MATCH($A244,Community_Register!$A$2:$A$402,0))="","",INDEX(Community_Register!$V$2:$V$402,MATCH($A244,Community_Register!$A$2:$A$402,0))),""))</f>
        <v/>
      </c>
      <c r="P244" s="11">
        <f>IF(OR($C244="",$N244="",NOT(ISNUMBER($N244))),"",$N244/$C244)</f>
        <v/>
      </c>
      <c r="Q244" s="11">
        <f>IF($C244="","",IF(OR($N244="",NOT(ISNUMBER($N244))),"B",IF(ABS($P244-1)&lt;=0.3,"A",IF(OR($P244&gt;2,$P244&lt;0.5),"C","B"))))</f>
        <v/>
      </c>
    </row>
    <row r="245">
      <c r="B245" s="11">
        <f>IF($A245="","",IFERROR(IF(INDEX(Community_Register!$B$2:$B$402,MATCH($A245,Community_Register!$A$2:$A$402,0))="","",INDEX(Community_Register!$B$2:$B$402,MATCH($A245,Community_Register!$A$2:$A$402,0))),""))</f>
        <v/>
      </c>
      <c r="H245" s="11">
        <f>IF($C245="","",IF($C245&lt;1,"yes","no"))</f>
        <v/>
      </c>
      <c r="I245" s="11">
        <f>IF($C245="","",IF($C245&lt;2.6,"r75",IF($C245&lt;5.2,"r110",IF($C245&lt;9.9,"r150",IF($C245&lt;19.8,"r210","r300")))))</f>
        <v/>
      </c>
      <c r="J245" s="11">
        <f>IF($C245="","",ROUND(SQRT($C245*10000/PI()),1))</f>
        <v/>
      </c>
      <c r="N245" s="11">
        <f>IF($A245="","",IFERROR(IF(INDEX(Community_Register!$S$2:$S$402,MATCH($A245,Community_Register!$A$2:$A$402,0))="","",INDEX(Community_Register!$S$2:$S$402,MATCH($A245,Community_Register!$A$2:$A$402,0))),""))</f>
        <v/>
      </c>
      <c r="O245" s="11">
        <f>IF($A245="","",IFERROR(IF(INDEX(Community_Register!$V$2:$V$402,MATCH($A245,Community_Register!$A$2:$A$402,0))="","",INDEX(Community_Register!$V$2:$V$402,MATCH($A245,Community_Register!$A$2:$A$402,0))),""))</f>
        <v/>
      </c>
      <c r="P245" s="11">
        <f>IF(OR($C245="",$N245="",NOT(ISNUMBER($N245))),"",$N245/$C245)</f>
        <v/>
      </c>
      <c r="Q245" s="11">
        <f>IF($C245="","",IF(OR($N245="",NOT(ISNUMBER($N245))),"B",IF(ABS($P245-1)&lt;=0.3,"A",IF(OR($P245&gt;2,$P245&lt;0.5),"C","B"))))</f>
        <v/>
      </c>
    </row>
    <row r="246">
      <c r="B246" s="11">
        <f>IF($A246="","",IFERROR(IF(INDEX(Community_Register!$B$2:$B$402,MATCH($A246,Community_Register!$A$2:$A$402,0))="","",INDEX(Community_Register!$B$2:$B$402,MATCH($A246,Community_Register!$A$2:$A$402,0))),""))</f>
        <v/>
      </c>
      <c r="H246" s="11">
        <f>IF($C246="","",IF($C246&lt;1,"yes","no"))</f>
        <v/>
      </c>
      <c r="I246" s="11">
        <f>IF($C246="","",IF($C246&lt;2.6,"r75",IF($C246&lt;5.2,"r110",IF($C246&lt;9.9,"r150",IF($C246&lt;19.8,"r210","r300")))))</f>
        <v/>
      </c>
      <c r="J246" s="11">
        <f>IF($C246="","",ROUND(SQRT($C246*10000/PI()),1))</f>
        <v/>
      </c>
      <c r="N246" s="11">
        <f>IF($A246="","",IFERROR(IF(INDEX(Community_Register!$S$2:$S$402,MATCH($A246,Community_Register!$A$2:$A$402,0))="","",INDEX(Community_Register!$S$2:$S$402,MATCH($A246,Community_Register!$A$2:$A$402,0))),""))</f>
        <v/>
      </c>
      <c r="O246" s="11">
        <f>IF($A246="","",IFERROR(IF(INDEX(Community_Register!$V$2:$V$402,MATCH($A246,Community_Register!$A$2:$A$402,0))="","",INDEX(Community_Register!$V$2:$V$402,MATCH($A246,Community_Register!$A$2:$A$402,0))),""))</f>
        <v/>
      </c>
      <c r="P246" s="11">
        <f>IF(OR($C246="",$N246="",NOT(ISNUMBER($N246))),"",$N246/$C246)</f>
        <v/>
      </c>
      <c r="Q246" s="11">
        <f>IF($C246="","",IF(OR($N246="",NOT(ISNUMBER($N246))),"B",IF(ABS($P246-1)&lt;=0.3,"A",IF(OR($P246&gt;2,$P246&lt;0.5),"C","B"))))</f>
        <v/>
      </c>
    </row>
    <row r="247">
      <c r="B247" s="11">
        <f>IF($A247="","",IFERROR(IF(INDEX(Community_Register!$B$2:$B$402,MATCH($A247,Community_Register!$A$2:$A$402,0))="","",INDEX(Community_Register!$B$2:$B$402,MATCH($A247,Community_Register!$A$2:$A$402,0))),""))</f>
        <v/>
      </c>
      <c r="H247" s="11">
        <f>IF($C247="","",IF($C247&lt;1,"yes","no"))</f>
        <v/>
      </c>
      <c r="I247" s="11">
        <f>IF($C247="","",IF($C247&lt;2.6,"r75",IF($C247&lt;5.2,"r110",IF($C247&lt;9.9,"r150",IF($C247&lt;19.8,"r210","r300")))))</f>
        <v/>
      </c>
      <c r="J247" s="11">
        <f>IF($C247="","",ROUND(SQRT($C247*10000/PI()),1))</f>
        <v/>
      </c>
      <c r="N247" s="11">
        <f>IF($A247="","",IFERROR(IF(INDEX(Community_Register!$S$2:$S$402,MATCH($A247,Community_Register!$A$2:$A$402,0))="","",INDEX(Community_Register!$S$2:$S$402,MATCH($A247,Community_Register!$A$2:$A$402,0))),""))</f>
        <v/>
      </c>
      <c r="O247" s="11">
        <f>IF($A247="","",IFERROR(IF(INDEX(Community_Register!$V$2:$V$402,MATCH($A247,Community_Register!$A$2:$A$402,0))="","",INDEX(Community_Register!$V$2:$V$402,MATCH($A247,Community_Register!$A$2:$A$402,0))),""))</f>
        <v/>
      </c>
      <c r="P247" s="11">
        <f>IF(OR($C247="",$N247="",NOT(ISNUMBER($N247))),"",$N247/$C247)</f>
        <v/>
      </c>
      <c r="Q247" s="11">
        <f>IF($C247="","",IF(OR($N247="",NOT(ISNUMBER($N247))),"B",IF(ABS($P247-1)&lt;=0.3,"A",IF(OR($P247&gt;2,$P247&lt;0.5),"C","B"))))</f>
        <v/>
      </c>
    </row>
    <row r="248">
      <c r="B248" s="11">
        <f>IF($A248="","",IFERROR(IF(INDEX(Community_Register!$B$2:$B$402,MATCH($A248,Community_Register!$A$2:$A$402,0))="","",INDEX(Community_Register!$B$2:$B$402,MATCH($A248,Community_Register!$A$2:$A$402,0))),""))</f>
        <v/>
      </c>
      <c r="H248" s="11">
        <f>IF($C248="","",IF($C248&lt;1,"yes","no"))</f>
        <v/>
      </c>
      <c r="I248" s="11">
        <f>IF($C248="","",IF($C248&lt;2.6,"r75",IF($C248&lt;5.2,"r110",IF($C248&lt;9.9,"r150",IF($C248&lt;19.8,"r210","r300")))))</f>
        <v/>
      </c>
      <c r="J248" s="11">
        <f>IF($C248="","",ROUND(SQRT($C248*10000/PI()),1))</f>
        <v/>
      </c>
      <c r="N248" s="11">
        <f>IF($A248="","",IFERROR(IF(INDEX(Community_Register!$S$2:$S$402,MATCH($A248,Community_Register!$A$2:$A$402,0))="","",INDEX(Community_Register!$S$2:$S$402,MATCH($A248,Community_Register!$A$2:$A$402,0))),""))</f>
        <v/>
      </c>
      <c r="O248" s="11">
        <f>IF($A248="","",IFERROR(IF(INDEX(Community_Register!$V$2:$V$402,MATCH($A248,Community_Register!$A$2:$A$402,0))="","",INDEX(Community_Register!$V$2:$V$402,MATCH($A248,Community_Register!$A$2:$A$402,0))),""))</f>
        <v/>
      </c>
      <c r="P248" s="11">
        <f>IF(OR($C248="",$N248="",NOT(ISNUMBER($N248))),"",$N248/$C248)</f>
        <v/>
      </c>
      <c r="Q248" s="11">
        <f>IF($C248="","",IF(OR($N248="",NOT(ISNUMBER($N248))),"B",IF(ABS($P248-1)&lt;=0.3,"A",IF(OR($P248&gt;2,$P248&lt;0.5),"C","B"))))</f>
        <v/>
      </c>
    </row>
    <row r="249">
      <c r="B249" s="11">
        <f>IF($A249="","",IFERROR(IF(INDEX(Community_Register!$B$2:$B$402,MATCH($A249,Community_Register!$A$2:$A$402,0))="","",INDEX(Community_Register!$B$2:$B$402,MATCH($A249,Community_Register!$A$2:$A$402,0))),""))</f>
        <v/>
      </c>
      <c r="H249" s="11">
        <f>IF($C249="","",IF($C249&lt;1,"yes","no"))</f>
        <v/>
      </c>
      <c r="I249" s="11">
        <f>IF($C249="","",IF($C249&lt;2.6,"r75",IF($C249&lt;5.2,"r110",IF($C249&lt;9.9,"r150",IF($C249&lt;19.8,"r210","r300")))))</f>
        <v/>
      </c>
      <c r="J249" s="11">
        <f>IF($C249="","",ROUND(SQRT($C249*10000/PI()),1))</f>
        <v/>
      </c>
      <c r="N249" s="11">
        <f>IF($A249="","",IFERROR(IF(INDEX(Community_Register!$S$2:$S$402,MATCH($A249,Community_Register!$A$2:$A$402,0))="","",INDEX(Community_Register!$S$2:$S$402,MATCH($A249,Community_Register!$A$2:$A$402,0))),""))</f>
        <v/>
      </c>
      <c r="O249" s="11">
        <f>IF($A249="","",IFERROR(IF(INDEX(Community_Register!$V$2:$V$402,MATCH($A249,Community_Register!$A$2:$A$402,0))="","",INDEX(Community_Register!$V$2:$V$402,MATCH($A249,Community_Register!$A$2:$A$402,0))),""))</f>
        <v/>
      </c>
      <c r="P249" s="11">
        <f>IF(OR($C249="",$N249="",NOT(ISNUMBER($N249))),"",$N249/$C249)</f>
        <v/>
      </c>
      <c r="Q249" s="11">
        <f>IF($C249="","",IF(OR($N249="",NOT(ISNUMBER($N249))),"B",IF(ABS($P249-1)&lt;=0.3,"A",IF(OR($P249&gt;2,$P249&lt;0.5),"C","B"))))</f>
        <v/>
      </c>
    </row>
    <row r="250">
      <c r="B250" s="11">
        <f>IF($A250="","",IFERROR(IF(INDEX(Community_Register!$B$2:$B$402,MATCH($A250,Community_Register!$A$2:$A$402,0))="","",INDEX(Community_Register!$B$2:$B$402,MATCH($A250,Community_Register!$A$2:$A$402,0))),""))</f>
        <v/>
      </c>
      <c r="H250" s="11">
        <f>IF($C250="","",IF($C250&lt;1,"yes","no"))</f>
        <v/>
      </c>
      <c r="I250" s="11">
        <f>IF($C250="","",IF($C250&lt;2.6,"r75",IF($C250&lt;5.2,"r110",IF($C250&lt;9.9,"r150",IF($C250&lt;19.8,"r210","r300")))))</f>
        <v/>
      </c>
      <c r="J250" s="11">
        <f>IF($C250="","",ROUND(SQRT($C250*10000/PI()),1))</f>
        <v/>
      </c>
      <c r="N250" s="11">
        <f>IF($A250="","",IFERROR(IF(INDEX(Community_Register!$S$2:$S$402,MATCH($A250,Community_Register!$A$2:$A$402,0))="","",INDEX(Community_Register!$S$2:$S$402,MATCH($A250,Community_Register!$A$2:$A$402,0))),""))</f>
        <v/>
      </c>
      <c r="O250" s="11">
        <f>IF($A250="","",IFERROR(IF(INDEX(Community_Register!$V$2:$V$402,MATCH($A250,Community_Register!$A$2:$A$402,0))="","",INDEX(Community_Register!$V$2:$V$402,MATCH($A250,Community_Register!$A$2:$A$402,0))),""))</f>
        <v/>
      </c>
      <c r="P250" s="11">
        <f>IF(OR($C250="",$N250="",NOT(ISNUMBER($N250))),"",$N250/$C250)</f>
        <v/>
      </c>
      <c r="Q250" s="11">
        <f>IF($C250="","",IF(OR($N250="",NOT(ISNUMBER($N250))),"B",IF(ABS($P250-1)&lt;=0.3,"A",IF(OR($P250&gt;2,$P250&lt;0.5),"C","B"))))</f>
        <v/>
      </c>
    </row>
    <row r="251">
      <c r="B251" s="11">
        <f>IF($A251="","",IFERROR(IF(INDEX(Community_Register!$B$2:$B$402,MATCH($A251,Community_Register!$A$2:$A$402,0))="","",INDEX(Community_Register!$B$2:$B$402,MATCH($A251,Community_Register!$A$2:$A$402,0))),""))</f>
        <v/>
      </c>
      <c r="H251" s="11">
        <f>IF($C251="","",IF($C251&lt;1,"yes","no"))</f>
        <v/>
      </c>
      <c r="I251" s="11">
        <f>IF($C251="","",IF($C251&lt;2.6,"r75",IF($C251&lt;5.2,"r110",IF($C251&lt;9.9,"r150",IF($C251&lt;19.8,"r210","r300")))))</f>
        <v/>
      </c>
      <c r="J251" s="11">
        <f>IF($C251="","",ROUND(SQRT($C251*10000/PI()),1))</f>
        <v/>
      </c>
      <c r="N251" s="11">
        <f>IF($A251="","",IFERROR(IF(INDEX(Community_Register!$S$2:$S$402,MATCH($A251,Community_Register!$A$2:$A$402,0))="","",INDEX(Community_Register!$S$2:$S$402,MATCH($A251,Community_Register!$A$2:$A$402,0))),""))</f>
        <v/>
      </c>
      <c r="O251" s="11">
        <f>IF($A251="","",IFERROR(IF(INDEX(Community_Register!$V$2:$V$402,MATCH($A251,Community_Register!$A$2:$A$402,0))="","",INDEX(Community_Register!$V$2:$V$402,MATCH($A251,Community_Register!$A$2:$A$402,0))),""))</f>
        <v/>
      </c>
      <c r="P251" s="11">
        <f>IF(OR($C251="",$N251="",NOT(ISNUMBER($N251))),"",$N251/$C251)</f>
        <v/>
      </c>
      <c r="Q251" s="11">
        <f>IF($C251="","",IF(OR($N251="",NOT(ISNUMBER($N251))),"B",IF(ABS($P251-1)&lt;=0.3,"A",IF(OR($P251&gt;2,$P251&lt;0.5),"C","B"))))</f>
        <v/>
      </c>
    </row>
    <row r="252">
      <c r="B252" s="11">
        <f>IF($A252="","",IFERROR(IF(INDEX(Community_Register!$B$2:$B$402,MATCH($A252,Community_Register!$A$2:$A$402,0))="","",INDEX(Community_Register!$B$2:$B$402,MATCH($A252,Community_Register!$A$2:$A$402,0))),""))</f>
        <v/>
      </c>
      <c r="H252" s="11">
        <f>IF($C252="","",IF($C252&lt;1,"yes","no"))</f>
        <v/>
      </c>
      <c r="I252" s="11">
        <f>IF($C252="","",IF($C252&lt;2.6,"r75",IF($C252&lt;5.2,"r110",IF($C252&lt;9.9,"r150",IF($C252&lt;19.8,"r210","r300")))))</f>
        <v/>
      </c>
      <c r="J252" s="11">
        <f>IF($C252="","",ROUND(SQRT($C252*10000/PI()),1))</f>
        <v/>
      </c>
      <c r="N252" s="11">
        <f>IF($A252="","",IFERROR(IF(INDEX(Community_Register!$S$2:$S$402,MATCH($A252,Community_Register!$A$2:$A$402,0))="","",INDEX(Community_Register!$S$2:$S$402,MATCH($A252,Community_Register!$A$2:$A$402,0))),""))</f>
        <v/>
      </c>
      <c r="O252" s="11">
        <f>IF($A252="","",IFERROR(IF(INDEX(Community_Register!$V$2:$V$402,MATCH($A252,Community_Register!$A$2:$A$402,0))="","",INDEX(Community_Register!$V$2:$V$402,MATCH($A252,Community_Register!$A$2:$A$402,0))),""))</f>
        <v/>
      </c>
      <c r="P252" s="11">
        <f>IF(OR($C252="",$N252="",NOT(ISNUMBER($N252))),"",$N252/$C252)</f>
        <v/>
      </c>
      <c r="Q252" s="11">
        <f>IF($C252="","",IF(OR($N252="",NOT(ISNUMBER($N252))),"B",IF(ABS($P252-1)&lt;=0.3,"A",IF(OR($P252&gt;2,$P252&lt;0.5),"C","B"))))</f>
        <v/>
      </c>
    </row>
    <row r="253">
      <c r="B253" s="11">
        <f>IF($A253="","",IFERROR(IF(INDEX(Community_Register!$B$2:$B$402,MATCH($A253,Community_Register!$A$2:$A$402,0))="","",INDEX(Community_Register!$B$2:$B$402,MATCH($A253,Community_Register!$A$2:$A$402,0))),""))</f>
        <v/>
      </c>
      <c r="H253" s="11">
        <f>IF($C253="","",IF($C253&lt;1,"yes","no"))</f>
        <v/>
      </c>
      <c r="I253" s="11">
        <f>IF($C253="","",IF($C253&lt;2.6,"r75",IF($C253&lt;5.2,"r110",IF($C253&lt;9.9,"r150",IF($C253&lt;19.8,"r210","r300")))))</f>
        <v/>
      </c>
      <c r="J253" s="11">
        <f>IF($C253="","",ROUND(SQRT($C253*10000/PI()),1))</f>
        <v/>
      </c>
      <c r="N253" s="11">
        <f>IF($A253="","",IFERROR(IF(INDEX(Community_Register!$S$2:$S$402,MATCH($A253,Community_Register!$A$2:$A$402,0))="","",INDEX(Community_Register!$S$2:$S$402,MATCH($A253,Community_Register!$A$2:$A$402,0))),""))</f>
        <v/>
      </c>
      <c r="O253" s="11">
        <f>IF($A253="","",IFERROR(IF(INDEX(Community_Register!$V$2:$V$402,MATCH($A253,Community_Register!$A$2:$A$402,0))="","",INDEX(Community_Register!$V$2:$V$402,MATCH($A253,Community_Register!$A$2:$A$402,0))),""))</f>
        <v/>
      </c>
      <c r="P253" s="11">
        <f>IF(OR($C253="",$N253="",NOT(ISNUMBER($N253))),"",$N253/$C253)</f>
        <v/>
      </c>
      <c r="Q253" s="11">
        <f>IF($C253="","",IF(OR($N253="",NOT(ISNUMBER($N253))),"B",IF(ABS($P253-1)&lt;=0.3,"A",IF(OR($P253&gt;2,$P253&lt;0.5),"C","B"))))</f>
        <v/>
      </c>
    </row>
    <row r="254">
      <c r="B254" s="11">
        <f>IF($A254="","",IFERROR(IF(INDEX(Community_Register!$B$2:$B$402,MATCH($A254,Community_Register!$A$2:$A$402,0))="","",INDEX(Community_Register!$B$2:$B$402,MATCH($A254,Community_Register!$A$2:$A$402,0))),""))</f>
        <v/>
      </c>
      <c r="H254" s="11">
        <f>IF($C254="","",IF($C254&lt;1,"yes","no"))</f>
        <v/>
      </c>
      <c r="I254" s="11">
        <f>IF($C254="","",IF($C254&lt;2.6,"r75",IF($C254&lt;5.2,"r110",IF($C254&lt;9.9,"r150",IF($C254&lt;19.8,"r210","r300")))))</f>
        <v/>
      </c>
      <c r="J254" s="11">
        <f>IF($C254="","",ROUND(SQRT($C254*10000/PI()),1))</f>
        <v/>
      </c>
      <c r="N254" s="11">
        <f>IF($A254="","",IFERROR(IF(INDEX(Community_Register!$S$2:$S$402,MATCH($A254,Community_Register!$A$2:$A$402,0))="","",INDEX(Community_Register!$S$2:$S$402,MATCH($A254,Community_Register!$A$2:$A$402,0))),""))</f>
        <v/>
      </c>
      <c r="O254" s="11">
        <f>IF($A254="","",IFERROR(IF(INDEX(Community_Register!$V$2:$V$402,MATCH($A254,Community_Register!$A$2:$A$402,0))="","",INDEX(Community_Register!$V$2:$V$402,MATCH($A254,Community_Register!$A$2:$A$402,0))),""))</f>
        <v/>
      </c>
      <c r="P254" s="11">
        <f>IF(OR($C254="",$N254="",NOT(ISNUMBER($N254))),"",$N254/$C254)</f>
        <v/>
      </c>
      <c r="Q254" s="11">
        <f>IF($C254="","",IF(OR($N254="",NOT(ISNUMBER($N254))),"B",IF(ABS($P254-1)&lt;=0.3,"A",IF(OR($P254&gt;2,$P254&lt;0.5),"C","B"))))</f>
        <v/>
      </c>
    </row>
    <row r="255">
      <c r="B255" s="11">
        <f>IF($A255="","",IFERROR(IF(INDEX(Community_Register!$B$2:$B$402,MATCH($A255,Community_Register!$A$2:$A$402,0))="","",INDEX(Community_Register!$B$2:$B$402,MATCH($A255,Community_Register!$A$2:$A$402,0))),""))</f>
        <v/>
      </c>
      <c r="H255" s="11">
        <f>IF($C255="","",IF($C255&lt;1,"yes","no"))</f>
        <v/>
      </c>
      <c r="I255" s="11">
        <f>IF($C255="","",IF($C255&lt;2.6,"r75",IF($C255&lt;5.2,"r110",IF($C255&lt;9.9,"r150",IF($C255&lt;19.8,"r210","r300")))))</f>
        <v/>
      </c>
      <c r="J255" s="11">
        <f>IF($C255="","",ROUND(SQRT($C255*10000/PI()),1))</f>
        <v/>
      </c>
      <c r="N255" s="11">
        <f>IF($A255="","",IFERROR(IF(INDEX(Community_Register!$S$2:$S$402,MATCH($A255,Community_Register!$A$2:$A$402,0))="","",INDEX(Community_Register!$S$2:$S$402,MATCH($A255,Community_Register!$A$2:$A$402,0))),""))</f>
        <v/>
      </c>
      <c r="O255" s="11">
        <f>IF($A255="","",IFERROR(IF(INDEX(Community_Register!$V$2:$V$402,MATCH($A255,Community_Register!$A$2:$A$402,0))="","",INDEX(Community_Register!$V$2:$V$402,MATCH($A255,Community_Register!$A$2:$A$402,0))),""))</f>
        <v/>
      </c>
      <c r="P255" s="11">
        <f>IF(OR($C255="",$N255="",NOT(ISNUMBER($N255))),"",$N255/$C255)</f>
        <v/>
      </c>
      <c r="Q255" s="11">
        <f>IF($C255="","",IF(OR($N255="",NOT(ISNUMBER($N255))),"B",IF(ABS($P255-1)&lt;=0.3,"A",IF(OR($P255&gt;2,$P255&lt;0.5),"C","B"))))</f>
        <v/>
      </c>
    </row>
    <row r="256">
      <c r="B256" s="11">
        <f>IF($A256="","",IFERROR(IF(INDEX(Community_Register!$B$2:$B$402,MATCH($A256,Community_Register!$A$2:$A$402,0))="","",INDEX(Community_Register!$B$2:$B$402,MATCH($A256,Community_Register!$A$2:$A$402,0))),""))</f>
        <v/>
      </c>
      <c r="H256" s="11">
        <f>IF($C256="","",IF($C256&lt;1,"yes","no"))</f>
        <v/>
      </c>
      <c r="I256" s="11">
        <f>IF($C256="","",IF($C256&lt;2.6,"r75",IF($C256&lt;5.2,"r110",IF($C256&lt;9.9,"r150",IF($C256&lt;19.8,"r210","r300")))))</f>
        <v/>
      </c>
      <c r="J256" s="11">
        <f>IF($C256="","",ROUND(SQRT($C256*10000/PI()),1))</f>
        <v/>
      </c>
      <c r="N256" s="11">
        <f>IF($A256="","",IFERROR(IF(INDEX(Community_Register!$S$2:$S$402,MATCH($A256,Community_Register!$A$2:$A$402,0))="","",INDEX(Community_Register!$S$2:$S$402,MATCH($A256,Community_Register!$A$2:$A$402,0))),""))</f>
        <v/>
      </c>
      <c r="O256" s="11">
        <f>IF($A256="","",IFERROR(IF(INDEX(Community_Register!$V$2:$V$402,MATCH($A256,Community_Register!$A$2:$A$402,0))="","",INDEX(Community_Register!$V$2:$V$402,MATCH($A256,Community_Register!$A$2:$A$402,0))),""))</f>
        <v/>
      </c>
      <c r="P256" s="11">
        <f>IF(OR($C256="",$N256="",NOT(ISNUMBER($N256))),"",$N256/$C256)</f>
        <v/>
      </c>
      <c r="Q256" s="11">
        <f>IF($C256="","",IF(OR($N256="",NOT(ISNUMBER($N256))),"B",IF(ABS($P256-1)&lt;=0.3,"A",IF(OR($P256&gt;2,$P256&lt;0.5),"C","B"))))</f>
        <v/>
      </c>
    </row>
    <row r="257">
      <c r="B257" s="11">
        <f>IF($A257="","",IFERROR(IF(INDEX(Community_Register!$B$2:$B$402,MATCH($A257,Community_Register!$A$2:$A$402,0))="","",INDEX(Community_Register!$B$2:$B$402,MATCH($A257,Community_Register!$A$2:$A$402,0))),""))</f>
        <v/>
      </c>
      <c r="H257" s="11">
        <f>IF($C257="","",IF($C257&lt;1,"yes","no"))</f>
        <v/>
      </c>
      <c r="I257" s="11">
        <f>IF($C257="","",IF($C257&lt;2.6,"r75",IF($C257&lt;5.2,"r110",IF($C257&lt;9.9,"r150",IF($C257&lt;19.8,"r210","r300")))))</f>
        <v/>
      </c>
      <c r="J257" s="11">
        <f>IF($C257="","",ROUND(SQRT($C257*10000/PI()),1))</f>
        <v/>
      </c>
      <c r="N257" s="11">
        <f>IF($A257="","",IFERROR(IF(INDEX(Community_Register!$S$2:$S$402,MATCH($A257,Community_Register!$A$2:$A$402,0))="","",INDEX(Community_Register!$S$2:$S$402,MATCH($A257,Community_Register!$A$2:$A$402,0))),""))</f>
        <v/>
      </c>
      <c r="O257" s="11">
        <f>IF($A257="","",IFERROR(IF(INDEX(Community_Register!$V$2:$V$402,MATCH($A257,Community_Register!$A$2:$A$402,0))="","",INDEX(Community_Register!$V$2:$V$402,MATCH($A257,Community_Register!$A$2:$A$402,0))),""))</f>
        <v/>
      </c>
      <c r="P257" s="11">
        <f>IF(OR($C257="",$N257="",NOT(ISNUMBER($N257))),"",$N257/$C257)</f>
        <v/>
      </c>
      <c r="Q257" s="11">
        <f>IF($C257="","",IF(OR($N257="",NOT(ISNUMBER($N257))),"B",IF(ABS($P257-1)&lt;=0.3,"A",IF(OR($P257&gt;2,$P257&lt;0.5),"C","B"))))</f>
        <v/>
      </c>
    </row>
    <row r="258">
      <c r="B258" s="11">
        <f>IF($A258="","",IFERROR(IF(INDEX(Community_Register!$B$2:$B$402,MATCH($A258,Community_Register!$A$2:$A$402,0))="","",INDEX(Community_Register!$B$2:$B$402,MATCH($A258,Community_Register!$A$2:$A$402,0))),""))</f>
        <v/>
      </c>
      <c r="H258" s="11">
        <f>IF($C258="","",IF($C258&lt;1,"yes","no"))</f>
        <v/>
      </c>
      <c r="I258" s="11">
        <f>IF($C258="","",IF($C258&lt;2.6,"r75",IF($C258&lt;5.2,"r110",IF($C258&lt;9.9,"r150",IF($C258&lt;19.8,"r210","r300")))))</f>
        <v/>
      </c>
      <c r="J258" s="11">
        <f>IF($C258="","",ROUND(SQRT($C258*10000/PI()),1))</f>
        <v/>
      </c>
      <c r="N258" s="11">
        <f>IF($A258="","",IFERROR(IF(INDEX(Community_Register!$S$2:$S$402,MATCH($A258,Community_Register!$A$2:$A$402,0))="","",INDEX(Community_Register!$S$2:$S$402,MATCH($A258,Community_Register!$A$2:$A$402,0))),""))</f>
        <v/>
      </c>
      <c r="O258" s="11">
        <f>IF($A258="","",IFERROR(IF(INDEX(Community_Register!$V$2:$V$402,MATCH($A258,Community_Register!$A$2:$A$402,0))="","",INDEX(Community_Register!$V$2:$V$402,MATCH($A258,Community_Register!$A$2:$A$402,0))),""))</f>
        <v/>
      </c>
      <c r="P258" s="11">
        <f>IF(OR($C258="",$N258="",NOT(ISNUMBER($N258))),"",$N258/$C258)</f>
        <v/>
      </c>
      <c r="Q258" s="11">
        <f>IF($C258="","",IF(OR($N258="",NOT(ISNUMBER($N258))),"B",IF(ABS($P258-1)&lt;=0.3,"A",IF(OR($P258&gt;2,$P258&lt;0.5),"C","B"))))</f>
        <v/>
      </c>
    </row>
    <row r="259">
      <c r="B259" s="11">
        <f>IF($A259="","",IFERROR(IF(INDEX(Community_Register!$B$2:$B$402,MATCH($A259,Community_Register!$A$2:$A$402,0))="","",INDEX(Community_Register!$B$2:$B$402,MATCH($A259,Community_Register!$A$2:$A$402,0))),""))</f>
        <v/>
      </c>
      <c r="H259" s="11">
        <f>IF($C259="","",IF($C259&lt;1,"yes","no"))</f>
        <v/>
      </c>
      <c r="I259" s="11">
        <f>IF($C259="","",IF($C259&lt;2.6,"r75",IF($C259&lt;5.2,"r110",IF($C259&lt;9.9,"r150",IF($C259&lt;19.8,"r210","r300")))))</f>
        <v/>
      </c>
      <c r="J259" s="11">
        <f>IF($C259="","",ROUND(SQRT($C259*10000/PI()),1))</f>
        <v/>
      </c>
      <c r="N259" s="11">
        <f>IF($A259="","",IFERROR(IF(INDEX(Community_Register!$S$2:$S$402,MATCH($A259,Community_Register!$A$2:$A$402,0))="","",INDEX(Community_Register!$S$2:$S$402,MATCH($A259,Community_Register!$A$2:$A$402,0))),""))</f>
        <v/>
      </c>
      <c r="O259" s="11">
        <f>IF($A259="","",IFERROR(IF(INDEX(Community_Register!$V$2:$V$402,MATCH($A259,Community_Register!$A$2:$A$402,0))="","",INDEX(Community_Register!$V$2:$V$402,MATCH($A259,Community_Register!$A$2:$A$402,0))),""))</f>
        <v/>
      </c>
      <c r="P259" s="11">
        <f>IF(OR($C259="",$N259="",NOT(ISNUMBER($N259))),"",$N259/$C259)</f>
        <v/>
      </c>
      <c r="Q259" s="11">
        <f>IF($C259="","",IF(OR($N259="",NOT(ISNUMBER($N259))),"B",IF(ABS($P259-1)&lt;=0.3,"A",IF(OR($P259&gt;2,$P259&lt;0.5),"C","B"))))</f>
        <v/>
      </c>
    </row>
    <row r="260">
      <c r="B260" s="11">
        <f>IF($A260="","",IFERROR(IF(INDEX(Community_Register!$B$2:$B$402,MATCH($A260,Community_Register!$A$2:$A$402,0))="","",INDEX(Community_Register!$B$2:$B$402,MATCH($A260,Community_Register!$A$2:$A$402,0))),""))</f>
        <v/>
      </c>
      <c r="H260" s="11">
        <f>IF($C260="","",IF($C260&lt;1,"yes","no"))</f>
        <v/>
      </c>
      <c r="I260" s="11">
        <f>IF($C260="","",IF($C260&lt;2.6,"r75",IF($C260&lt;5.2,"r110",IF($C260&lt;9.9,"r150",IF($C260&lt;19.8,"r210","r300")))))</f>
        <v/>
      </c>
      <c r="J260" s="11">
        <f>IF($C260="","",ROUND(SQRT($C260*10000/PI()),1))</f>
        <v/>
      </c>
      <c r="N260" s="11">
        <f>IF($A260="","",IFERROR(IF(INDEX(Community_Register!$S$2:$S$402,MATCH($A260,Community_Register!$A$2:$A$402,0))="","",INDEX(Community_Register!$S$2:$S$402,MATCH($A260,Community_Register!$A$2:$A$402,0))),""))</f>
        <v/>
      </c>
      <c r="O260" s="11">
        <f>IF($A260="","",IFERROR(IF(INDEX(Community_Register!$V$2:$V$402,MATCH($A260,Community_Register!$A$2:$A$402,0))="","",INDEX(Community_Register!$V$2:$V$402,MATCH($A260,Community_Register!$A$2:$A$402,0))),""))</f>
        <v/>
      </c>
      <c r="P260" s="11">
        <f>IF(OR($C260="",$N260="",NOT(ISNUMBER($N260))),"",$N260/$C260)</f>
        <v/>
      </c>
      <c r="Q260" s="11">
        <f>IF($C260="","",IF(OR($N260="",NOT(ISNUMBER($N260))),"B",IF(ABS($P260-1)&lt;=0.3,"A",IF(OR($P260&gt;2,$P260&lt;0.5),"C","B"))))</f>
        <v/>
      </c>
    </row>
    <row r="261">
      <c r="B261" s="11">
        <f>IF($A261="","",IFERROR(IF(INDEX(Community_Register!$B$2:$B$402,MATCH($A261,Community_Register!$A$2:$A$402,0))="","",INDEX(Community_Register!$B$2:$B$402,MATCH($A261,Community_Register!$A$2:$A$402,0))),""))</f>
        <v/>
      </c>
      <c r="H261" s="11">
        <f>IF($C261="","",IF($C261&lt;1,"yes","no"))</f>
        <v/>
      </c>
      <c r="I261" s="11">
        <f>IF($C261="","",IF($C261&lt;2.6,"r75",IF($C261&lt;5.2,"r110",IF($C261&lt;9.9,"r150",IF($C261&lt;19.8,"r210","r300")))))</f>
        <v/>
      </c>
      <c r="J261" s="11">
        <f>IF($C261="","",ROUND(SQRT($C261*10000/PI()),1))</f>
        <v/>
      </c>
      <c r="N261" s="11">
        <f>IF($A261="","",IFERROR(IF(INDEX(Community_Register!$S$2:$S$402,MATCH($A261,Community_Register!$A$2:$A$402,0))="","",INDEX(Community_Register!$S$2:$S$402,MATCH($A261,Community_Register!$A$2:$A$402,0))),""))</f>
        <v/>
      </c>
      <c r="O261" s="11">
        <f>IF($A261="","",IFERROR(IF(INDEX(Community_Register!$V$2:$V$402,MATCH($A261,Community_Register!$A$2:$A$402,0))="","",INDEX(Community_Register!$V$2:$V$402,MATCH($A261,Community_Register!$A$2:$A$402,0))),""))</f>
        <v/>
      </c>
      <c r="P261" s="11">
        <f>IF(OR($C261="",$N261="",NOT(ISNUMBER($N261))),"",$N261/$C261)</f>
        <v/>
      </c>
      <c r="Q261" s="11">
        <f>IF($C261="","",IF(OR($N261="",NOT(ISNUMBER($N261))),"B",IF(ABS($P261-1)&lt;=0.3,"A",IF(OR($P261&gt;2,$P261&lt;0.5),"C","B"))))</f>
        <v/>
      </c>
    </row>
    <row r="262">
      <c r="B262" s="11">
        <f>IF($A262="","",IFERROR(IF(INDEX(Community_Register!$B$2:$B$402,MATCH($A262,Community_Register!$A$2:$A$402,0))="","",INDEX(Community_Register!$B$2:$B$402,MATCH($A262,Community_Register!$A$2:$A$402,0))),""))</f>
        <v/>
      </c>
      <c r="H262" s="11">
        <f>IF($C262="","",IF($C262&lt;1,"yes","no"))</f>
        <v/>
      </c>
      <c r="I262" s="11">
        <f>IF($C262="","",IF($C262&lt;2.6,"r75",IF($C262&lt;5.2,"r110",IF($C262&lt;9.9,"r150",IF($C262&lt;19.8,"r210","r300")))))</f>
        <v/>
      </c>
      <c r="J262" s="11">
        <f>IF($C262="","",ROUND(SQRT($C262*10000/PI()),1))</f>
        <v/>
      </c>
      <c r="N262" s="11">
        <f>IF($A262="","",IFERROR(IF(INDEX(Community_Register!$S$2:$S$402,MATCH($A262,Community_Register!$A$2:$A$402,0))="","",INDEX(Community_Register!$S$2:$S$402,MATCH($A262,Community_Register!$A$2:$A$402,0))),""))</f>
        <v/>
      </c>
      <c r="O262" s="11">
        <f>IF($A262="","",IFERROR(IF(INDEX(Community_Register!$V$2:$V$402,MATCH($A262,Community_Register!$A$2:$A$402,0))="","",INDEX(Community_Register!$V$2:$V$402,MATCH($A262,Community_Register!$A$2:$A$402,0))),""))</f>
        <v/>
      </c>
      <c r="P262" s="11">
        <f>IF(OR($C262="",$N262="",NOT(ISNUMBER($N262))),"",$N262/$C262)</f>
        <v/>
      </c>
      <c r="Q262" s="11">
        <f>IF($C262="","",IF(OR($N262="",NOT(ISNUMBER($N262))),"B",IF(ABS($P262-1)&lt;=0.3,"A",IF(OR($P262&gt;2,$P262&lt;0.5),"C","B"))))</f>
        <v/>
      </c>
    </row>
    <row r="263">
      <c r="B263" s="11">
        <f>IF($A263="","",IFERROR(IF(INDEX(Community_Register!$B$2:$B$402,MATCH($A263,Community_Register!$A$2:$A$402,0))="","",INDEX(Community_Register!$B$2:$B$402,MATCH($A263,Community_Register!$A$2:$A$402,0))),""))</f>
        <v/>
      </c>
      <c r="H263" s="11">
        <f>IF($C263="","",IF($C263&lt;1,"yes","no"))</f>
        <v/>
      </c>
      <c r="I263" s="11">
        <f>IF($C263="","",IF($C263&lt;2.6,"r75",IF($C263&lt;5.2,"r110",IF($C263&lt;9.9,"r150",IF($C263&lt;19.8,"r210","r300")))))</f>
        <v/>
      </c>
      <c r="J263" s="11">
        <f>IF($C263="","",ROUND(SQRT($C263*10000/PI()),1))</f>
        <v/>
      </c>
      <c r="N263" s="11">
        <f>IF($A263="","",IFERROR(IF(INDEX(Community_Register!$S$2:$S$402,MATCH($A263,Community_Register!$A$2:$A$402,0))="","",INDEX(Community_Register!$S$2:$S$402,MATCH($A263,Community_Register!$A$2:$A$402,0))),""))</f>
        <v/>
      </c>
      <c r="O263" s="11">
        <f>IF($A263="","",IFERROR(IF(INDEX(Community_Register!$V$2:$V$402,MATCH($A263,Community_Register!$A$2:$A$402,0))="","",INDEX(Community_Register!$V$2:$V$402,MATCH($A263,Community_Register!$A$2:$A$402,0))),""))</f>
        <v/>
      </c>
      <c r="P263" s="11">
        <f>IF(OR($C263="",$N263="",NOT(ISNUMBER($N263))),"",$N263/$C263)</f>
        <v/>
      </c>
      <c r="Q263" s="11">
        <f>IF($C263="","",IF(OR($N263="",NOT(ISNUMBER($N263))),"B",IF(ABS($P263-1)&lt;=0.3,"A",IF(OR($P263&gt;2,$P263&lt;0.5),"C","B"))))</f>
        <v/>
      </c>
    </row>
    <row r="264">
      <c r="B264" s="11">
        <f>IF($A264="","",IFERROR(IF(INDEX(Community_Register!$B$2:$B$402,MATCH($A264,Community_Register!$A$2:$A$402,0))="","",INDEX(Community_Register!$B$2:$B$402,MATCH($A264,Community_Register!$A$2:$A$402,0))),""))</f>
        <v/>
      </c>
      <c r="H264" s="11">
        <f>IF($C264="","",IF($C264&lt;1,"yes","no"))</f>
        <v/>
      </c>
      <c r="I264" s="11">
        <f>IF($C264="","",IF($C264&lt;2.6,"r75",IF($C264&lt;5.2,"r110",IF($C264&lt;9.9,"r150",IF($C264&lt;19.8,"r210","r300")))))</f>
        <v/>
      </c>
      <c r="J264" s="11">
        <f>IF($C264="","",ROUND(SQRT($C264*10000/PI()),1))</f>
        <v/>
      </c>
      <c r="N264" s="11">
        <f>IF($A264="","",IFERROR(IF(INDEX(Community_Register!$S$2:$S$402,MATCH($A264,Community_Register!$A$2:$A$402,0))="","",INDEX(Community_Register!$S$2:$S$402,MATCH($A264,Community_Register!$A$2:$A$402,0))),""))</f>
        <v/>
      </c>
      <c r="O264" s="11">
        <f>IF($A264="","",IFERROR(IF(INDEX(Community_Register!$V$2:$V$402,MATCH($A264,Community_Register!$A$2:$A$402,0))="","",INDEX(Community_Register!$V$2:$V$402,MATCH($A264,Community_Register!$A$2:$A$402,0))),""))</f>
        <v/>
      </c>
      <c r="P264" s="11">
        <f>IF(OR($C264="",$N264="",NOT(ISNUMBER($N264))),"",$N264/$C264)</f>
        <v/>
      </c>
      <c r="Q264" s="11">
        <f>IF($C264="","",IF(OR($N264="",NOT(ISNUMBER($N264))),"B",IF(ABS($P264-1)&lt;=0.3,"A",IF(OR($P264&gt;2,$P264&lt;0.5),"C","B"))))</f>
        <v/>
      </c>
    </row>
    <row r="265">
      <c r="B265" s="11">
        <f>IF($A265="","",IFERROR(IF(INDEX(Community_Register!$B$2:$B$402,MATCH($A265,Community_Register!$A$2:$A$402,0))="","",INDEX(Community_Register!$B$2:$B$402,MATCH($A265,Community_Register!$A$2:$A$402,0))),""))</f>
        <v/>
      </c>
      <c r="H265" s="11">
        <f>IF($C265="","",IF($C265&lt;1,"yes","no"))</f>
        <v/>
      </c>
      <c r="I265" s="11">
        <f>IF($C265="","",IF($C265&lt;2.6,"r75",IF($C265&lt;5.2,"r110",IF($C265&lt;9.9,"r150",IF($C265&lt;19.8,"r210","r300")))))</f>
        <v/>
      </c>
      <c r="J265" s="11">
        <f>IF($C265="","",ROUND(SQRT($C265*10000/PI()),1))</f>
        <v/>
      </c>
      <c r="N265" s="11">
        <f>IF($A265="","",IFERROR(IF(INDEX(Community_Register!$S$2:$S$402,MATCH($A265,Community_Register!$A$2:$A$402,0))="","",INDEX(Community_Register!$S$2:$S$402,MATCH($A265,Community_Register!$A$2:$A$402,0))),""))</f>
        <v/>
      </c>
      <c r="O265" s="11">
        <f>IF($A265="","",IFERROR(IF(INDEX(Community_Register!$V$2:$V$402,MATCH($A265,Community_Register!$A$2:$A$402,0))="","",INDEX(Community_Register!$V$2:$V$402,MATCH($A265,Community_Register!$A$2:$A$402,0))),""))</f>
        <v/>
      </c>
      <c r="P265" s="11">
        <f>IF(OR($C265="",$N265="",NOT(ISNUMBER($N265))),"",$N265/$C265)</f>
        <v/>
      </c>
      <c r="Q265" s="11">
        <f>IF($C265="","",IF(OR($N265="",NOT(ISNUMBER($N265))),"B",IF(ABS($P265-1)&lt;=0.3,"A",IF(OR($P265&gt;2,$P265&lt;0.5),"C","B"))))</f>
        <v/>
      </c>
    </row>
    <row r="266">
      <c r="B266" s="11">
        <f>IF($A266="","",IFERROR(IF(INDEX(Community_Register!$B$2:$B$402,MATCH($A266,Community_Register!$A$2:$A$402,0))="","",INDEX(Community_Register!$B$2:$B$402,MATCH($A266,Community_Register!$A$2:$A$402,0))),""))</f>
        <v/>
      </c>
      <c r="H266" s="11">
        <f>IF($C266="","",IF($C266&lt;1,"yes","no"))</f>
        <v/>
      </c>
      <c r="I266" s="11">
        <f>IF($C266="","",IF($C266&lt;2.6,"r75",IF($C266&lt;5.2,"r110",IF($C266&lt;9.9,"r150",IF($C266&lt;19.8,"r210","r300")))))</f>
        <v/>
      </c>
      <c r="J266" s="11">
        <f>IF($C266="","",ROUND(SQRT($C266*10000/PI()),1))</f>
        <v/>
      </c>
      <c r="N266" s="11">
        <f>IF($A266="","",IFERROR(IF(INDEX(Community_Register!$S$2:$S$402,MATCH($A266,Community_Register!$A$2:$A$402,0))="","",INDEX(Community_Register!$S$2:$S$402,MATCH($A266,Community_Register!$A$2:$A$402,0))),""))</f>
        <v/>
      </c>
      <c r="O266" s="11">
        <f>IF($A266="","",IFERROR(IF(INDEX(Community_Register!$V$2:$V$402,MATCH($A266,Community_Register!$A$2:$A$402,0))="","",INDEX(Community_Register!$V$2:$V$402,MATCH($A266,Community_Register!$A$2:$A$402,0))),""))</f>
        <v/>
      </c>
      <c r="P266" s="11">
        <f>IF(OR($C266="",$N266="",NOT(ISNUMBER($N266))),"",$N266/$C266)</f>
        <v/>
      </c>
      <c r="Q266" s="11">
        <f>IF($C266="","",IF(OR($N266="",NOT(ISNUMBER($N266))),"B",IF(ABS($P266-1)&lt;=0.3,"A",IF(OR($P266&gt;2,$P266&lt;0.5),"C","B"))))</f>
        <v/>
      </c>
    </row>
    <row r="267">
      <c r="B267" s="11">
        <f>IF($A267="","",IFERROR(IF(INDEX(Community_Register!$B$2:$B$402,MATCH($A267,Community_Register!$A$2:$A$402,0))="","",INDEX(Community_Register!$B$2:$B$402,MATCH($A267,Community_Register!$A$2:$A$402,0))),""))</f>
        <v/>
      </c>
      <c r="H267" s="11">
        <f>IF($C267="","",IF($C267&lt;1,"yes","no"))</f>
        <v/>
      </c>
      <c r="I267" s="11">
        <f>IF($C267="","",IF($C267&lt;2.6,"r75",IF($C267&lt;5.2,"r110",IF($C267&lt;9.9,"r150",IF($C267&lt;19.8,"r210","r300")))))</f>
        <v/>
      </c>
      <c r="J267" s="11">
        <f>IF($C267="","",ROUND(SQRT($C267*10000/PI()),1))</f>
        <v/>
      </c>
      <c r="N267" s="11">
        <f>IF($A267="","",IFERROR(IF(INDEX(Community_Register!$S$2:$S$402,MATCH($A267,Community_Register!$A$2:$A$402,0))="","",INDEX(Community_Register!$S$2:$S$402,MATCH($A267,Community_Register!$A$2:$A$402,0))),""))</f>
        <v/>
      </c>
      <c r="O267" s="11">
        <f>IF($A267="","",IFERROR(IF(INDEX(Community_Register!$V$2:$V$402,MATCH($A267,Community_Register!$A$2:$A$402,0))="","",INDEX(Community_Register!$V$2:$V$402,MATCH($A267,Community_Register!$A$2:$A$402,0))),""))</f>
        <v/>
      </c>
      <c r="P267" s="11">
        <f>IF(OR($C267="",$N267="",NOT(ISNUMBER($N267))),"",$N267/$C267)</f>
        <v/>
      </c>
      <c r="Q267" s="11">
        <f>IF($C267="","",IF(OR($N267="",NOT(ISNUMBER($N267))),"B",IF(ABS($P267-1)&lt;=0.3,"A",IF(OR($P267&gt;2,$P267&lt;0.5),"C","B"))))</f>
        <v/>
      </c>
    </row>
    <row r="268">
      <c r="B268" s="11">
        <f>IF($A268="","",IFERROR(IF(INDEX(Community_Register!$B$2:$B$402,MATCH($A268,Community_Register!$A$2:$A$402,0))="","",INDEX(Community_Register!$B$2:$B$402,MATCH($A268,Community_Register!$A$2:$A$402,0))),""))</f>
        <v/>
      </c>
      <c r="H268" s="11">
        <f>IF($C268="","",IF($C268&lt;1,"yes","no"))</f>
        <v/>
      </c>
      <c r="I268" s="11">
        <f>IF($C268="","",IF($C268&lt;2.6,"r75",IF($C268&lt;5.2,"r110",IF($C268&lt;9.9,"r150",IF($C268&lt;19.8,"r210","r300")))))</f>
        <v/>
      </c>
      <c r="J268" s="11">
        <f>IF($C268="","",ROUND(SQRT($C268*10000/PI()),1))</f>
        <v/>
      </c>
      <c r="N268" s="11">
        <f>IF($A268="","",IFERROR(IF(INDEX(Community_Register!$S$2:$S$402,MATCH($A268,Community_Register!$A$2:$A$402,0))="","",INDEX(Community_Register!$S$2:$S$402,MATCH($A268,Community_Register!$A$2:$A$402,0))),""))</f>
        <v/>
      </c>
      <c r="O268" s="11">
        <f>IF($A268="","",IFERROR(IF(INDEX(Community_Register!$V$2:$V$402,MATCH($A268,Community_Register!$A$2:$A$402,0))="","",INDEX(Community_Register!$V$2:$V$402,MATCH($A268,Community_Register!$A$2:$A$402,0))),""))</f>
        <v/>
      </c>
      <c r="P268" s="11">
        <f>IF(OR($C268="",$N268="",NOT(ISNUMBER($N268))),"",$N268/$C268)</f>
        <v/>
      </c>
      <c r="Q268" s="11">
        <f>IF($C268="","",IF(OR($N268="",NOT(ISNUMBER($N268))),"B",IF(ABS($P268-1)&lt;=0.3,"A",IF(OR($P268&gt;2,$P268&lt;0.5),"C","B"))))</f>
        <v/>
      </c>
    </row>
    <row r="269">
      <c r="B269" s="11">
        <f>IF($A269="","",IFERROR(IF(INDEX(Community_Register!$B$2:$B$402,MATCH($A269,Community_Register!$A$2:$A$402,0))="","",INDEX(Community_Register!$B$2:$B$402,MATCH($A269,Community_Register!$A$2:$A$402,0))),""))</f>
        <v/>
      </c>
      <c r="H269" s="11">
        <f>IF($C269="","",IF($C269&lt;1,"yes","no"))</f>
        <v/>
      </c>
      <c r="I269" s="11">
        <f>IF($C269="","",IF($C269&lt;2.6,"r75",IF($C269&lt;5.2,"r110",IF($C269&lt;9.9,"r150",IF($C269&lt;19.8,"r210","r300")))))</f>
        <v/>
      </c>
      <c r="J269" s="11">
        <f>IF($C269="","",ROUND(SQRT($C269*10000/PI()),1))</f>
        <v/>
      </c>
      <c r="N269" s="11">
        <f>IF($A269="","",IFERROR(IF(INDEX(Community_Register!$S$2:$S$402,MATCH($A269,Community_Register!$A$2:$A$402,0))="","",INDEX(Community_Register!$S$2:$S$402,MATCH($A269,Community_Register!$A$2:$A$402,0))),""))</f>
        <v/>
      </c>
      <c r="O269" s="11">
        <f>IF($A269="","",IFERROR(IF(INDEX(Community_Register!$V$2:$V$402,MATCH($A269,Community_Register!$A$2:$A$402,0))="","",INDEX(Community_Register!$V$2:$V$402,MATCH($A269,Community_Register!$A$2:$A$402,0))),""))</f>
        <v/>
      </c>
      <c r="P269" s="11">
        <f>IF(OR($C269="",$N269="",NOT(ISNUMBER($N269))),"",$N269/$C269)</f>
        <v/>
      </c>
      <c r="Q269" s="11">
        <f>IF($C269="","",IF(OR($N269="",NOT(ISNUMBER($N269))),"B",IF(ABS($P269-1)&lt;=0.3,"A",IF(OR($P269&gt;2,$P269&lt;0.5),"C","B"))))</f>
        <v/>
      </c>
    </row>
    <row r="270">
      <c r="B270" s="11">
        <f>IF($A270="","",IFERROR(IF(INDEX(Community_Register!$B$2:$B$402,MATCH($A270,Community_Register!$A$2:$A$402,0))="","",INDEX(Community_Register!$B$2:$B$402,MATCH($A270,Community_Register!$A$2:$A$402,0))),""))</f>
        <v/>
      </c>
      <c r="H270" s="11">
        <f>IF($C270="","",IF($C270&lt;1,"yes","no"))</f>
        <v/>
      </c>
      <c r="I270" s="11">
        <f>IF($C270="","",IF($C270&lt;2.6,"r75",IF($C270&lt;5.2,"r110",IF($C270&lt;9.9,"r150",IF($C270&lt;19.8,"r210","r300")))))</f>
        <v/>
      </c>
      <c r="J270" s="11">
        <f>IF($C270="","",ROUND(SQRT($C270*10000/PI()),1))</f>
        <v/>
      </c>
      <c r="N270" s="11">
        <f>IF($A270="","",IFERROR(IF(INDEX(Community_Register!$S$2:$S$402,MATCH($A270,Community_Register!$A$2:$A$402,0))="","",INDEX(Community_Register!$S$2:$S$402,MATCH($A270,Community_Register!$A$2:$A$402,0))),""))</f>
        <v/>
      </c>
      <c r="O270" s="11">
        <f>IF($A270="","",IFERROR(IF(INDEX(Community_Register!$V$2:$V$402,MATCH($A270,Community_Register!$A$2:$A$402,0))="","",INDEX(Community_Register!$V$2:$V$402,MATCH($A270,Community_Register!$A$2:$A$402,0))),""))</f>
        <v/>
      </c>
      <c r="P270" s="11">
        <f>IF(OR($C270="",$N270="",NOT(ISNUMBER($N270))),"",$N270/$C270)</f>
        <v/>
      </c>
      <c r="Q270" s="11">
        <f>IF($C270="","",IF(OR($N270="",NOT(ISNUMBER($N270))),"B",IF(ABS($P270-1)&lt;=0.3,"A",IF(OR($P270&gt;2,$P270&lt;0.5),"C","B"))))</f>
        <v/>
      </c>
    </row>
    <row r="271">
      <c r="B271" s="11">
        <f>IF($A271="","",IFERROR(IF(INDEX(Community_Register!$B$2:$B$402,MATCH($A271,Community_Register!$A$2:$A$402,0))="","",INDEX(Community_Register!$B$2:$B$402,MATCH($A271,Community_Register!$A$2:$A$402,0))),""))</f>
        <v/>
      </c>
      <c r="H271" s="11">
        <f>IF($C271="","",IF($C271&lt;1,"yes","no"))</f>
        <v/>
      </c>
      <c r="I271" s="11">
        <f>IF($C271="","",IF($C271&lt;2.6,"r75",IF($C271&lt;5.2,"r110",IF($C271&lt;9.9,"r150",IF($C271&lt;19.8,"r210","r300")))))</f>
        <v/>
      </c>
      <c r="J271" s="11">
        <f>IF($C271="","",ROUND(SQRT($C271*10000/PI()),1))</f>
        <v/>
      </c>
      <c r="N271" s="11">
        <f>IF($A271="","",IFERROR(IF(INDEX(Community_Register!$S$2:$S$402,MATCH($A271,Community_Register!$A$2:$A$402,0))="","",INDEX(Community_Register!$S$2:$S$402,MATCH($A271,Community_Register!$A$2:$A$402,0))),""))</f>
        <v/>
      </c>
      <c r="O271" s="11">
        <f>IF($A271="","",IFERROR(IF(INDEX(Community_Register!$V$2:$V$402,MATCH($A271,Community_Register!$A$2:$A$402,0))="","",INDEX(Community_Register!$V$2:$V$402,MATCH($A271,Community_Register!$A$2:$A$402,0))),""))</f>
        <v/>
      </c>
      <c r="P271" s="11">
        <f>IF(OR($C271="",$N271="",NOT(ISNUMBER($N271))),"",$N271/$C271)</f>
        <v/>
      </c>
      <c r="Q271" s="11">
        <f>IF($C271="","",IF(OR($N271="",NOT(ISNUMBER($N271))),"B",IF(ABS($P271-1)&lt;=0.3,"A",IF(OR($P271&gt;2,$P271&lt;0.5),"C","B"))))</f>
        <v/>
      </c>
    </row>
    <row r="272">
      <c r="B272" s="11">
        <f>IF($A272="","",IFERROR(IF(INDEX(Community_Register!$B$2:$B$402,MATCH($A272,Community_Register!$A$2:$A$402,0))="","",INDEX(Community_Register!$B$2:$B$402,MATCH($A272,Community_Register!$A$2:$A$402,0))),""))</f>
        <v/>
      </c>
      <c r="H272" s="11">
        <f>IF($C272="","",IF($C272&lt;1,"yes","no"))</f>
        <v/>
      </c>
      <c r="I272" s="11">
        <f>IF($C272="","",IF($C272&lt;2.6,"r75",IF($C272&lt;5.2,"r110",IF($C272&lt;9.9,"r150",IF($C272&lt;19.8,"r210","r300")))))</f>
        <v/>
      </c>
      <c r="J272" s="11">
        <f>IF($C272="","",ROUND(SQRT($C272*10000/PI()),1))</f>
        <v/>
      </c>
      <c r="N272" s="11">
        <f>IF($A272="","",IFERROR(IF(INDEX(Community_Register!$S$2:$S$402,MATCH($A272,Community_Register!$A$2:$A$402,0))="","",INDEX(Community_Register!$S$2:$S$402,MATCH($A272,Community_Register!$A$2:$A$402,0))),""))</f>
        <v/>
      </c>
      <c r="O272" s="11">
        <f>IF($A272="","",IFERROR(IF(INDEX(Community_Register!$V$2:$V$402,MATCH($A272,Community_Register!$A$2:$A$402,0))="","",INDEX(Community_Register!$V$2:$V$402,MATCH($A272,Community_Register!$A$2:$A$402,0))),""))</f>
        <v/>
      </c>
      <c r="P272" s="11">
        <f>IF(OR($C272="",$N272="",NOT(ISNUMBER($N272))),"",$N272/$C272)</f>
        <v/>
      </c>
      <c r="Q272" s="11">
        <f>IF($C272="","",IF(OR($N272="",NOT(ISNUMBER($N272))),"B",IF(ABS($P272-1)&lt;=0.3,"A",IF(OR($P272&gt;2,$P272&lt;0.5),"C","B"))))</f>
        <v/>
      </c>
    </row>
    <row r="273">
      <c r="B273" s="11">
        <f>IF($A273="","",IFERROR(IF(INDEX(Community_Register!$B$2:$B$402,MATCH($A273,Community_Register!$A$2:$A$402,0))="","",INDEX(Community_Register!$B$2:$B$402,MATCH($A273,Community_Register!$A$2:$A$402,0))),""))</f>
        <v/>
      </c>
      <c r="H273" s="11">
        <f>IF($C273="","",IF($C273&lt;1,"yes","no"))</f>
        <v/>
      </c>
      <c r="I273" s="11">
        <f>IF($C273="","",IF($C273&lt;2.6,"r75",IF($C273&lt;5.2,"r110",IF($C273&lt;9.9,"r150",IF($C273&lt;19.8,"r210","r300")))))</f>
        <v/>
      </c>
      <c r="J273" s="11">
        <f>IF($C273="","",ROUND(SQRT($C273*10000/PI()),1))</f>
        <v/>
      </c>
      <c r="N273" s="11">
        <f>IF($A273="","",IFERROR(IF(INDEX(Community_Register!$S$2:$S$402,MATCH($A273,Community_Register!$A$2:$A$402,0))="","",INDEX(Community_Register!$S$2:$S$402,MATCH($A273,Community_Register!$A$2:$A$402,0))),""))</f>
        <v/>
      </c>
      <c r="O273" s="11">
        <f>IF($A273="","",IFERROR(IF(INDEX(Community_Register!$V$2:$V$402,MATCH($A273,Community_Register!$A$2:$A$402,0))="","",INDEX(Community_Register!$V$2:$V$402,MATCH($A273,Community_Register!$A$2:$A$402,0))),""))</f>
        <v/>
      </c>
      <c r="P273" s="11">
        <f>IF(OR($C273="",$N273="",NOT(ISNUMBER($N273))),"",$N273/$C273)</f>
        <v/>
      </c>
      <c r="Q273" s="11">
        <f>IF($C273="","",IF(OR($N273="",NOT(ISNUMBER($N273))),"B",IF(ABS($P273-1)&lt;=0.3,"A",IF(OR($P273&gt;2,$P273&lt;0.5),"C","B"))))</f>
        <v/>
      </c>
    </row>
    <row r="274">
      <c r="B274" s="11">
        <f>IF($A274="","",IFERROR(IF(INDEX(Community_Register!$B$2:$B$402,MATCH($A274,Community_Register!$A$2:$A$402,0))="","",INDEX(Community_Register!$B$2:$B$402,MATCH($A274,Community_Register!$A$2:$A$402,0))),""))</f>
        <v/>
      </c>
      <c r="H274" s="11">
        <f>IF($C274="","",IF($C274&lt;1,"yes","no"))</f>
        <v/>
      </c>
      <c r="I274" s="11">
        <f>IF($C274="","",IF($C274&lt;2.6,"r75",IF($C274&lt;5.2,"r110",IF($C274&lt;9.9,"r150",IF($C274&lt;19.8,"r210","r300")))))</f>
        <v/>
      </c>
      <c r="J274" s="11">
        <f>IF($C274="","",ROUND(SQRT($C274*10000/PI()),1))</f>
        <v/>
      </c>
      <c r="N274" s="11">
        <f>IF($A274="","",IFERROR(IF(INDEX(Community_Register!$S$2:$S$402,MATCH($A274,Community_Register!$A$2:$A$402,0))="","",INDEX(Community_Register!$S$2:$S$402,MATCH($A274,Community_Register!$A$2:$A$402,0))),""))</f>
        <v/>
      </c>
      <c r="O274" s="11">
        <f>IF($A274="","",IFERROR(IF(INDEX(Community_Register!$V$2:$V$402,MATCH($A274,Community_Register!$A$2:$A$402,0))="","",INDEX(Community_Register!$V$2:$V$402,MATCH($A274,Community_Register!$A$2:$A$402,0))),""))</f>
        <v/>
      </c>
      <c r="P274" s="11">
        <f>IF(OR($C274="",$N274="",NOT(ISNUMBER($N274))),"",$N274/$C274)</f>
        <v/>
      </c>
      <c r="Q274" s="11">
        <f>IF($C274="","",IF(OR($N274="",NOT(ISNUMBER($N274))),"B",IF(ABS($P274-1)&lt;=0.3,"A",IF(OR($P274&gt;2,$P274&lt;0.5),"C","B"))))</f>
        <v/>
      </c>
    </row>
    <row r="275">
      <c r="B275" s="11">
        <f>IF($A275="","",IFERROR(IF(INDEX(Community_Register!$B$2:$B$402,MATCH($A275,Community_Register!$A$2:$A$402,0))="","",INDEX(Community_Register!$B$2:$B$402,MATCH($A275,Community_Register!$A$2:$A$402,0))),""))</f>
        <v/>
      </c>
      <c r="H275" s="11">
        <f>IF($C275="","",IF($C275&lt;1,"yes","no"))</f>
        <v/>
      </c>
      <c r="I275" s="11">
        <f>IF($C275="","",IF($C275&lt;2.6,"r75",IF($C275&lt;5.2,"r110",IF($C275&lt;9.9,"r150",IF($C275&lt;19.8,"r210","r300")))))</f>
        <v/>
      </c>
      <c r="J275" s="11">
        <f>IF($C275="","",ROUND(SQRT($C275*10000/PI()),1))</f>
        <v/>
      </c>
      <c r="N275" s="11">
        <f>IF($A275="","",IFERROR(IF(INDEX(Community_Register!$S$2:$S$402,MATCH($A275,Community_Register!$A$2:$A$402,0))="","",INDEX(Community_Register!$S$2:$S$402,MATCH($A275,Community_Register!$A$2:$A$402,0))),""))</f>
        <v/>
      </c>
      <c r="O275" s="11">
        <f>IF($A275="","",IFERROR(IF(INDEX(Community_Register!$V$2:$V$402,MATCH($A275,Community_Register!$A$2:$A$402,0))="","",INDEX(Community_Register!$V$2:$V$402,MATCH($A275,Community_Register!$A$2:$A$402,0))),""))</f>
        <v/>
      </c>
      <c r="P275" s="11">
        <f>IF(OR($C275="",$N275="",NOT(ISNUMBER($N275))),"",$N275/$C275)</f>
        <v/>
      </c>
      <c r="Q275" s="11">
        <f>IF($C275="","",IF(OR($N275="",NOT(ISNUMBER($N275))),"B",IF(ABS($P275-1)&lt;=0.3,"A",IF(OR($P275&gt;2,$P275&lt;0.5),"C","B"))))</f>
        <v/>
      </c>
    </row>
    <row r="276">
      <c r="B276" s="11">
        <f>IF($A276="","",IFERROR(IF(INDEX(Community_Register!$B$2:$B$402,MATCH($A276,Community_Register!$A$2:$A$402,0))="","",INDEX(Community_Register!$B$2:$B$402,MATCH($A276,Community_Register!$A$2:$A$402,0))),""))</f>
        <v/>
      </c>
      <c r="H276" s="11">
        <f>IF($C276="","",IF($C276&lt;1,"yes","no"))</f>
        <v/>
      </c>
      <c r="I276" s="11">
        <f>IF($C276="","",IF($C276&lt;2.6,"r75",IF($C276&lt;5.2,"r110",IF($C276&lt;9.9,"r150",IF($C276&lt;19.8,"r210","r300")))))</f>
        <v/>
      </c>
      <c r="J276" s="11">
        <f>IF($C276="","",ROUND(SQRT($C276*10000/PI()),1))</f>
        <v/>
      </c>
      <c r="N276" s="11">
        <f>IF($A276="","",IFERROR(IF(INDEX(Community_Register!$S$2:$S$402,MATCH($A276,Community_Register!$A$2:$A$402,0))="","",INDEX(Community_Register!$S$2:$S$402,MATCH($A276,Community_Register!$A$2:$A$402,0))),""))</f>
        <v/>
      </c>
      <c r="O276" s="11">
        <f>IF($A276="","",IFERROR(IF(INDEX(Community_Register!$V$2:$V$402,MATCH($A276,Community_Register!$A$2:$A$402,0))="","",INDEX(Community_Register!$V$2:$V$402,MATCH($A276,Community_Register!$A$2:$A$402,0))),""))</f>
        <v/>
      </c>
      <c r="P276" s="11">
        <f>IF(OR($C276="",$N276="",NOT(ISNUMBER($N276))),"",$N276/$C276)</f>
        <v/>
      </c>
      <c r="Q276" s="11">
        <f>IF($C276="","",IF(OR($N276="",NOT(ISNUMBER($N276))),"B",IF(ABS($P276-1)&lt;=0.3,"A",IF(OR($P276&gt;2,$P276&lt;0.5),"C","B"))))</f>
        <v/>
      </c>
    </row>
    <row r="277">
      <c r="B277" s="11">
        <f>IF($A277="","",IFERROR(IF(INDEX(Community_Register!$B$2:$B$402,MATCH($A277,Community_Register!$A$2:$A$402,0))="","",INDEX(Community_Register!$B$2:$B$402,MATCH($A277,Community_Register!$A$2:$A$402,0))),""))</f>
        <v/>
      </c>
      <c r="H277" s="11">
        <f>IF($C277="","",IF($C277&lt;1,"yes","no"))</f>
        <v/>
      </c>
      <c r="I277" s="11">
        <f>IF($C277="","",IF($C277&lt;2.6,"r75",IF($C277&lt;5.2,"r110",IF($C277&lt;9.9,"r150",IF($C277&lt;19.8,"r210","r300")))))</f>
        <v/>
      </c>
      <c r="J277" s="11">
        <f>IF($C277="","",ROUND(SQRT($C277*10000/PI()),1))</f>
        <v/>
      </c>
      <c r="N277" s="11">
        <f>IF($A277="","",IFERROR(IF(INDEX(Community_Register!$S$2:$S$402,MATCH($A277,Community_Register!$A$2:$A$402,0))="","",INDEX(Community_Register!$S$2:$S$402,MATCH($A277,Community_Register!$A$2:$A$402,0))),""))</f>
        <v/>
      </c>
      <c r="O277" s="11">
        <f>IF($A277="","",IFERROR(IF(INDEX(Community_Register!$V$2:$V$402,MATCH($A277,Community_Register!$A$2:$A$402,0))="","",INDEX(Community_Register!$V$2:$V$402,MATCH($A277,Community_Register!$A$2:$A$402,0))),""))</f>
        <v/>
      </c>
      <c r="P277" s="11">
        <f>IF(OR($C277="",$N277="",NOT(ISNUMBER($N277))),"",$N277/$C277)</f>
        <v/>
      </c>
      <c r="Q277" s="11">
        <f>IF($C277="","",IF(OR($N277="",NOT(ISNUMBER($N277))),"B",IF(ABS($P277-1)&lt;=0.3,"A",IF(OR($P277&gt;2,$P277&lt;0.5),"C","B"))))</f>
        <v/>
      </c>
    </row>
    <row r="278">
      <c r="B278" s="11">
        <f>IF($A278="","",IFERROR(IF(INDEX(Community_Register!$B$2:$B$402,MATCH($A278,Community_Register!$A$2:$A$402,0))="","",INDEX(Community_Register!$B$2:$B$402,MATCH($A278,Community_Register!$A$2:$A$402,0))),""))</f>
        <v/>
      </c>
      <c r="H278" s="11">
        <f>IF($C278="","",IF($C278&lt;1,"yes","no"))</f>
        <v/>
      </c>
      <c r="I278" s="11">
        <f>IF($C278="","",IF($C278&lt;2.6,"r75",IF($C278&lt;5.2,"r110",IF($C278&lt;9.9,"r150",IF($C278&lt;19.8,"r210","r300")))))</f>
        <v/>
      </c>
      <c r="J278" s="11">
        <f>IF($C278="","",ROUND(SQRT($C278*10000/PI()),1))</f>
        <v/>
      </c>
      <c r="N278" s="11">
        <f>IF($A278="","",IFERROR(IF(INDEX(Community_Register!$S$2:$S$402,MATCH($A278,Community_Register!$A$2:$A$402,0))="","",INDEX(Community_Register!$S$2:$S$402,MATCH($A278,Community_Register!$A$2:$A$402,0))),""))</f>
        <v/>
      </c>
      <c r="O278" s="11">
        <f>IF($A278="","",IFERROR(IF(INDEX(Community_Register!$V$2:$V$402,MATCH($A278,Community_Register!$A$2:$A$402,0))="","",INDEX(Community_Register!$V$2:$V$402,MATCH($A278,Community_Register!$A$2:$A$402,0))),""))</f>
        <v/>
      </c>
      <c r="P278" s="11">
        <f>IF(OR($C278="",$N278="",NOT(ISNUMBER($N278))),"",$N278/$C278)</f>
        <v/>
      </c>
      <c r="Q278" s="11">
        <f>IF($C278="","",IF(OR($N278="",NOT(ISNUMBER($N278))),"B",IF(ABS($P278-1)&lt;=0.3,"A",IF(OR($P278&gt;2,$P278&lt;0.5),"C","B"))))</f>
        <v/>
      </c>
    </row>
    <row r="279">
      <c r="B279" s="11">
        <f>IF($A279="","",IFERROR(IF(INDEX(Community_Register!$B$2:$B$402,MATCH($A279,Community_Register!$A$2:$A$402,0))="","",INDEX(Community_Register!$B$2:$B$402,MATCH($A279,Community_Register!$A$2:$A$402,0))),""))</f>
        <v/>
      </c>
      <c r="H279" s="11">
        <f>IF($C279="","",IF($C279&lt;1,"yes","no"))</f>
        <v/>
      </c>
      <c r="I279" s="11">
        <f>IF($C279="","",IF($C279&lt;2.6,"r75",IF($C279&lt;5.2,"r110",IF($C279&lt;9.9,"r150",IF($C279&lt;19.8,"r210","r300")))))</f>
        <v/>
      </c>
      <c r="J279" s="11">
        <f>IF($C279="","",ROUND(SQRT($C279*10000/PI()),1))</f>
        <v/>
      </c>
      <c r="N279" s="11">
        <f>IF($A279="","",IFERROR(IF(INDEX(Community_Register!$S$2:$S$402,MATCH($A279,Community_Register!$A$2:$A$402,0))="","",INDEX(Community_Register!$S$2:$S$402,MATCH($A279,Community_Register!$A$2:$A$402,0))),""))</f>
        <v/>
      </c>
      <c r="O279" s="11">
        <f>IF($A279="","",IFERROR(IF(INDEX(Community_Register!$V$2:$V$402,MATCH($A279,Community_Register!$A$2:$A$402,0))="","",INDEX(Community_Register!$V$2:$V$402,MATCH($A279,Community_Register!$A$2:$A$402,0))),""))</f>
        <v/>
      </c>
      <c r="P279" s="11">
        <f>IF(OR($C279="",$N279="",NOT(ISNUMBER($N279))),"",$N279/$C279)</f>
        <v/>
      </c>
      <c r="Q279" s="11">
        <f>IF($C279="","",IF(OR($N279="",NOT(ISNUMBER($N279))),"B",IF(ABS($P279-1)&lt;=0.3,"A",IF(OR($P279&gt;2,$P279&lt;0.5),"C","B"))))</f>
        <v/>
      </c>
    </row>
    <row r="280">
      <c r="B280" s="11">
        <f>IF($A280="","",IFERROR(IF(INDEX(Community_Register!$B$2:$B$402,MATCH($A280,Community_Register!$A$2:$A$402,0))="","",INDEX(Community_Register!$B$2:$B$402,MATCH($A280,Community_Register!$A$2:$A$402,0))),""))</f>
        <v/>
      </c>
      <c r="H280" s="11">
        <f>IF($C280="","",IF($C280&lt;1,"yes","no"))</f>
        <v/>
      </c>
      <c r="I280" s="11">
        <f>IF($C280="","",IF($C280&lt;2.6,"r75",IF($C280&lt;5.2,"r110",IF($C280&lt;9.9,"r150",IF($C280&lt;19.8,"r210","r300")))))</f>
        <v/>
      </c>
      <c r="J280" s="11">
        <f>IF($C280="","",ROUND(SQRT($C280*10000/PI()),1))</f>
        <v/>
      </c>
      <c r="N280" s="11">
        <f>IF($A280="","",IFERROR(IF(INDEX(Community_Register!$S$2:$S$402,MATCH($A280,Community_Register!$A$2:$A$402,0))="","",INDEX(Community_Register!$S$2:$S$402,MATCH($A280,Community_Register!$A$2:$A$402,0))),""))</f>
        <v/>
      </c>
      <c r="O280" s="11">
        <f>IF($A280="","",IFERROR(IF(INDEX(Community_Register!$V$2:$V$402,MATCH($A280,Community_Register!$A$2:$A$402,0))="","",INDEX(Community_Register!$V$2:$V$402,MATCH($A280,Community_Register!$A$2:$A$402,0))),""))</f>
        <v/>
      </c>
      <c r="P280" s="11">
        <f>IF(OR($C280="",$N280="",NOT(ISNUMBER($N280))),"",$N280/$C280)</f>
        <v/>
      </c>
      <c r="Q280" s="11">
        <f>IF($C280="","",IF(OR($N280="",NOT(ISNUMBER($N280))),"B",IF(ABS($P280-1)&lt;=0.3,"A",IF(OR($P280&gt;2,$P280&lt;0.5),"C","B"))))</f>
        <v/>
      </c>
    </row>
    <row r="281">
      <c r="B281" s="11">
        <f>IF($A281="","",IFERROR(IF(INDEX(Community_Register!$B$2:$B$402,MATCH($A281,Community_Register!$A$2:$A$402,0))="","",INDEX(Community_Register!$B$2:$B$402,MATCH($A281,Community_Register!$A$2:$A$402,0))),""))</f>
        <v/>
      </c>
      <c r="H281" s="11">
        <f>IF($C281="","",IF($C281&lt;1,"yes","no"))</f>
        <v/>
      </c>
      <c r="I281" s="11">
        <f>IF($C281="","",IF($C281&lt;2.6,"r75",IF($C281&lt;5.2,"r110",IF($C281&lt;9.9,"r150",IF($C281&lt;19.8,"r210","r300")))))</f>
        <v/>
      </c>
      <c r="J281" s="11">
        <f>IF($C281="","",ROUND(SQRT($C281*10000/PI()),1))</f>
        <v/>
      </c>
      <c r="N281" s="11">
        <f>IF($A281="","",IFERROR(IF(INDEX(Community_Register!$S$2:$S$402,MATCH($A281,Community_Register!$A$2:$A$402,0))="","",INDEX(Community_Register!$S$2:$S$402,MATCH($A281,Community_Register!$A$2:$A$402,0))),""))</f>
        <v/>
      </c>
      <c r="O281" s="11">
        <f>IF($A281="","",IFERROR(IF(INDEX(Community_Register!$V$2:$V$402,MATCH($A281,Community_Register!$A$2:$A$402,0))="","",INDEX(Community_Register!$V$2:$V$402,MATCH($A281,Community_Register!$A$2:$A$402,0))),""))</f>
        <v/>
      </c>
      <c r="P281" s="11">
        <f>IF(OR($C281="",$N281="",NOT(ISNUMBER($N281))),"",$N281/$C281)</f>
        <v/>
      </c>
      <c r="Q281" s="11">
        <f>IF($C281="","",IF(OR($N281="",NOT(ISNUMBER($N281))),"B",IF(ABS($P281-1)&lt;=0.3,"A",IF(OR($P281&gt;2,$P281&lt;0.5),"C","B"))))</f>
        <v/>
      </c>
    </row>
    <row r="282">
      <c r="B282" s="11">
        <f>IF($A282="","",IFERROR(IF(INDEX(Community_Register!$B$2:$B$402,MATCH($A282,Community_Register!$A$2:$A$402,0))="","",INDEX(Community_Register!$B$2:$B$402,MATCH($A282,Community_Register!$A$2:$A$402,0))),""))</f>
        <v/>
      </c>
      <c r="H282" s="11">
        <f>IF($C282="","",IF($C282&lt;1,"yes","no"))</f>
        <v/>
      </c>
      <c r="I282" s="11">
        <f>IF($C282="","",IF($C282&lt;2.6,"r75",IF($C282&lt;5.2,"r110",IF($C282&lt;9.9,"r150",IF($C282&lt;19.8,"r210","r300")))))</f>
        <v/>
      </c>
      <c r="J282" s="11">
        <f>IF($C282="","",ROUND(SQRT($C282*10000/PI()),1))</f>
        <v/>
      </c>
      <c r="N282" s="11">
        <f>IF($A282="","",IFERROR(IF(INDEX(Community_Register!$S$2:$S$402,MATCH($A282,Community_Register!$A$2:$A$402,0))="","",INDEX(Community_Register!$S$2:$S$402,MATCH($A282,Community_Register!$A$2:$A$402,0))),""))</f>
        <v/>
      </c>
      <c r="O282" s="11">
        <f>IF($A282="","",IFERROR(IF(INDEX(Community_Register!$V$2:$V$402,MATCH($A282,Community_Register!$A$2:$A$402,0))="","",INDEX(Community_Register!$V$2:$V$402,MATCH($A282,Community_Register!$A$2:$A$402,0))),""))</f>
        <v/>
      </c>
      <c r="P282" s="11">
        <f>IF(OR($C282="",$N282="",NOT(ISNUMBER($N282))),"",$N282/$C282)</f>
        <v/>
      </c>
      <c r="Q282" s="11">
        <f>IF($C282="","",IF(OR($N282="",NOT(ISNUMBER($N282))),"B",IF(ABS($P282-1)&lt;=0.3,"A",IF(OR($P282&gt;2,$P282&lt;0.5),"C","B"))))</f>
        <v/>
      </c>
    </row>
    <row r="283">
      <c r="B283" s="11">
        <f>IF($A283="","",IFERROR(IF(INDEX(Community_Register!$B$2:$B$402,MATCH($A283,Community_Register!$A$2:$A$402,0))="","",INDEX(Community_Register!$B$2:$B$402,MATCH($A283,Community_Register!$A$2:$A$402,0))),""))</f>
        <v/>
      </c>
      <c r="H283" s="11">
        <f>IF($C283="","",IF($C283&lt;1,"yes","no"))</f>
        <v/>
      </c>
      <c r="I283" s="11">
        <f>IF($C283="","",IF($C283&lt;2.6,"r75",IF($C283&lt;5.2,"r110",IF($C283&lt;9.9,"r150",IF($C283&lt;19.8,"r210","r300")))))</f>
        <v/>
      </c>
      <c r="J283" s="11">
        <f>IF($C283="","",ROUND(SQRT($C283*10000/PI()),1))</f>
        <v/>
      </c>
      <c r="N283" s="11">
        <f>IF($A283="","",IFERROR(IF(INDEX(Community_Register!$S$2:$S$402,MATCH($A283,Community_Register!$A$2:$A$402,0))="","",INDEX(Community_Register!$S$2:$S$402,MATCH($A283,Community_Register!$A$2:$A$402,0))),""))</f>
        <v/>
      </c>
      <c r="O283" s="11">
        <f>IF($A283="","",IFERROR(IF(INDEX(Community_Register!$V$2:$V$402,MATCH($A283,Community_Register!$A$2:$A$402,0))="","",INDEX(Community_Register!$V$2:$V$402,MATCH($A283,Community_Register!$A$2:$A$402,0))),""))</f>
        <v/>
      </c>
      <c r="P283" s="11">
        <f>IF(OR($C283="",$N283="",NOT(ISNUMBER($N283))),"",$N283/$C283)</f>
        <v/>
      </c>
      <c r="Q283" s="11">
        <f>IF($C283="","",IF(OR($N283="",NOT(ISNUMBER($N283))),"B",IF(ABS($P283-1)&lt;=0.3,"A",IF(OR($P283&gt;2,$P283&lt;0.5),"C","B"))))</f>
        <v/>
      </c>
    </row>
    <row r="284">
      <c r="B284" s="11">
        <f>IF($A284="","",IFERROR(IF(INDEX(Community_Register!$B$2:$B$402,MATCH($A284,Community_Register!$A$2:$A$402,0))="","",INDEX(Community_Register!$B$2:$B$402,MATCH($A284,Community_Register!$A$2:$A$402,0))),""))</f>
        <v/>
      </c>
      <c r="H284" s="11">
        <f>IF($C284="","",IF($C284&lt;1,"yes","no"))</f>
        <v/>
      </c>
      <c r="I284" s="11">
        <f>IF($C284="","",IF($C284&lt;2.6,"r75",IF($C284&lt;5.2,"r110",IF($C284&lt;9.9,"r150",IF($C284&lt;19.8,"r210","r300")))))</f>
        <v/>
      </c>
      <c r="J284" s="11">
        <f>IF($C284="","",ROUND(SQRT($C284*10000/PI()),1))</f>
        <v/>
      </c>
      <c r="N284" s="11">
        <f>IF($A284="","",IFERROR(IF(INDEX(Community_Register!$S$2:$S$402,MATCH($A284,Community_Register!$A$2:$A$402,0))="","",INDEX(Community_Register!$S$2:$S$402,MATCH($A284,Community_Register!$A$2:$A$402,0))),""))</f>
        <v/>
      </c>
      <c r="O284" s="11">
        <f>IF($A284="","",IFERROR(IF(INDEX(Community_Register!$V$2:$V$402,MATCH($A284,Community_Register!$A$2:$A$402,0))="","",INDEX(Community_Register!$V$2:$V$402,MATCH($A284,Community_Register!$A$2:$A$402,0))),""))</f>
        <v/>
      </c>
      <c r="P284" s="11">
        <f>IF(OR($C284="",$N284="",NOT(ISNUMBER($N284))),"",$N284/$C284)</f>
        <v/>
      </c>
      <c r="Q284" s="11">
        <f>IF($C284="","",IF(OR($N284="",NOT(ISNUMBER($N284))),"B",IF(ABS($P284-1)&lt;=0.3,"A",IF(OR($P284&gt;2,$P284&lt;0.5),"C","B"))))</f>
        <v/>
      </c>
    </row>
    <row r="285">
      <c r="B285" s="11">
        <f>IF($A285="","",IFERROR(IF(INDEX(Community_Register!$B$2:$B$402,MATCH($A285,Community_Register!$A$2:$A$402,0))="","",INDEX(Community_Register!$B$2:$B$402,MATCH($A285,Community_Register!$A$2:$A$402,0))),""))</f>
        <v/>
      </c>
      <c r="H285" s="11">
        <f>IF($C285="","",IF($C285&lt;1,"yes","no"))</f>
        <v/>
      </c>
      <c r="I285" s="11">
        <f>IF($C285="","",IF($C285&lt;2.6,"r75",IF($C285&lt;5.2,"r110",IF($C285&lt;9.9,"r150",IF($C285&lt;19.8,"r210","r300")))))</f>
        <v/>
      </c>
      <c r="J285" s="11">
        <f>IF($C285="","",ROUND(SQRT($C285*10000/PI()),1))</f>
        <v/>
      </c>
      <c r="N285" s="11">
        <f>IF($A285="","",IFERROR(IF(INDEX(Community_Register!$S$2:$S$402,MATCH($A285,Community_Register!$A$2:$A$402,0))="","",INDEX(Community_Register!$S$2:$S$402,MATCH($A285,Community_Register!$A$2:$A$402,0))),""))</f>
        <v/>
      </c>
      <c r="O285" s="11">
        <f>IF($A285="","",IFERROR(IF(INDEX(Community_Register!$V$2:$V$402,MATCH($A285,Community_Register!$A$2:$A$402,0))="","",INDEX(Community_Register!$V$2:$V$402,MATCH($A285,Community_Register!$A$2:$A$402,0))),""))</f>
        <v/>
      </c>
      <c r="P285" s="11">
        <f>IF(OR($C285="",$N285="",NOT(ISNUMBER($N285))),"",$N285/$C285)</f>
        <v/>
      </c>
      <c r="Q285" s="11">
        <f>IF($C285="","",IF(OR($N285="",NOT(ISNUMBER($N285))),"B",IF(ABS($P285-1)&lt;=0.3,"A",IF(OR($P285&gt;2,$P285&lt;0.5),"C","B"))))</f>
        <v/>
      </c>
    </row>
    <row r="286">
      <c r="B286" s="11">
        <f>IF($A286="","",IFERROR(IF(INDEX(Community_Register!$B$2:$B$402,MATCH($A286,Community_Register!$A$2:$A$402,0))="","",INDEX(Community_Register!$B$2:$B$402,MATCH($A286,Community_Register!$A$2:$A$402,0))),""))</f>
        <v/>
      </c>
      <c r="H286" s="11">
        <f>IF($C286="","",IF($C286&lt;1,"yes","no"))</f>
        <v/>
      </c>
      <c r="I286" s="11">
        <f>IF($C286="","",IF($C286&lt;2.6,"r75",IF($C286&lt;5.2,"r110",IF($C286&lt;9.9,"r150",IF($C286&lt;19.8,"r210","r300")))))</f>
        <v/>
      </c>
      <c r="J286" s="11">
        <f>IF($C286="","",ROUND(SQRT($C286*10000/PI()),1))</f>
        <v/>
      </c>
      <c r="N286" s="11">
        <f>IF($A286="","",IFERROR(IF(INDEX(Community_Register!$S$2:$S$402,MATCH($A286,Community_Register!$A$2:$A$402,0))="","",INDEX(Community_Register!$S$2:$S$402,MATCH($A286,Community_Register!$A$2:$A$402,0))),""))</f>
        <v/>
      </c>
      <c r="O286" s="11">
        <f>IF($A286="","",IFERROR(IF(INDEX(Community_Register!$V$2:$V$402,MATCH($A286,Community_Register!$A$2:$A$402,0))="","",INDEX(Community_Register!$V$2:$V$402,MATCH($A286,Community_Register!$A$2:$A$402,0))),""))</f>
        <v/>
      </c>
      <c r="P286" s="11">
        <f>IF(OR($C286="",$N286="",NOT(ISNUMBER($N286))),"",$N286/$C286)</f>
        <v/>
      </c>
      <c r="Q286" s="11">
        <f>IF($C286="","",IF(OR($N286="",NOT(ISNUMBER($N286))),"B",IF(ABS($P286-1)&lt;=0.3,"A",IF(OR($P286&gt;2,$P286&lt;0.5),"C","B"))))</f>
        <v/>
      </c>
    </row>
    <row r="287">
      <c r="B287" s="11">
        <f>IF($A287="","",IFERROR(IF(INDEX(Community_Register!$B$2:$B$402,MATCH($A287,Community_Register!$A$2:$A$402,0))="","",INDEX(Community_Register!$B$2:$B$402,MATCH($A287,Community_Register!$A$2:$A$402,0))),""))</f>
        <v/>
      </c>
      <c r="H287" s="11">
        <f>IF($C287="","",IF($C287&lt;1,"yes","no"))</f>
        <v/>
      </c>
      <c r="I287" s="11">
        <f>IF($C287="","",IF($C287&lt;2.6,"r75",IF($C287&lt;5.2,"r110",IF($C287&lt;9.9,"r150",IF($C287&lt;19.8,"r210","r300")))))</f>
        <v/>
      </c>
      <c r="J287" s="11">
        <f>IF($C287="","",ROUND(SQRT($C287*10000/PI()),1))</f>
        <v/>
      </c>
      <c r="N287" s="11">
        <f>IF($A287="","",IFERROR(IF(INDEX(Community_Register!$S$2:$S$402,MATCH($A287,Community_Register!$A$2:$A$402,0))="","",INDEX(Community_Register!$S$2:$S$402,MATCH($A287,Community_Register!$A$2:$A$402,0))),""))</f>
        <v/>
      </c>
      <c r="O287" s="11">
        <f>IF($A287="","",IFERROR(IF(INDEX(Community_Register!$V$2:$V$402,MATCH($A287,Community_Register!$A$2:$A$402,0))="","",INDEX(Community_Register!$V$2:$V$402,MATCH($A287,Community_Register!$A$2:$A$402,0))),""))</f>
        <v/>
      </c>
      <c r="P287" s="11">
        <f>IF(OR($C287="",$N287="",NOT(ISNUMBER($N287))),"",$N287/$C287)</f>
        <v/>
      </c>
      <c r="Q287" s="11">
        <f>IF($C287="","",IF(OR($N287="",NOT(ISNUMBER($N287))),"B",IF(ABS($P287-1)&lt;=0.3,"A",IF(OR($P287&gt;2,$P287&lt;0.5),"C","B"))))</f>
        <v/>
      </c>
    </row>
    <row r="288">
      <c r="B288" s="11">
        <f>IF($A288="","",IFERROR(IF(INDEX(Community_Register!$B$2:$B$402,MATCH($A288,Community_Register!$A$2:$A$402,0))="","",INDEX(Community_Register!$B$2:$B$402,MATCH($A288,Community_Register!$A$2:$A$402,0))),""))</f>
        <v/>
      </c>
      <c r="H288" s="11">
        <f>IF($C288="","",IF($C288&lt;1,"yes","no"))</f>
        <v/>
      </c>
      <c r="I288" s="11">
        <f>IF($C288="","",IF($C288&lt;2.6,"r75",IF($C288&lt;5.2,"r110",IF($C288&lt;9.9,"r150",IF($C288&lt;19.8,"r210","r300")))))</f>
        <v/>
      </c>
      <c r="J288" s="11">
        <f>IF($C288="","",ROUND(SQRT($C288*10000/PI()),1))</f>
        <v/>
      </c>
      <c r="N288" s="11">
        <f>IF($A288="","",IFERROR(IF(INDEX(Community_Register!$S$2:$S$402,MATCH($A288,Community_Register!$A$2:$A$402,0))="","",INDEX(Community_Register!$S$2:$S$402,MATCH($A288,Community_Register!$A$2:$A$402,0))),""))</f>
        <v/>
      </c>
      <c r="O288" s="11">
        <f>IF($A288="","",IFERROR(IF(INDEX(Community_Register!$V$2:$V$402,MATCH($A288,Community_Register!$A$2:$A$402,0))="","",INDEX(Community_Register!$V$2:$V$402,MATCH($A288,Community_Register!$A$2:$A$402,0))),""))</f>
        <v/>
      </c>
      <c r="P288" s="11">
        <f>IF(OR($C288="",$N288="",NOT(ISNUMBER($N288))),"",$N288/$C288)</f>
        <v/>
      </c>
      <c r="Q288" s="11">
        <f>IF($C288="","",IF(OR($N288="",NOT(ISNUMBER($N288))),"B",IF(ABS($P288-1)&lt;=0.3,"A",IF(OR($P288&gt;2,$P288&lt;0.5),"C","B"))))</f>
        <v/>
      </c>
    </row>
    <row r="289">
      <c r="B289" s="11">
        <f>IF($A289="","",IFERROR(IF(INDEX(Community_Register!$B$2:$B$402,MATCH($A289,Community_Register!$A$2:$A$402,0))="","",INDEX(Community_Register!$B$2:$B$402,MATCH($A289,Community_Register!$A$2:$A$402,0))),""))</f>
        <v/>
      </c>
      <c r="H289" s="11">
        <f>IF($C289="","",IF($C289&lt;1,"yes","no"))</f>
        <v/>
      </c>
      <c r="I289" s="11">
        <f>IF($C289="","",IF($C289&lt;2.6,"r75",IF($C289&lt;5.2,"r110",IF($C289&lt;9.9,"r150",IF($C289&lt;19.8,"r210","r300")))))</f>
        <v/>
      </c>
      <c r="J289" s="11">
        <f>IF($C289="","",ROUND(SQRT($C289*10000/PI()),1))</f>
        <v/>
      </c>
      <c r="N289" s="11">
        <f>IF($A289="","",IFERROR(IF(INDEX(Community_Register!$S$2:$S$402,MATCH($A289,Community_Register!$A$2:$A$402,0))="","",INDEX(Community_Register!$S$2:$S$402,MATCH($A289,Community_Register!$A$2:$A$402,0))),""))</f>
        <v/>
      </c>
      <c r="O289" s="11">
        <f>IF($A289="","",IFERROR(IF(INDEX(Community_Register!$V$2:$V$402,MATCH($A289,Community_Register!$A$2:$A$402,0))="","",INDEX(Community_Register!$V$2:$V$402,MATCH($A289,Community_Register!$A$2:$A$402,0))),""))</f>
        <v/>
      </c>
      <c r="P289" s="11">
        <f>IF(OR($C289="",$N289="",NOT(ISNUMBER($N289))),"",$N289/$C289)</f>
        <v/>
      </c>
      <c r="Q289" s="11">
        <f>IF($C289="","",IF(OR($N289="",NOT(ISNUMBER($N289))),"B",IF(ABS($P289-1)&lt;=0.3,"A",IF(OR($P289&gt;2,$P289&lt;0.5),"C","B"))))</f>
        <v/>
      </c>
    </row>
    <row r="290">
      <c r="B290" s="11">
        <f>IF($A290="","",IFERROR(IF(INDEX(Community_Register!$B$2:$B$402,MATCH($A290,Community_Register!$A$2:$A$402,0))="","",INDEX(Community_Register!$B$2:$B$402,MATCH($A290,Community_Register!$A$2:$A$402,0))),""))</f>
        <v/>
      </c>
      <c r="H290" s="11">
        <f>IF($C290="","",IF($C290&lt;1,"yes","no"))</f>
        <v/>
      </c>
      <c r="I290" s="11">
        <f>IF($C290="","",IF($C290&lt;2.6,"r75",IF($C290&lt;5.2,"r110",IF($C290&lt;9.9,"r150",IF($C290&lt;19.8,"r210","r300")))))</f>
        <v/>
      </c>
      <c r="J290" s="11">
        <f>IF($C290="","",ROUND(SQRT($C290*10000/PI()),1))</f>
        <v/>
      </c>
      <c r="N290" s="11">
        <f>IF($A290="","",IFERROR(IF(INDEX(Community_Register!$S$2:$S$402,MATCH($A290,Community_Register!$A$2:$A$402,0))="","",INDEX(Community_Register!$S$2:$S$402,MATCH($A290,Community_Register!$A$2:$A$402,0))),""))</f>
        <v/>
      </c>
      <c r="O290" s="11">
        <f>IF($A290="","",IFERROR(IF(INDEX(Community_Register!$V$2:$V$402,MATCH($A290,Community_Register!$A$2:$A$402,0))="","",INDEX(Community_Register!$V$2:$V$402,MATCH($A290,Community_Register!$A$2:$A$402,0))),""))</f>
        <v/>
      </c>
      <c r="P290" s="11">
        <f>IF(OR($C290="",$N290="",NOT(ISNUMBER($N290))),"",$N290/$C290)</f>
        <v/>
      </c>
      <c r="Q290" s="11">
        <f>IF($C290="","",IF(OR($N290="",NOT(ISNUMBER($N290))),"B",IF(ABS($P290-1)&lt;=0.3,"A",IF(OR($P290&gt;2,$P290&lt;0.5),"C","B"))))</f>
        <v/>
      </c>
    </row>
    <row r="291">
      <c r="B291" s="11">
        <f>IF($A291="","",IFERROR(IF(INDEX(Community_Register!$B$2:$B$402,MATCH($A291,Community_Register!$A$2:$A$402,0))="","",INDEX(Community_Register!$B$2:$B$402,MATCH($A291,Community_Register!$A$2:$A$402,0))),""))</f>
        <v/>
      </c>
      <c r="H291" s="11">
        <f>IF($C291="","",IF($C291&lt;1,"yes","no"))</f>
        <v/>
      </c>
      <c r="I291" s="11">
        <f>IF($C291="","",IF($C291&lt;2.6,"r75",IF($C291&lt;5.2,"r110",IF($C291&lt;9.9,"r150",IF($C291&lt;19.8,"r210","r300")))))</f>
        <v/>
      </c>
      <c r="J291" s="11">
        <f>IF($C291="","",ROUND(SQRT($C291*10000/PI()),1))</f>
        <v/>
      </c>
      <c r="N291" s="11">
        <f>IF($A291="","",IFERROR(IF(INDEX(Community_Register!$S$2:$S$402,MATCH($A291,Community_Register!$A$2:$A$402,0))="","",INDEX(Community_Register!$S$2:$S$402,MATCH($A291,Community_Register!$A$2:$A$402,0))),""))</f>
        <v/>
      </c>
      <c r="O291" s="11">
        <f>IF($A291="","",IFERROR(IF(INDEX(Community_Register!$V$2:$V$402,MATCH($A291,Community_Register!$A$2:$A$402,0))="","",INDEX(Community_Register!$V$2:$V$402,MATCH($A291,Community_Register!$A$2:$A$402,0))),""))</f>
        <v/>
      </c>
      <c r="P291" s="11">
        <f>IF(OR($C291="",$N291="",NOT(ISNUMBER($N291))),"",$N291/$C291)</f>
        <v/>
      </c>
      <c r="Q291" s="11">
        <f>IF($C291="","",IF(OR($N291="",NOT(ISNUMBER($N291))),"B",IF(ABS($P291-1)&lt;=0.3,"A",IF(OR($P291&gt;2,$P291&lt;0.5),"C","B"))))</f>
        <v/>
      </c>
    </row>
    <row r="292">
      <c r="B292" s="11">
        <f>IF($A292="","",IFERROR(IF(INDEX(Community_Register!$B$2:$B$402,MATCH($A292,Community_Register!$A$2:$A$402,0))="","",INDEX(Community_Register!$B$2:$B$402,MATCH($A292,Community_Register!$A$2:$A$402,0))),""))</f>
        <v/>
      </c>
      <c r="H292" s="11">
        <f>IF($C292="","",IF($C292&lt;1,"yes","no"))</f>
        <v/>
      </c>
      <c r="I292" s="11">
        <f>IF($C292="","",IF($C292&lt;2.6,"r75",IF($C292&lt;5.2,"r110",IF($C292&lt;9.9,"r150",IF($C292&lt;19.8,"r210","r300")))))</f>
        <v/>
      </c>
      <c r="J292" s="11">
        <f>IF($C292="","",ROUND(SQRT($C292*10000/PI()),1))</f>
        <v/>
      </c>
      <c r="N292" s="11">
        <f>IF($A292="","",IFERROR(IF(INDEX(Community_Register!$S$2:$S$402,MATCH($A292,Community_Register!$A$2:$A$402,0))="","",INDEX(Community_Register!$S$2:$S$402,MATCH($A292,Community_Register!$A$2:$A$402,0))),""))</f>
        <v/>
      </c>
      <c r="O292" s="11">
        <f>IF($A292="","",IFERROR(IF(INDEX(Community_Register!$V$2:$V$402,MATCH($A292,Community_Register!$A$2:$A$402,0))="","",INDEX(Community_Register!$V$2:$V$402,MATCH($A292,Community_Register!$A$2:$A$402,0))),""))</f>
        <v/>
      </c>
      <c r="P292" s="11">
        <f>IF(OR($C292="",$N292="",NOT(ISNUMBER($N292))),"",$N292/$C292)</f>
        <v/>
      </c>
      <c r="Q292" s="11">
        <f>IF($C292="","",IF(OR($N292="",NOT(ISNUMBER($N292))),"B",IF(ABS($P292-1)&lt;=0.3,"A",IF(OR($P292&gt;2,$P292&lt;0.5),"C","B"))))</f>
        <v/>
      </c>
    </row>
    <row r="293">
      <c r="B293" s="11">
        <f>IF($A293="","",IFERROR(IF(INDEX(Community_Register!$B$2:$B$402,MATCH($A293,Community_Register!$A$2:$A$402,0))="","",INDEX(Community_Register!$B$2:$B$402,MATCH($A293,Community_Register!$A$2:$A$402,0))),""))</f>
        <v/>
      </c>
      <c r="H293" s="11">
        <f>IF($C293="","",IF($C293&lt;1,"yes","no"))</f>
        <v/>
      </c>
      <c r="I293" s="11">
        <f>IF($C293="","",IF($C293&lt;2.6,"r75",IF($C293&lt;5.2,"r110",IF($C293&lt;9.9,"r150",IF($C293&lt;19.8,"r210","r300")))))</f>
        <v/>
      </c>
      <c r="J293" s="11">
        <f>IF($C293="","",ROUND(SQRT($C293*10000/PI()),1))</f>
        <v/>
      </c>
      <c r="N293" s="11">
        <f>IF($A293="","",IFERROR(IF(INDEX(Community_Register!$S$2:$S$402,MATCH($A293,Community_Register!$A$2:$A$402,0))="","",INDEX(Community_Register!$S$2:$S$402,MATCH($A293,Community_Register!$A$2:$A$402,0))),""))</f>
        <v/>
      </c>
      <c r="O293" s="11">
        <f>IF($A293="","",IFERROR(IF(INDEX(Community_Register!$V$2:$V$402,MATCH($A293,Community_Register!$A$2:$A$402,0))="","",INDEX(Community_Register!$V$2:$V$402,MATCH($A293,Community_Register!$A$2:$A$402,0))),""))</f>
        <v/>
      </c>
      <c r="P293" s="11">
        <f>IF(OR($C293="",$N293="",NOT(ISNUMBER($N293))),"",$N293/$C293)</f>
        <v/>
      </c>
      <c r="Q293" s="11">
        <f>IF($C293="","",IF(OR($N293="",NOT(ISNUMBER($N293))),"B",IF(ABS($P293-1)&lt;=0.3,"A",IF(OR($P293&gt;2,$P293&lt;0.5),"C","B"))))</f>
        <v/>
      </c>
    </row>
    <row r="294">
      <c r="B294" s="11">
        <f>IF($A294="","",IFERROR(IF(INDEX(Community_Register!$B$2:$B$402,MATCH($A294,Community_Register!$A$2:$A$402,0))="","",INDEX(Community_Register!$B$2:$B$402,MATCH($A294,Community_Register!$A$2:$A$402,0))),""))</f>
        <v/>
      </c>
      <c r="H294" s="11">
        <f>IF($C294="","",IF($C294&lt;1,"yes","no"))</f>
        <v/>
      </c>
      <c r="I294" s="11">
        <f>IF($C294="","",IF($C294&lt;2.6,"r75",IF($C294&lt;5.2,"r110",IF($C294&lt;9.9,"r150",IF($C294&lt;19.8,"r210","r300")))))</f>
        <v/>
      </c>
      <c r="J294" s="11">
        <f>IF($C294="","",ROUND(SQRT($C294*10000/PI()),1))</f>
        <v/>
      </c>
      <c r="N294" s="11">
        <f>IF($A294="","",IFERROR(IF(INDEX(Community_Register!$S$2:$S$402,MATCH($A294,Community_Register!$A$2:$A$402,0))="","",INDEX(Community_Register!$S$2:$S$402,MATCH($A294,Community_Register!$A$2:$A$402,0))),""))</f>
        <v/>
      </c>
      <c r="O294" s="11">
        <f>IF($A294="","",IFERROR(IF(INDEX(Community_Register!$V$2:$V$402,MATCH($A294,Community_Register!$A$2:$A$402,0))="","",INDEX(Community_Register!$V$2:$V$402,MATCH($A294,Community_Register!$A$2:$A$402,0))),""))</f>
        <v/>
      </c>
      <c r="P294" s="11">
        <f>IF(OR($C294="",$N294="",NOT(ISNUMBER($N294))),"",$N294/$C294)</f>
        <v/>
      </c>
      <c r="Q294" s="11">
        <f>IF($C294="","",IF(OR($N294="",NOT(ISNUMBER($N294))),"B",IF(ABS($P294-1)&lt;=0.3,"A",IF(OR($P294&gt;2,$P294&lt;0.5),"C","B"))))</f>
        <v/>
      </c>
    </row>
    <row r="295">
      <c r="B295" s="11">
        <f>IF($A295="","",IFERROR(IF(INDEX(Community_Register!$B$2:$B$402,MATCH($A295,Community_Register!$A$2:$A$402,0))="","",INDEX(Community_Register!$B$2:$B$402,MATCH($A295,Community_Register!$A$2:$A$402,0))),""))</f>
        <v/>
      </c>
      <c r="H295" s="11">
        <f>IF($C295="","",IF($C295&lt;1,"yes","no"))</f>
        <v/>
      </c>
      <c r="I295" s="11">
        <f>IF($C295="","",IF($C295&lt;2.6,"r75",IF($C295&lt;5.2,"r110",IF($C295&lt;9.9,"r150",IF($C295&lt;19.8,"r210","r300")))))</f>
        <v/>
      </c>
      <c r="J295" s="11">
        <f>IF($C295="","",ROUND(SQRT($C295*10000/PI()),1))</f>
        <v/>
      </c>
      <c r="N295" s="11">
        <f>IF($A295="","",IFERROR(IF(INDEX(Community_Register!$S$2:$S$402,MATCH($A295,Community_Register!$A$2:$A$402,0))="","",INDEX(Community_Register!$S$2:$S$402,MATCH($A295,Community_Register!$A$2:$A$402,0))),""))</f>
        <v/>
      </c>
      <c r="O295" s="11">
        <f>IF($A295="","",IFERROR(IF(INDEX(Community_Register!$V$2:$V$402,MATCH($A295,Community_Register!$A$2:$A$402,0))="","",INDEX(Community_Register!$V$2:$V$402,MATCH($A295,Community_Register!$A$2:$A$402,0))),""))</f>
        <v/>
      </c>
      <c r="P295" s="11">
        <f>IF(OR($C295="",$N295="",NOT(ISNUMBER($N295))),"",$N295/$C295)</f>
        <v/>
      </c>
      <c r="Q295" s="11">
        <f>IF($C295="","",IF(OR($N295="",NOT(ISNUMBER($N295))),"B",IF(ABS($P295-1)&lt;=0.3,"A",IF(OR($P295&gt;2,$P295&lt;0.5),"C","B"))))</f>
        <v/>
      </c>
    </row>
    <row r="296">
      <c r="B296" s="11">
        <f>IF($A296="","",IFERROR(IF(INDEX(Community_Register!$B$2:$B$402,MATCH($A296,Community_Register!$A$2:$A$402,0))="","",INDEX(Community_Register!$B$2:$B$402,MATCH($A296,Community_Register!$A$2:$A$402,0))),""))</f>
        <v/>
      </c>
      <c r="H296" s="11">
        <f>IF($C296="","",IF($C296&lt;1,"yes","no"))</f>
        <v/>
      </c>
      <c r="I296" s="11">
        <f>IF($C296="","",IF($C296&lt;2.6,"r75",IF($C296&lt;5.2,"r110",IF($C296&lt;9.9,"r150",IF($C296&lt;19.8,"r210","r300")))))</f>
        <v/>
      </c>
      <c r="J296" s="11">
        <f>IF($C296="","",ROUND(SQRT($C296*10000/PI()),1))</f>
        <v/>
      </c>
      <c r="N296" s="11">
        <f>IF($A296="","",IFERROR(IF(INDEX(Community_Register!$S$2:$S$402,MATCH($A296,Community_Register!$A$2:$A$402,0))="","",INDEX(Community_Register!$S$2:$S$402,MATCH($A296,Community_Register!$A$2:$A$402,0))),""))</f>
        <v/>
      </c>
      <c r="O296" s="11">
        <f>IF($A296="","",IFERROR(IF(INDEX(Community_Register!$V$2:$V$402,MATCH($A296,Community_Register!$A$2:$A$402,0))="","",INDEX(Community_Register!$V$2:$V$402,MATCH($A296,Community_Register!$A$2:$A$402,0))),""))</f>
        <v/>
      </c>
      <c r="P296" s="11">
        <f>IF(OR($C296="",$N296="",NOT(ISNUMBER($N296))),"",$N296/$C296)</f>
        <v/>
      </c>
      <c r="Q296" s="11">
        <f>IF($C296="","",IF(OR($N296="",NOT(ISNUMBER($N296))),"B",IF(ABS($P296-1)&lt;=0.3,"A",IF(OR($P296&gt;2,$P296&lt;0.5),"C","B"))))</f>
        <v/>
      </c>
    </row>
    <row r="297">
      <c r="B297" s="11">
        <f>IF($A297="","",IFERROR(IF(INDEX(Community_Register!$B$2:$B$402,MATCH($A297,Community_Register!$A$2:$A$402,0))="","",INDEX(Community_Register!$B$2:$B$402,MATCH($A297,Community_Register!$A$2:$A$402,0))),""))</f>
        <v/>
      </c>
      <c r="H297" s="11">
        <f>IF($C297="","",IF($C297&lt;1,"yes","no"))</f>
        <v/>
      </c>
      <c r="I297" s="11">
        <f>IF($C297="","",IF($C297&lt;2.6,"r75",IF($C297&lt;5.2,"r110",IF($C297&lt;9.9,"r150",IF($C297&lt;19.8,"r210","r300")))))</f>
        <v/>
      </c>
      <c r="J297" s="11">
        <f>IF($C297="","",ROUND(SQRT($C297*10000/PI()),1))</f>
        <v/>
      </c>
      <c r="N297" s="11">
        <f>IF($A297="","",IFERROR(IF(INDEX(Community_Register!$S$2:$S$402,MATCH($A297,Community_Register!$A$2:$A$402,0))="","",INDEX(Community_Register!$S$2:$S$402,MATCH($A297,Community_Register!$A$2:$A$402,0))),""))</f>
        <v/>
      </c>
      <c r="O297" s="11">
        <f>IF($A297="","",IFERROR(IF(INDEX(Community_Register!$V$2:$V$402,MATCH($A297,Community_Register!$A$2:$A$402,0))="","",INDEX(Community_Register!$V$2:$V$402,MATCH($A297,Community_Register!$A$2:$A$402,0))),""))</f>
        <v/>
      </c>
      <c r="P297" s="11">
        <f>IF(OR($C297="",$N297="",NOT(ISNUMBER($N297))),"",$N297/$C297)</f>
        <v/>
      </c>
      <c r="Q297" s="11">
        <f>IF($C297="","",IF(OR($N297="",NOT(ISNUMBER($N297))),"B",IF(ABS($P297-1)&lt;=0.3,"A",IF(OR($P297&gt;2,$P297&lt;0.5),"C","B"))))</f>
        <v/>
      </c>
    </row>
    <row r="298">
      <c r="B298" s="11">
        <f>IF($A298="","",IFERROR(IF(INDEX(Community_Register!$B$2:$B$402,MATCH($A298,Community_Register!$A$2:$A$402,0))="","",INDEX(Community_Register!$B$2:$B$402,MATCH($A298,Community_Register!$A$2:$A$402,0))),""))</f>
        <v/>
      </c>
      <c r="H298" s="11">
        <f>IF($C298="","",IF($C298&lt;1,"yes","no"))</f>
        <v/>
      </c>
      <c r="I298" s="11">
        <f>IF($C298="","",IF($C298&lt;2.6,"r75",IF($C298&lt;5.2,"r110",IF($C298&lt;9.9,"r150",IF($C298&lt;19.8,"r210","r300")))))</f>
        <v/>
      </c>
      <c r="J298" s="11">
        <f>IF($C298="","",ROUND(SQRT($C298*10000/PI()),1))</f>
        <v/>
      </c>
      <c r="N298" s="11">
        <f>IF($A298="","",IFERROR(IF(INDEX(Community_Register!$S$2:$S$402,MATCH($A298,Community_Register!$A$2:$A$402,0))="","",INDEX(Community_Register!$S$2:$S$402,MATCH($A298,Community_Register!$A$2:$A$402,0))),""))</f>
        <v/>
      </c>
      <c r="O298" s="11">
        <f>IF($A298="","",IFERROR(IF(INDEX(Community_Register!$V$2:$V$402,MATCH($A298,Community_Register!$A$2:$A$402,0))="","",INDEX(Community_Register!$V$2:$V$402,MATCH($A298,Community_Register!$A$2:$A$402,0))),""))</f>
        <v/>
      </c>
      <c r="P298" s="11">
        <f>IF(OR($C298="",$N298="",NOT(ISNUMBER($N298))),"",$N298/$C298)</f>
        <v/>
      </c>
      <c r="Q298" s="11">
        <f>IF($C298="","",IF(OR($N298="",NOT(ISNUMBER($N298))),"B",IF(ABS($P298-1)&lt;=0.3,"A",IF(OR($P298&gt;2,$P298&lt;0.5),"C","B"))))</f>
        <v/>
      </c>
    </row>
    <row r="299">
      <c r="B299" s="11">
        <f>IF($A299="","",IFERROR(IF(INDEX(Community_Register!$B$2:$B$402,MATCH($A299,Community_Register!$A$2:$A$402,0))="","",INDEX(Community_Register!$B$2:$B$402,MATCH($A299,Community_Register!$A$2:$A$402,0))),""))</f>
        <v/>
      </c>
      <c r="H299" s="11">
        <f>IF($C299="","",IF($C299&lt;1,"yes","no"))</f>
        <v/>
      </c>
      <c r="I299" s="11">
        <f>IF($C299="","",IF($C299&lt;2.6,"r75",IF($C299&lt;5.2,"r110",IF($C299&lt;9.9,"r150",IF($C299&lt;19.8,"r210","r300")))))</f>
        <v/>
      </c>
      <c r="J299" s="11">
        <f>IF($C299="","",ROUND(SQRT($C299*10000/PI()),1))</f>
        <v/>
      </c>
      <c r="N299" s="11">
        <f>IF($A299="","",IFERROR(IF(INDEX(Community_Register!$S$2:$S$402,MATCH($A299,Community_Register!$A$2:$A$402,0))="","",INDEX(Community_Register!$S$2:$S$402,MATCH($A299,Community_Register!$A$2:$A$402,0))),""))</f>
        <v/>
      </c>
      <c r="O299" s="11">
        <f>IF($A299="","",IFERROR(IF(INDEX(Community_Register!$V$2:$V$402,MATCH($A299,Community_Register!$A$2:$A$402,0))="","",INDEX(Community_Register!$V$2:$V$402,MATCH($A299,Community_Register!$A$2:$A$402,0))),""))</f>
        <v/>
      </c>
      <c r="P299" s="11">
        <f>IF(OR($C299="",$N299="",NOT(ISNUMBER($N299))),"",$N299/$C299)</f>
        <v/>
      </c>
      <c r="Q299" s="11">
        <f>IF($C299="","",IF(OR($N299="",NOT(ISNUMBER($N299))),"B",IF(ABS($P299-1)&lt;=0.3,"A",IF(OR($P299&gt;2,$P299&lt;0.5),"C","B"))))</f>
        <v/>
      </c>
    </row>
    <row r="300">
      <c r="B300" s="11">
        <f>IF($A300="","",IFERROR(IF(INDEX(Community_Register!$B$2:$B$402,MATCH($A300,Community_Register!$A$2:$A$402,0))="","",INDEX(Community_Register!$B$2:$B$402,MATCH($A300,Community_Register!$A$2:$A$402,0))),""))</f>
        <v/>
      </c>
      <c r="H300" s="11">
        <f>IF($C300="","",IF($C300&lt;1,"yes","no"))</f>
        <v/>
      </c>
      <c r="I300" s="11">
        <f>IF($C300="","",IF($C300&lt;2.6,"r75",IF($C300&lt;5.2,"r110",IF($C300&lt;9.9,"r150",IF($C300&lt;19.8,"r210","r300")))))</f>
        <v/>
      </c>
      <c r="J300" s="11">
        <f>IF($C300="","",ROUND(SQRT($C300*10000/PI()),1))</f>
        <v/>
      </c>
      <c r="N300" s="11">
        <f>IF($A300="","",IFERROR(IF(INDEX(Community_Register!$S$2:$S$402,MATCH($A300,Community_Register!$A$2:$A$402,0))="","",INDEX(Community_Register!$S$2:$S$402,MATCH($A300,Community_Register!$A$2:$A$402,0))),""))</f>
        <v/>
      </c>
      <c r="O300" s="11">
        <f>IF($A300="","",IFERROR(IF(INDEX(Community_Register!$V$2:$V$402,MATCH($A300,Community_Register!$A$2:$A$402,0))="","",INDEX(Community_Register!$V$2:$V$402,MATCH($A300,Community_Register!$A$2:$A$402,0))),""))</f>
        <v/>
      </c>
      <c r="P300" s="11">
        <f>IF(OR($C300="",$N300="",NOT(ISNUMBER($N300))),"",$N300/$C300)</f>
        <v/>
      </c>
      <c r="Q300" s="11">
        <f>IF($C300="","",IF(OR($N300="",NOT(ISNUMBER($N300))),"B",IF(ABS($P300-1)&lt;=0.3,"A",IF(OR($P300&gt;2,$P300&lt;0.5),"C","B"))))</f>
        <v/>
      </c>
    </row>
    <row r="301">
      <c r="B301" s="11">
        <f>IF($A301="","",IFERROR(IF(INDEX(Community_Register!$B$2:$B$402,MATCH($A301,Community_Register!$A$2:$A$402,0))="","",INDEX(Community_Register!$B$2:$B$402,MATCH($A301,Community_Register!$A$2:$A$402,0))),""))</f>
        <v/>
      </c>
      <c r="H301" s="11">
        <f>IF($C301="","",IF($C301&lt;1,"yes","no"))</f>
        <v/>
      </c>
      <c r="I301" s="11">
        <f>IF($C301="","",IF($C301&lt;2.6,"r75",IF($C301&lt;5.2,"r110",IF($C301&lt;9.9,"r150",IF($C301&lt;19.8,"r210","r300")))))</f>
        <v/>
      </c>
      <c r="J301" s="11">
        <f>IF($C301="","",ROUND(SQRT($C301*10000/PI()),1))</f>
        <v/>
      </c>
      <c r="N301" s="11">
        <f>IF($A301="","",IFERROR(IF(INDEX(Community_Register!$S$2:$S$402,MATCH($A301,Community_Register!$A$2:$A$402,0))="","",INDEX(Community_Register!$S$2:$S$402,MATCH($A301,Community_Register!$A$2:$A$402,0))),""))</f>
        <v/>
      </c>
      <c r="O301" s="11">
        <f>IF($A301="","",IFERROR(IF(INDEX(Community_Register!$V$2:$V$402,MATCH($A301,Community_Register!$A$2:$A$402,0))="","",INDEX(Community_Register!$V$2:$V$402,MATCH($A301,Community_Register!$A$2:$A$402,0))),""))</f>
        <v/>
      </c>
      <c r="P301" s="11">
        <f>IF(OR($C301="",$N301="",NOT(ISNUMBER($N301))),"",$N301/$C301)</f>
        <v/>
      </c>
      <c r="Q301" s="11">
        <f>IF($C301="","",IF(OR($N301="",NOT(ISNUMBER($N301))),"B",IF(ABS($P301-1)&lt;=0.3,"A",IF(OR($P301&gt;2,$P301&lt;0.5),"C","B"))))</f>
        <v/>
      </c>
    </row>
    <row r="302">
      <c r="B302" s="11">
        <f>IF($A302="","",IFERROR(IF(INDEX(Community_Register!$B$2:$B$402,MATCH($A302,Community_Register!$A$2:$A$402,0))="","",INDEX(Community_Register!$B$2:$B$402,MATCH($A302,Community_Register!$A$2:$A$402,0))),""))</f>
        <v/>
      </c>
      <c r="H302" s="11">
        <f>IF($C302="","",IF($C302&lt;1,"yes","no"))</f>
        <v/>
      </c>
      <c r="I302" s="11">
        <f>IF($C302="","",IF($C302&lt;2.6,"r75",IF($C302&lt;5.2,"r110",IF($C302&lt;9.9,"r150",IF($C302&lt;19.8,"r210","r300")))))</f>
        <v/>
      </c>
      <c r="J302" s="11">
        <f>IF($C302="","",ROUND(SQRT($C302*10000/PI()),1))</f>
        <v/>
      </c>
      <c r="N302" s="11">
        <f>IF($A302="","",IFERROR(IF(INDEX(Community_Register!$S$2:$S$402,MATCH($A302,Community_Register!$A$2:$A$402,0))="","",INDEX(Community_Register!$S$2:$S$402,MATCH($A302,Community_Register!$A$2:$A$402,0))),""))</f>
        <v/>
      </c>
      <c r="O302" s="11">
        <f>IF($A302="","",IFERROR(IF(INDEX(Community_Register!$V$2:$V$402,MATCH($A302,Community_Register!$A$2:$A$402,0))="","",INDEX(Community_Register!$V$2:$V$402,MATCH($A302,Community_Register!$A$2:$A$402,0))),""))</f>
        <v/>
      </c>
      <c r="P302" s="11">
        <f>IF(OR($C302="",$N302="",NOT(ISNUMBER($N302))),"",$N302/$C302)</f>
        <v/>
      </c>
      <c r="Q302" s="11">
        <f>IF($C302="","",IF(OR($N302="",NOT(ISNUMBER($N302))),"B",IF(ABS($P302-1)&lt;=0.3,"A",IF(OR($P302&gt;2,$P302&lt;0.5),"C","B"))))</f>
        <v/>
      </c>
    </row>
    <row r="303">
      <c r="B303" s="11">
        <f>IF($A303="","",IFERROR(IF(INDEX(Community_Register!$B$2:$B$402,MATCH($A303,Community_Register!$A$2:$A$402,0))="","",INDEX(Community_Register!$B$2:$B$402,MATCH($A303,Community_Register!$A$2:$A$402,0))),""))</f>
        <v/>
      </c>
      <c r="H303" s="11">
        <f>IF($C303="","",IF($C303&lt;1,"yes","no"))</f>
        <v/>
      </c>
      <c r="I303" s="11">
        <f>IF($C303="","",IF($C303&lt;2.6,"r75",IF($C303&lt;5.2,"r110",IF($C303&lt;9.9,"r150",IF($C303&lt;19.8,"r210","r300")))))</f>
        <v/>
      </c>
      <c r="J303" s="11">
        <f>IF($C303="","",ROUND(SQRT($C303*10000/PI()),1))</f>
        <v/>
      </c>
      <c r="N303" s="11">
        <f>IF($A303="","",IFERROR(IF(INDEX(Community_Register!$S$2:$S$402,MATCH($A303,Community_Register!$A$2:$A$402,0))="","",INDEX(Community_Register!$S$2:$S$402,MATCH($A303,Community_Register!$A$2:$A$402,0))),""))</f>
        <v/>
      </c>
      <c r="O303" s="11">
        <f>IF($A303="","",IFERROR(IF(INDEX(Community_Register!$V$2:$V$402,MATCH($A303,Community_Register!$A$2:$A$402,0))="","",INDEX(Community_Register!$V$2:$V$402,MATCH($A303,Community_Register!$A$2:$A$402,0))),""))</f>
        <v/>
      </c>
      <c r="P303" s="11">
        <f>IF(OR($C303="",$N303="",NOT(ISNUMBER($N303))),"",$N303/$C303)</f>
        <v/>
      </c>
      <c r="Q303" s="11">
        <f>IF($C303="","",IF(OR($N303="",NOT(ISNUMBER($N303))),"B",IF(ABS($P303-1)&lt;=0.3,"A",IF(OR($P303&gt;2,$P303&lt;0.5),"C","B"))))</f>
        <v/>
      </c>
    </row>
    <row r="304">
      <c r="B304" s="11">
        <f>IF($A304="","",IFERROR(IF(INDEX(Community_Register!$B$2:$B$402,MATCH($A304,Community_Register!$A$2:$A$402,0))="","",INDEX(Community_Register!$B$2:$B$402,MATCH($A304,Community_Register!$A$2:$A$402,0))),""))</f>
        <v/>
      </c>
      <c r="H304" s="11">
        <f>IF($C304="","",IF($C304&lt;1,"yes","no"))</f>
        <v/>
      </c>
      <c r="I304" s="11">
        <f>IF($C304="","",IF($C304&lt;2.6,"r75",IF($C304&lt;5.2,"r110",IF($C304&lt;9.9,"r150",IF($C304&lt;19.8,"r210","r300")))))</f>
        <v/>
      </c>
      <c r="J304" s="11">
        <f>IF($C304="","",ROUND(SQRT($C304*10000/PI()),1))</f>
        <v/>
      </c>
      <c r="N304" s="11">
        <f>IF($A304="","",IFERROR(IF(INDEX(Community_Register!$S$2:$S$402,MATCH($A304,Community_Register!$A$2:$A$402,0))="","",INDEX(Community_Register!$S$2:$S$402,MATCH($A304,Community_Register!$A$2:$A$402,0))),""))</f>
        <v/>
      </c>
      <c r="O304" s="11">
        <f>IF($A304="","",IFERROR(IF(INDEX(Community_Register!$V$2:$V$402,MATCH($A304,Community_Register!$A$2:$A$402,0))="","",INDEX(Community_Register!$V$2:$V$402,MATCH($A304,Community_Register!$A$2:$A$402,0))),""))</f>
        <v/>
      </c>
      <c r="P304" s="11">
        <f>IF(OR($C304="",$N304="",NOT(ISNUMBER($N304))),"",$N304/$C304)</f>
        <v/>
      </c>
      <c r="Q304" s="11">
        <f>IF($C304="","",IF(OR($N304="",NOT(ISNUMBER($N304))),"B",IF(ABS($P304-1)&lt;=0.3,"A",IF(OR($P304&gt;2,$P304&lt;0.5),"C","B"))))</f>
        <v/>
      </c>
    </row>
    <row r="305">
      <c r="B305" s="11">
        <f>IF($A305="","",IFERROR(IF(INDEX(Community_Register!$B$2:$B$402,MATCH($A305,Community_Register!$A$2:$A$402,0))="","",INDEX(Community_Register!$B$2:$B$402,MATCH($A305,Community_Register!$A$2:$A$402,0))),""))</f>
        <v/>
      </c>
      <c r="H305" s="11">
        <f>IF($C305="","",IF($C305&lt;1,"yes","no"))</f>
        <v/>
      </c>
      <c r="I305" s="11">
        <f>IF($C305="","",IF($C305&lt;2.6,"r75",IF($C305&lt;5.2,"r110",IF($C305&lt;9.9,"r150",IF($C305&lt;19.8,"r210","r300")))))</f>
        <v/>
      </c>
      <c r="J305" s="11">
        <f>IF($C305="","",ROUND(SQRT($C305*10000/PI()),1))</f>
        <v/>
      </c>
      <c r="N305" s="11">
        <f>IF($A305="","",IFERROR(IF(INDEX(Community_Register!$S$2:$S$402,MATCH($A305,Community_Register!$A$2:$A$402,0))="","",INDEX(Community_Register!$S$2:$S$402,MATCH($A305,Community_Register!$A$2:$A$402,0))),""))</f>
        <v/>
      </c>
      <c r="O305" s="11">
        <f>IF($A305="","",IFERROR(IF(INDEX(Community_Register!$V$2:$V$402,MATCH($A305,Community_Register!$A$2:$A$402,0))="","",INDEX(Community_Register!$V$2:$V$402,MATCH($A305,Community_Register!$A$2:$A$402,0))),""))</f>
        <v/>
      </c>
      <c r="P305" s="11">
        <f>IF(OR($C305="",$N305="",NOT(ISNUMBER($N305))),"",$N305/$C305)</f>
        <v/>
      </c>
      <c r="Q305" s="11">
        <f>IF($C305="","",IF(OR($N305="",NOT(ISNUMBER($N305))),"B",IF(ABS($P305-1)&lt;=0.3,"A",IF(OR($P305&gt;2,$P305&lt;0.5),"C","B"))))</f>
        <v/>
      </c>
    </row>
    <row r="306">
      <c r="B306" s="11">
        <f>IF($A306="","",IFERROR(IF(INDEX(Community_Register!$B$2:$B$402,MATCH($A306,Community_Register!$A$2:$A$402,0))="","",INDEX(Community_Register!$B$2:$B$402,MATCH($A306,Community_Register!$A$2:$A$402,0))),""))</f>
        <v/>
      </c>
      <c r="H306" s="11">
        <f>IF($C306="","",IF($C306&lt;1,"yes","no"))</f>
        <v/>
      </c>
      <c r="I306" s="11">
        <f>IF($C306="","",IF($C306&lt;2.6,"r75",IF($C306&lt;5.2,"r110",IF($C306&lt;9.9,"r150",IF($C306&lt;19.8,"r210","r300")))))</f>
        <v/>
      </c>
      <c r="J306" s="11">
        <f>IF($C306="","",ROUND(SQRT($C306*10000/PI()),1))</f>
        <v/>
      </c>
      <c r="N306" s="11">
        <f>IF($A306="","",IFERROR(IF(INDEX(Community_Register!$S$2:$S$402,MATCH($A306,Community_Register!$A$2:$A$402,0))="","",INDEX(Community_Register!$S$2:$S$402,MATCH($A306,Community_Register!$A$2:$A$402,0))),""))</f>
        <v/>
      </c>
      <c r="O306" s="11">
        <f>IF($A306="","",IFERROR(IF(INDEX(Community_Register!$V$2:$V$402,MATCH($A306,Community_Register!$A$2:$A$402,0))="","",INDEX(Community_Register!$V$2:$V$402,MATCH($A306,Community_Register!$A$2:$A$402,0))),""))</f>
        <v/>
      </c>
      <c r="P306" s="11">
        <f>IF(OR($C306="",$N306="",NOT(ISNUMBER($N306))),"",$N306/$C306)</f>
        <v/>
      </c>
      <c r="Q306" s="11">
        <f>IF($C306="","",IF(OR($N306="",NOT(ISNUMBER($N306))),"B",IF(ABS($P306-1)&lt;=0.3,"A",IF(OR($P306&gt;2,$P306&lt;0.5),"C","B"))))</f>
        <v/>
      </c>
    </row>
    <row r="307">
      <c r="B307" s="11">
        <f>IF($A307="","",IFERROR(IF(INDEX(Community_Register!$B$2:$B$402,MATCH($A307,Community_Register!$A$2:$A$402,0))="","",INDEX(Community_Register!$B$2:$B$402,MATCH($A307,Community_Register!$A$2:$A$402,0))),""))</f>
        <v/>
      </c>
      <c r="H307" s="11">
        <f>IF($C307="","",IF($C307&lt;1,"yes","no"))</f>
        <v/>
      </c>
      <c r="I307" s="11">
        <f>IF($C307="","",IF($C307&lt;2.6,"r75",IF($C307&lt;5.2,"r110",IF($C307&lt;9.9,"r150",IF($C307&lt;19.8,"r210","r300")))))</f>
        <v/>
      </c>
      <c r="J307" s="11">
        <f>IF($C307="","",ROUND(SQRT($C307*10000/PI()),1))</f>
        <v/>
      </c>
      <c r="N307" s="11">
        <f>IF($A307="","",IFERROR(IF(INDEX(Community_Register!$S$2:$S$402,MATCH($A307,Community_Register!$A$2:$A$402,0))="","",INDEX(Community_Register!$S$2:$S$402,MATCH($A307,Community_Register!$A$2:$A$402,0))),""))</f>
        <v/>
      </c>
      <c r="O307" s="11">
        <f>IF($A307="","",IFERROR(IF(INDEX(Community_Register!$V$2:$V$402,MATCH($A307,Community_Register!$A$2:$A$402,0))="","",INDEX(Community_Register!$V$2:$V$402,MATCH($A307,Community_Register!$A$2:$A$402,0))),""))</f>
        <v/>
      </c>
      <c r="P307" s="11">
        <f>IF(OR($C307="",$N307="",NOT(ISNUMBER($N307))),"",$N307/$C307)</f>
        <v/>
      </c>
      <c r="Q307" s="11">
        <f>IF($C307="","",IF(OR($N307="",NOT(ISNUMBER($N307))),"B",IF(ABS($P307-1)&lt;=0.3,"A",IF(OR($P307&gt;2,$P307&lt;0.5),"C","B"))))</f>
        <v/>
      </c>
    </row>
    <row r="308">
      <c r="B308" s="11">
        <f>IF($A308="","",IFERROR(IF(INDEX(Community_Register!$B$2:$B$402,MATCH($A308,Community_Register!$A$2:$A$402,0))="","",INDEX(Community_Register!$B$2:$B$402,MATCH($A308,Community_Register!$A$2:$A$402,0))),""))</f>
        <v/>
      </c>
      <c r="H308" s="11">
        <f>IF($C308="","",IF($C308&lt;1,"yes","no"))</f>
        <v/>
      </c>
      <c r="I308" s="11">
        <f>IF($C308="","",IF($C308&lt;2.6,"r75",IF($C308&lt;5.2,"r110",IF($C308&lt;9.9,"r150",IF($C308&lt;19.8,"r210","r300")))))</f>
        <v/>
      </c>
      <c r="J308" s="11">
        <f>IF($C308="","",ROUND(SQRT($C308*10000/PI()),1))</f>
        <v/>
      </c>
      <c r="N308" s="11">
        <f>IF($A308="","",IFERROR(IF(INDEX(Community_Register!$S$2:$S$402,MATCH($A308,Community_Register!$A$2:$A$402,0))="","",INDEX(Community_Register!$S$2:$S$402,MATCH($A308,Community_Register!$A$2:$A$402,0))),""))</f>
        <v/>
      </c>
      <c r="O308" s="11">
        <f>IF($A308="","",IFERROR(IF(INDEX(Community_Register!$V$2:$V$402,MATCH($A308,Community_Register!$A$2:$A$402,0))="","",INDEX(Community_Register!$V$2:$V$402,MATCH($A308,Community_Register!$A$2:$A$402,0))),""))</f>
        <v/>
      </c>
      <c r="P308" s="11">
        <f>IF(OR($C308="",$N308="",NOT(ISNUMBER($N308))),"",$N308/$C308)</f>
        <v/>
      </c>
      <c r="Q308" s="11">
        <f>IF($C308="","",IF(OR($N308="",NOT(ISNUMBER($N308))),"B",IF(ABS($P308-1)&lt;=0.3,"A",IF(OR($P308&gt;2,$P308&lt;0.5),"C","B"))))</f>
        <v/>
      </c>
    </row>
    <row r="309">
      <c r="B309" s="11">
        <f>IF($A309="","",IFERROR(IF(INDEX(Community_Register!$B$2:$B$402,MATCH($A309,Community_Register!$A$2:$A$402,0))="","",INDEX(Community_Register!$B$2:$B$402,MATCH($A309,Community_Register!$A$2:$A$402,0))),""))</f>
        <v/>
      </c>
      <c r="H309" s="11">
        <f>IF($C309="","",IF($C309&lt;1,"yes","no"))</f>
        <v/>
      </c>
      <c r="I309" s="11">
        <f>IF($C309="","",IF($C309&lt;2.6,"r75",IF($C309&lt;5.2,"r110",IF($C309&lt;9.9,"r150",IF($C309&lt;19.8,"r210","r300")))))</f>
        <v/>
      </c>
      <c r="J309" s="11">
        <f>IF($C309="","",ROUND(SQRT($C309*10000/PI()),1))</f>
        <v/>
      </c>
      <c r="N309" s="11">
        <f>IF($A309="","",IFERROR(IF(INDEX(Community_Register!$S$2:$S$402,MATCH($A309,Community_Register!$A$2:$A$402,0))="","",INDEX(Community_Register!$S$2:$S$402,MATCH($A309,Community_Register!$A$2:$A$402,0))),""))</f>
        <v/>
      </c>
      <c r="O309" s="11">
        <f>IF($A309="","",IFERROR(IF(INDEX(Community_Register!$V$2:$V$402,MATCH($A309,Community_Register!$A$2:$A$402,0))="","",INDEX(Community_Register!$V$2:$V$402,MATCH($A309,Community_Register!$A$2:$A$402,0))),""))</f>
        <v/>
      </c>
      <c r="P309" s="11">
        <f>IF(OR($C309="",$N309="",NOT(ISNUMBER($N309))),"",$N309/$C309)</f>
        <v/>
      </c>
      <c r="Q309" s="11">
        <f>IF($C309="","",IF(OR($N309="",NOT(ISNUMBER($N309))),"B",IF(ABS($P309-1)&lt;=0.3,"A",IF(OR($P309&gt;2,$P309&lt;0.5),"C","B"))))</f>
        <v/>
      </c>
    </row>
    <row r="310">
      <c r="B310" s="11">
        <f>IF($A310="","",IFERROR(IF(INDEX(Community_Register!$B$2:$B$402,MATCH($A310,Community_Register!$A$2:$A$402,0))="","",INDEX(Community_Register!$B$2:$B$402,MATCH($A310,Community_Register!$A$2:$A$402,0))),""))</f>
        <v/>
      </c>
      <c r="H310" s="11">
        <f>IF($C310="","",IF($C310&lt;1,"yes","no"))</f>
        <v/>
      </c>
      <c r="I310" s="11">
        <f>IF($C310="","",IF($C310&lt;2.6,"r75",IF($C310&lt;5.2,"r110",IF($C310&lt;9.9,"r150",IF($C310&lt;19.8,"r210","r300")))))</f>
        <v/>
      </c>
      <c r="J310" s="11">
        <f>IF($C310="","",ROUND(SQRT($C310*10000/PI()),1))</f>
        <v/>
      </c>
      <c r="N310" s="11">
        <f>IF($A310="","",IFERROR(IF(INDEX(Community_Register!$S$2:$S$402,MATCH($A310,Community_Register!$A$2:$A$402,0))="","",INDEX(Community_Register!$S$2:$S$402,MATCH($A310,Community_Register!$A$2:$A$402,0))),""))</f>
        <v/>
      </c>
      <c r="O310" s="11">
        <f>IF($A310="","",IFERROR(IF(INDEX(Community_Register!$V$2:$V$402,MATCH($A310,Community_Register!$A$2:$A$402,0))="","",INDEX(Community_Register!$V$2:$V$402,MATCH($A310,Community_Register!$A$2:$A$402,0))),""))</f>
        <v/>
      </c>
      <c r="P310" s="11">
        <f>IF(OR($C310="",$N310="",NOT(ISNUMBER($N310))),"",$N310/$C310)</f>
        <v/>
      </c>
      <c r="Q310" s="11">
        <f>IF($C310="","",IF(OR($N310="",NOT(ISNUMBER($N310))),"B",IF(ABS($P310-1)&lt;=0.3,"A",IF(OR($P310&gt;2,$P310&lt;0.5),"C","B"))))</f>
        <v/>
      </c>
    </row>
    <row r="311">
      <c r="B311" s="11">
        <f>IF($A311="","",IFERROR(IF(INDEX(Community_Register!$B$2:$B$402,MATCH($A311,Community_Register!$A$2:$A$402,0))="","",INDEX(Community_Register!$B$2:$B$402,MATCH($A311,Community_Register!$A$2:$A$402,0))),""))</f>
        <v/>
      </c>
      <c r="H311" s="11">
        <f>IF($C311="","",IF($C311&lt;1,"yes","no"))</f>
        <v/>
      </c>
      <c r="I311" s="11">
        <f>IF($C311="","",IF($C311&lt;2.6,"r75",IF($C311&lt;5.2,"r110",IF($C311&lt;9.9,"r150",IF($C311&lt;19.8,"r210","r300")))))</f>
        <v/>
      </c>
      <c r="J311" s="11">
        <f>IF($C311="","",ROUND(SQRT($C311*10000/PI()),1))</f>
        <v/>
      </c>
      <c r="N311" s="11">
        <f>IF($A311="","",IFERROR(IF(INDEX(Community_Register!$S$2:$S$402,MATCH($A311,Community_Register!$A$2:$A$402,0))="","",INDEX(Community_Register!$S$2:$S$402,MATCH($A311,Community_Register!$A$2:$A$402,0))),""))</f>
        <v/>
      </c>
      <c r="O311" s="11">
        <f>IF($A311="","",IFERROR(IF(INDEX(Community_Register!$V$2:$V$402,MATCH($A311,Community_Register!$A$2:$A$402,0))="","",INDEX(Community_Register!$V$2:$V$402,MATCH($A311,Community_Register!$A$2:$A$402,0))),""))</f>
        <v/>
      </c>
      <c r="P311" s="11">
        <f>IF(OR($C311="",$N311="",NOT(ISNUMBER($N311))),"",$N311/$C311)</f>
        <v/>
      </c>
      <c r="Q311" s="11">
        <f>IF($C311="","",IF(OR($N311="",NOT(ISNUMBER($N311))),"B",IF(ABS($P311-1)&lt;=0.3,"A",IF(OR($P311&gt;2,$P311&lt;0.5),"C","B"))))</f>
        <v/>
      </c>
    </row>
    <row r="312">
      <c r="B312" s="11">
        <f>IF($A312="","",IFERROR(IF(INDEX(Community_Register!$B$2:$B$402,MATCH($A312,Community_Register!$A$2:$A$402,0))="","",INDEX(Community_Register!$B$2:$B$402,MATCH($A312,Community_Register!$A$2:$A$402,0))),""))</f>
        <v/>
      </c>
      <c r="H312" s="11">
        <f>IF($C312="","",IF($C312&lt;1,"yes","no"))</f>
        <v/>
      </c>
      <c r="I312" s="11">
        <f>IF($C312="","",IF($C312&lt;2.6,"r75",IF($C312&lt;5.2,"r110",IF($C312&lt;9.9,"r150",IF($C312&lt;19.8,"r210","r300")))))</f>
        <v/>
      </c>
      <c r="J312" s="11">
        <f>IF($C312="","",ROUND(SQRT($C312*10000/PI()),1))</f>
        <v/>
      </c>
      <c r="N312" s="11">
        <f>IF($A312="","",IFERROR(IF(INDEX(Community_Register!$S$2:$S$402,MATCH($A312,Community_Register!$A$2:$A$402,0))="","",INDEX(Community_Register!$S$2:$S$402,MATCH($A312,Community_Register!$A$2:$A$402,0))),""))</f>
        <v/>
      </c>
      <c r="O312" s="11">
        <f>IF($A312="","",IFERROR(IF(INDEX(Community_Register!$V$2:$V$402,MATCH($A312,Community_Register!$A$2:$A$402,0))="","",INDEX(Community_Register!$V$2:$V$402,MATCH($A312,Community_Register!$A$2:$A$402,0))),""))</f>
        <v/>
      </c>
      <c r="P312" s="11">
        <f>IF(OR($C312="",$N312="",NOT(ISNUMBER($N312))),"",$N312/$C312)</f>
        <v/>
      </c>
      <c r="Q312" s="11">
        <f>IF($C312="","",IF(OR($N312="",NOT(ISNUMBER($N312))),"B",IF(ABS($P312-1)&lt;=0.3,"A",IF(OR($P312&gt;2,$P312&lt;0.5),"C","B"))))</f>
        <v/>
      </c>
    </row>
    <row r="313">
      <c r="B313" s="11">
        <f>IF($A313="","",IFERROR(IF(INDEX(Community_Register!$B$2:$B$402,MATCH($A313,Community_Register!$A$2:$A$402,0))="","",INDEX(Community_Register!$B$2:$B$402,MATCH($A313,Community_Register!$A$2:$A$402,0))),""))</f>
        <v/>
      </c>
      <c r="H313" s="11">
        <f>IF($C313="","",IF($C313&lt;1,"yes","no"))</f>
        <v/>
      </c>
      <c r="I313" s="11">
        <f>IF($C313="","",IF($C313&lt;2.6,"r75",IF($C313&lt;5.2,"r110",IF($C313&lt;9.9,"r150",IF($C313&lt;19.8,"r210","r300")))))</f>
        <v/>
      </c>
      <c r="J313" s="11">
        <f>IF($C313="","",ROUND(SQRT($C313*10000/PI()),1))</f>
        <v/>
      </c>
      <c r="N313" s="11">
        <f>IF($A313="","",IFERROR(IF(INDEX(Community_Register!$S$2:$S$402,MATCH($A313,Community_Register!$A$2:$A$402,0))="","",INDEX(Community_Register!$S$2:$S$402,MATCH($A313,Community_Register!$A$2:$A$402,0))),""))</f>
        <v/>
      </c>
      <c r="O313" s="11">
        <f>IF($A313="","",IFERROR(IF(INDEX(Community_Register!$V$2:$V$402,MATCH($A313,Community_Register!$A$2:$A$402,0))="","",INDEX(Community_Register!$V$2:$V$402,MATCH($A313,Community_Register!$A$2:$A$402,0))),""))</f>
        <v/>
      </c>
      <c r="P313" s="11">
        <f>IF(OR($C313="",$N313="",NOT(ISNUMBER($N313))),"",$N313/$C313)</f>
        <v/>
      </c>
      <c r="Q313" s="11">
        <f>IF($C313="","",IF(OR($N313="",NOT(ISNUMBER($N313))),"B",IF(ABS($P313-1)&lt;=0.3,"A",IF(OR($P313&gt;2,$P313&lt;0.5),"C","B"))))</f>
        <v/>
      </c>
    </row>
    <row r="314">
      <c r="B314" s="11">
        <f>IF($A314="","",IFERROR(IF(INDEX(Community_Register!$B$2:$B$402,MATCH($A314,Community_Register!$A$2:$A$402,0))="","",INDEX(Community_Register!$B$2:$B$402,MATCH($A314,Community_Register!$A$2:$A$402,0))),""))</f>
        <v/>
      </c>
      <c r="H314" s="11">
        <f>IF($C314="","",IF($C314&lt;1,"yes","no"))</f>
        <v/>
      </c>
      <c r="I314" s="11">
        <f>IF($C314="","",IF($C314&lt;2.6,"r75",IF($C314&lt;5.2,"r110",IF($C314&lt;9.9,"r150",IF($C314&lt;19.8,"r210","r300")))))</f>
        <v/>
      </c>
      <c r="J314" s="11">
        <f>IF($C314="","",ROUND(SQRT($C314*10000/PI()),1))</f>
        <v/>
      </c>
      <c r="N314" s="11">
        <f>IF($A314="","",IFERROR(IF(INDEX(Community_Register!$S$2:$S$402,MATCH($A314,Community_Register!$A$2:$A$402,0))="","",INDEX(Community_Register!$S$2:$S$402,MATCH($A314,Community_Register!$A$2:$A$402,0))),""))</f>
        <v/>
      </c>
      <c r="O314" s="11">
        <f>IF($A314="","",IFERROR(IF(INDEX(Community_Register!$V$2:$V$402,MATCH($A314,Community_Register!$A$2:$A$402,0))="","",INDEX(Community_Register!$V$2:$V$402,MATCH($A314,Community_Register!$A$2:$A$402,0))),""))</f>
        <v/>
      </c>
      <c r="P314" s="11">
        <f>IF(OR($C314="",$N314="",NOT(ISNUMBER($N314))),"",$N314/$C314)</f>
        <v/>
      </c>
      <c r="Q314" s="11">
        <f>IF($C314="","",IF(OR($N314="",NOT(ISNUMBER($N314))),"B",IF(ABS($P314-1)&lt;=0.3,"A",IF(OR($P314&gt;2,$P314&lt;0.5),"C","B"))))</f>
        <v/>
      </c>
    </row>
    <row r="315">
      <c r="B315" s="11">
        <f>IF($A315="","",IFERROR(IF(INDEX(Community_Register!$B$2:$B$402,MATCH($A315,Community_Register!$A$2:$A$402,0))="","",INDEX(Community_Register!$B$2:$B$402,MATCH($A315,Community_Register!$A$2:$A$402,0))),""))</f>
        <v/>
      </c>
      <c r="H315" s="11">
        <f>IF($C315="","",IF($C315&lt;1,"yes","no"))</f>
        <v/>
      </c>
      <c r="I315" s="11">
        <f>IF($C315="","",IF($C315&lt;2.6,"r75",IF($C315&lt;5.2,"r110",IF($C315&lt;9.9,"r150",IF($C315&lt;19.8,"r210","r300")))))</f>
        <v/>
      </c>
      <c r="J315" s="11">
        <f>IF($C315="","",ROUND(SQRT($C315*10000/PI()),1))</f>
        <v/>
      </c>
      <c r="N315" s="11">
        <f>IF($A315="","",IFERROR(IF(INDEX(Community_Register!$S$2:$S$402,MATCH($A315,Community_Register!$A$2:$A$402,0))="","",INDEX(Community_Register!$S$2:$S$402,MATCH($A315,Community_Register!$A$2:$A$402,0))),""))</f>
        <v/>
      </c>
      <c r="O315" s="11">
        <f>IF($A315="","",IFERROR(IF(INDEX(Community_Register!$V$2:$V$402,MATCH($A315,Community_Register!$A$2:$A$402,0))="","",INDEX(Community_Register!$V$2:$V$402,MATCH($A315,Community_Register!$A$2:$A$402,0))),""))</f>
        <v/>
      </c>
      <c r="P315" s="11">
        <f>IF(OR($C315="",$N315="",NOT(ISNUMBER($N315))),"",$N315/$C315)</f>
        <v/>
      </c>
      <c r="Q315" s="11">
        <f>IF($C315="","",IF(OR($N315="",NOT(ISNUMBER($N315))),"B",IF(ABS($P315-1)&lt;=0.3,"A",IF(OR($P315&gt;2,$P315&lt;0.5),"C","B"))))</f>
        <v/>
      </c>
    </row>
    <row r="316">
      <c r="B316" s="11">
        <f>IF($A316="","",IFERROR(IF(INDEX(Community_Register!$B$2:$B$402,MATCH($A316,Community_Register!$A$2:$A$402,0))="","",INDEX(Community_Register!$B$2:$B$402,MATCH($A316,Community_Register!$A$2:$A$402,0))),""))</f>
        <v/>
      </c>
      <c r="H316" s="11">
        <f>IF($C316="","",IF($C316&lt;1,"yes","no"))</f>
        <v/>
      </c>
      <c r="I316" s="11">
        <f>IF($C316="","",IF($C316&lt;2.6,"r75",IF($C316&lt;5.2,"r110",IF($C316&lt;9.9,"r150",IF($C316&lt;19.8,"r210","r300")))))</f>
        <v/>
      </c>
      <c r="J316" s="11">
        <f>IF($C316="","",ROUND(SQRT($C316*10000/PI()),1))</f>
        <v/>
      </c>
      <c r="N316" s="11">
        <f>IF($A316="","",IFERROR(IF(INDEX(Community_Register!$S$2:$S$402,MATCH($A316,Community_Register!$A$2:$A$402,0))="","",INDEX(Community_Register!$S$2:$S$402,MATCH($A316,Community_Register!$A$2:$A$402,0))),""))</f>
        <v/>
      </c>
      <c r="O316" s="11">
        <f>IF($A316="","",IFERROR(IF(INDEX(Community_Register!$V$2:$V$402,MATCH($A316,Community_Register!$A$2:$A$402,0))="","",INDEX(Community_Register!$V$2:$V$402,MATCH($A316,Community_Register!$A$2:$A$402,0))),""))</f>
        <v/>
      </c>
      <c r="P316" s="11">
        <f>IF(OR($C316="",$N316="",NOT(ISNUMBER($N316))),"",$N316/$C316)</f>
        <v/>
      </c>
      <c r="Q316" s="11">
        <f>IF($C316="","",IF(OR($N316="",NOT(ISNUMBER($N316))),"B",IF(ABS($P316-1)&lt;=0.3,"A",IF(OR($P316&gt;2,$P316&lt;0.5),"C","B"))))</f>
        <v/>
      </c>
    </row>
    <row r="317">
      <c r="B317" s="11">
        <f>IF($A317="","",IFERROR(IF(INDEX(Community_Register!$B$2:$B$402,MATCH($A317,Community_Register!$A$2:$A$402,0))="","",INDEX(Community_Register!$B$2:$B$402,MATCH($A317,Community_Register!$A$2:$A$402,0))),""))</f>
        <v/>
      </c>
      <c r="H317" s="11">
        <f>IF($C317="","",IF($C317&lt;1,"yes","no"))</f>
        <v/>
      </c>
      <c r="I317" s="11">
        <f>IF($C317="","",IF($C317&lt;2.6,"r75",IF($C317&lt;5.2,"r110",IF($C317&lt;9.9,"r150",IF($C317&lt;19.8,"r210","r300")))))</f>
        <v/>
      </c>
      <c r="J317" s="11">
        <f>IF($C317="","",ROUND(SQRT($C317*10000/PI()),1))</f>
        <v/>
      </c>
      <c r="N317" s="11">
        <f>IF($A317="","",IFERROR(IF(INDEX(Community_Register!$S$2:$S$402,MATCH($A317,Community_Register!$A$2:$A$402,0))="","",INDEX(Community_Register!$S$2:$S$402,MATCH($A317,Community_Register!$A$2:$A$402,0))),""))</f>
        <v/>
      </c>
      <c r="O317" s="11">
        <f>IF($A317="","",IFERROR(IF(INDEX(Community_Register!$V$2:$V$402,MATCH($A317,Community_Register!$A$2:$A$402,0))="","",INDEX(Community_Register!$V$2:$V$402,MATCH($A317,Community_Register!$A$2:$A$402,0))),""))</f>
        <v/>
      </c>
      <c r="P317" s="11">
        <f>IF(OR($C317="",$N317="",NOT(ISNUMBER($N317))),"",$N317/$C317)</f>
        <v/>
      </c>
      <c r="Q317" s="11">
        <f>IF($C317="","",IF(OR($N317="",NOT(ISNUMBER($N317))),"B",IF(ABS($P317-1)&lt;=0.3,"A",IF(OR($P317&gt;2,$P317&lt;0.5),"C","B"))))</f>
        <v/>
      </c>
    </row>
    <row r="318">
      <c r="B318" s="11">
        <f>IF($A318="","",IFERROR(IF(INDEX(Community_Register!$B$2:$B$402,MATCH($A318,Community_Register!$A$2:$A$402,0))="","",INDEX(Community_Register!$B$2:$B$402,MATCH($A318,Community_Register!$A$2:$A$402,0))),""))</f>
        <v/>
      </c>
      <c r="H318" s="11">
        <f>IF($C318="","",IF($C318&lt;1,"yes","no"))</f>
        <v/>
      </c>
      <c r="I318" s="11">
        <f>IF($C318="","",IF($C318&lt;2.6,"r75",IF($C318&lt;5.2,"r110",IF($C318&lt;9.9,"r150",IF($C318&lt;19.8,"r210","r300")))))</f>
        <v/>
      </c>
      <c r="J318" s="11">
        <f>IF($C318="","",ROUND(SQRT($C318*10000/PI()),1))</f>
        <v/>
      </c>
      <c r="N318" s="11">
        <f>IF($A318="","",IFERROR(IF(INDEX(Community_Register!$S$2:$S$402,MATCH($A318,Community_Register!$A$2:$A$402,0))="","",INDEX(Community_Register!$S$2:$S$402,MATCH($A318,Community_Register!$A$2:$A$402,0))),""))</f>
        <v/>
      </c>
      <c r="O318" s="11">
        <f>IF($A318="","",IFERROR(IF(INDEX(Community_Register!$V$2:$V$402,MATCH($A318,Community_Register!$A$2:$A$402,0))="","",INDEX(Community_Register!$V$2:$V$402,MATCH($A318,Community_Register!$A$2:$A$402,0))),""))</f>
        <v/>
      </c>
      <c r="P318" s="11">
        <f>IF(OR($C318="",$N318="",NOT(ISNUMBER($N318))),"",$N318/$C318)</f>
        <v/>
      </c>
      <c r="Q318" s="11">
        <f>IF($C318="","",IF(OR($N318="",NOT(ISNUMBER($N318))),"B",IF(ABS($P318-1)&lt;=0.3,"A",IF(OR($P318&gt;2,$P318&lt;0.5),"C","B"))))</f>
        <v/>
      </c>
    </row>
    <row r="319">
      <c r="B319" s="11">
        <f>IF($A319="","",IFERROR(IF(INDEX(Community_Register!$B$2:$B$402,MATCH($A319,Community_Register!$A$2:$A$402,0))="","",INDEX(Community_Register!$B$2:$B$402,MATCH($A319,Community_Register!$A$2:$A$402,0))),""))</f>
        <v/>
      </c>
      <c r="H319" s="11">
        <f>IF($C319="","",IF($C319&lt;1,"yes","no"))</f>
        <v/>
      </c>
      <c r="I319" s="11">
        <f>IF($C319="","",IF($C319&lt;2.6,"r75",IF($C319&lt;5.2,"r110",IF($C319&lt;9.9,"r150",IF($C319&lt;19.8,"r210","r300")))))</f>
        <v/>
      </c>
      <c r="J319" s="11">
        <f>IF($C319="","",ROUND(SQRT($C319*10000/PI()),1))</f>
        <v/>
      </c>
      <c r="N319" s="11">
        <f>IF($A319="","",IFERROR(IF(INDEX(Community_Register!$S$2:$S$402,MATCH($A319,Community_Register!$A$2:$A$402,0))="","",INDEX(Community_Register!$S$2:$S$402,MATCH($A319,Community_Register!$A$2:$A$402,0))),""))</f>
        <v/>
      </c>
      <c r="O319" s="11">
        <f>IF($A319="","",IFERROR(IF(INDEX(Community_Register!$V$2:$V$402,MATCH($A319,Community_Register!$A$2:$A$402,0))="","",INDEX(Community_Register!$V$2:$V$402,MATCH($A319,Community_Register!$A$2:$A$402,0))),""))</f>
        <v/>
      </c>
      <c r="P319" s="11">
        <f>IF(OR($C319="",$N319="",NOT(ISNUMBER($N319))),"",$N319/$C319)</f>
        <v/>
      </c>
      <c r="Q319" s="11">
        <f>IF($C319="","",IF(OR($N319="",NOT(ISNUMBER($N319))),"B",IF(ABS($P319-1)&lt;=0.3,"A",IF(OR($P319&gt;2,$P319&lt;0.5),"C","B"))))</f>
        <v/>
      </c>
    </row>
    <row r="320">
      <c r="B320" s="11">
        <f>IF($A320="","",IFERROR(IF(INDEX(Community_Register!$B$2:$B$402,MATCH($A320,Community_Register!$A$2:$A$402,0))="","",INDEX(Community_Register!$B$2:$B$402,MATCH($A320,Community_Register!$A$2:$A$402,0))),""))</f>
        <v/>
      </c>
      <c r="H320" s="11">
        <f>IF($C320="","",IF($C320&lt;1,"yes","no"))</f>
        <v/>
      </c>
      <c r="I320" s="11">
        <f>IF($C320="","",IF($C320&lt;2.6,"r75",IF($C320&lt;5.2,"r110",IF($C320&lt;9.9,"r150",IF($C320&lt;19.8,"r210","r300")))))</f>
        <v/>
      </c>
      <c r="J320" s="11">
        <f>IF($C320="","",ROUND(SQRT($C320*10000/PI()),1))</f>
        <v/>
      </c>
      <c r="N320" s="11">
        <f>IF($A320="","",IFERROR(IF(INDEX(Community_Register!$S$2:$S$402,MATCH($A320,Community_Register!$A$2:$A$402,0))="","",INDEX(Community_Register!$S$2:$S$402,MATCH($A320,Community_Register!$A$2:$A$402,0))),""))</f>
        <v/>
      </c>
      <c r="O320" s="11">
        <f>IF($A320="","",IFERROR(IF(INDEX(Community_Register!$V$2:$V$402,MATCH($A320,Community_Register!$A$2:$A$402,0))="","",INDEX(Community_Register!$V$2:$V$402,MATCH($A320,Community_Register!$A$2:$A$402,0))),""))</f>
        <v/>
      </c>
      <c r="P320" s="11">
        <f>IF(OR($C320="",$N320="",NOT(ISNUMBER($N320))),"",$N320/$C320)</f>
        <v/>
      </c>
      <c r="Q320" s="11">
        <f>IF($C320="","",IF(OR($N320="",NOT(ISNUMBER($N320))),"B",IF(ABS($P320-1)&lt;=0.3,"A",IF(OR($P320&gt;2,$P320&lt;0.5),"C","B"))))</f>
        <v/>
      </c>
    </row>
    <row r="321">
      <c r="B321" s="11">
        <f>IF($A321="","",IFERROR(IF(INDEX(Community_Register!$B$2:$B$402,MATCH($A321,Community_Register!$A$2:$A$402,0))="","",INDEX(Community_Register!$B$2:$B$402,MATCH($A321,Community_Register!$A$2:$A$402,0))),""))</f>
        <v/>
      </c>
      <c r="H321" s="11">
        <f>IF($C321="","",IF($C321&lt;1,"yes","no"))</f>
        <v/>
      </c>
      <c r="I321" s="11">
        <f>IF($C321="","",IF($C321&lt;2.6,"r75",IF($C321&lt;5.2,"r110",IF($C321&lt;9.9,"r150",IF($C321&lt;19.8,"r210","r300")))))</f>
        <v/>
      </c>
      <c r="J321" s="11">
        <f>IF($C321="","",ROUND(SQRT($C321*10000/PI()),1))</f>
        <v/>
      </c>
      <c r="N321" s="11">
        <f>IF($A321="","",IFERROR(IF(INDEX(Community_Register!$S$2:$S$402,MATCH($A321,Community_Register!$A$2:$A$402,0))="","",INDEX(Community_Register!$S$2:$S$402,MATCH($A321,Community_Register!$A$2:$A$402,0))),""))</f>
        <v/>
      </c>
      <c r="O321" s="11">
        <f>IF($A321="","",IFERROR(IF(INDEX(Community_Register!$V$2:$V$402,MATCH($A321,Community_Register!$A$2:$A$402,0))="","",INDEX(Community_Register!$V$2:$V$402,MATCH($A321,Community_Register!$A$2:$A$402,0))),""))</f>
        <v/>
      </c>
      <c r="P321" s="11">
        <f>IF(OR($C321="",$N321="",NOT(ISNUMBER($N321))),"",$N321/$C321)</f>
        <v/>
      </c>
      <c r="Q321" s="11">
        <f>IF($C321="","",IF(OR($N321="",NOT(ISNUMBER($N321))),"B",IF(ABS($P321-1)&lt;=0.3,"A",IF(OR($P321&gt;2,$P321&lt;0.5),"C","B"))))</f>
        <v/>
      </c>
    </row>
    <row r="322">
      <c r="B322" s="11">
        <f>IF($A322="","",IFERROR(IF(INDEX(Community_Register!$B$2:$B$402,MATCH($A322,Community_Register!$A$2:$A$402,0))="","",INDEX(Community_Register!$B$2:$B$402,MATCH($A322,Community_Register!$A$2:$A$402,0))),""))</f>
        <v/>
      </c>
      <c r="H322" s="11">
        <f>IF($C322="","",IF($C322&lt;1,"yes","no"))</f>
        <v/>
      </c>
      <c r="I322" s="11">
        <f>IF($C322="","",IF($C322&lt;2.6,"r75",IF($C322&lt;5.2,"r110",IF($C322&lt;9.9,"r150",IF($C322&lt;19.8,"r210","r300")))))</f>
        <v/>
      </c>
      <c r="J322" s="11">
        <f>IF($C322="","",ROUND(SQRT($C322*10000/PI()),1))</f>
        <v/>
      </c>
      <c r="N322" s="11">
        <f>IF($A322="","",IFERROR(IF(INDEX(Community_Register!$S$2:$S$402,MATCH($A322,Community_Register!$A$2:$A$402,0))="","",INDEX(Community_Register!$S$2:$S$402,MATCH($A322,Community_Register!$A$2:$A$402,0))),""))</f>
        <v/>
      </c>
      <c r="O322" s="11">
        <f>IF($A322="","",IFERROR(IF(INDEX(Community_Register!$V$2:$V$402,MATCH($A322,Community_Register!$A$2:$A$402,0))="","",INDEX(Community_Register!$V$2:$V$402,MATCH($A322,Community_Register!$A$2:$A$402,0))),""))</f>
        <v/>
      </c>
      <c r="P322" s="11">
        <f>IF(OR($C322="",$N322="",NOT(ISNUMBER($N322))),"",$N322/$C322)</f>
        <v/>
      </c>
      <c r="Q322" s="11">
        <f>IF($C322="","",IF(OR($N322="",NOT(ISNUMBER($N322))),"B",IF(ABS($P322-1)&lt;=0.3,"A",IF(OR($P322&gt;2,$P322&lt;0.5),"C","B"))))</f>
        <v/>
      </c>
    </row>
    <row r="323">
      <c r="B323" s="11">
        <f>IF($A323="","",IFERROR(IF(INDEX(Community_Register!$B$2:$B$402,MATCH($A323,Community_Register!$A$2:$A$402,0))="","",INDEX(Community_Register!$B$2:$B$402,MATCH($A323,Community_Register!$A$2:$A$402,0))),""))</f>
        <v/>
      </c>
      <c r="H323" s="11">
        <f>IF($C323="","",IF($C323&lt;1,"yes","no"))</f>
        <v/>
      </c>
      <c r="I323" s="11">
        <f>IF($C323="","",IF($C323&lt;2.6,"r75",IF($C323&lt;5.2,"r110",IF($C323&lt;9.9,"r150",IF($C323&lt;19.8,"r210","r300")))))</f>
        <v/>
      </c>
      <c r="J323" s="11">
        <f>IF($C323="","",ROUND(SQRT($C323*10000/PI()),1))</f>
        <v/>
      </c>
      <c r="N323" s="11">
        <f>IF($A323="","",IFERROR(IF(INDEX(Community_Register!$S$2:$S$402,MATCH($A323,Community_Register!$A$2:$A$402,0))="","",INDEX(Community_Register!$S$2:$S$402,MATCH($A323,Community_Register!$A$2:$A$402,0))),""))</f>
        <v/>
      </c>
      <c r="O323" s="11">
        <f>IF($A323="","",IFERROR(IF(INDEX(Community_Register!$V$2:$V$402,MATCH($A323,Community_Register!$A$2:$A$402,0))="","",INDEX(Community_Register!$V$2:$V$402,MATCH($A323,Community_Register!$A$2:$A$402,0))),""))</f>
        <v/>
      </c>
      <c r="P323" s="11">
        <f>IF(OR($C323="",$N323="",NOT(ISNUMBER($N323))),"",$N323/$C323)</f>
        <v/>
      </c>
      <c r="Q323" s="11">
        <f>IF($C323="","",IF(OR($N323="",NOT(ISNUMBER($N323))),"B",IF(ABS($P323-1)&lt;=0.3,"A",IF(OR($P323&gt;2,$P323&lt;0.5),"C","B"))))</f>
        <v/>
      </c>
    </row>
    <row r="324">
      <c r="B324" s="11">
        <f>IF($A324="","",IFERROR(IF(INDEX(Community_Register!$B$2:$B$402,MATCH($A324,Community_Register!$A$2:$A$402,0))="","",INDEX(Community_Register!$B$2:$B$402,MATCH($A324,Community_Register!$A$2:$A$402,0))),""))</f>
        <v/>
      </c>
      <c r="H324" s="11">
        <f>IF($C324="","",IF($C324&lt;1,"yes","no"))</f>
        <v/>
      </c>
      <c r="I324" s="11">
        <f>IF($C324="","",IF($C324&lt;2.6,"r75",IF($C324&lt;5.2,"r110",IF($C324&lt;9.9,"r150",IF($C324&lt;19.8,"r210","r300")))))</f>
        <v/>
      </c>
      <c r="J324" s="11">
        <f>IF($C324="","",ROUND(SQRT($C324*10000/PI()),1))</f>
        <v/>
      </c>
      <c r="N324" s="11">
        <f>IF($A324="","",IFERROR(IF(INDEX(Community_Register!$S$2:$S$402,MATCH($A324,Community_Register!$A$2:$A$402,0))="","",INDEX(Community_Register!$S$2:$S$402,MATCH($A324,Community_Register!$A$2:$A$402,0))),""))</f>
        <v/>
      </c>
      <c r="O324" s="11">
        <f>IF($A324="","",IFERROR(IF(INDEX(Community_Register!$V$2:$V$402,MATCH($A324,Community_Register!$A$2:$A$402,0))="","",INDEX(Community_Register!$V$2:$V$402,MATCH($A324,Community_Register!$A$2:$A$402,0))),""))</f>
        <v/>
      </c>
      <c r="P324" s="11">
        <f>IF(OR($C324="",$N324="",NOT(ISNUMBER($N324))),"",$N324/$C324)</f>
        <v/>
      </c>
      <c r="Q324" s="11">
        <f>IF($C324="","",IF(OR($N324="",NOT(ISNUMBER($N324))),"B",IF(ABS($P324-1)&lt;=0.3,"A",IF(OR($P324&gt;2,$P324&lt;0.5),"C","B"))))</f>
        <v/>
      </c>
    </row>
    <row r="325">
      <c r="B325" s="11">
        <f>IF($A325="","",IFERROR(IF(INDEX(Community_Register!$B$2:$B$402,MATCH($A325,Community_Register!$A$2:$A$402,0))="","",INDEX(Community_Register!$B$2:$B$402,MATCH($A325,Community_Register!$A$2:$A$402,0))),""))</f>
        <v/>
      </c>
      <c r="H325" s="11">
        <f>IF($C325="","",IF($C325&lt;1,"yes","no"))</f>
        <v/>
      </c>
      <c r="I325" s="11">
        <f>IF($C325="","",IF($C325&lt;2.6,"r75",IF($C325&lt;5.2,"r110",IF($C325&lt;9.9,"r150",IF($C325&lt;19.8,"r210","r300")))))</f>
        <v/>
      </c>
      <c r="J325" s="11">
        <f>IF($C325="","",ROUND(SQRT($C325*10000/PI()),1))</f>
        <v/>
      </c>
      <c r="N325" s="11">
        <f>IF($A325="","",IFERROR(IF(INDEX(Community_Register!$S$2:$S$402,MATCH($A325,Community_Register!$A$2:$A$402,0))="","",INDEX(Community_Register!$S$2:$S$402,MATCH($A325,Community_Register!$A$2:$A$402,0))),""))</f>
        <v/>
      </c>
      <c r="O325" s="11">
        <f>IF($A325="","",IFERROR(IF(INDEX(Community_Register!$V$2:$V$402,MATCH($A325,Community_Register!$A$2:$A$402,0))="","",INDEX(Community_Register!$V$2:$V$402,MATCH($A325,Community_Register!$A$2:$A$402,0))),""))</f>
        <v/>
      </c>
      <c r="P325" s="11">
        <f>IF(OR($C325="",$N325="",NOT(ISNUMBER($N325))),"",$N325/$C325)</f>
        <v/>
      </c>
      <c r="Q325" s="11">
        <f>IF($C325="","",IF(OR($N325="",NOT(ISNUMBER($N325))),"B",IF(ABS($P325-1)&lt;=0.3,"A",IF(OR($P325&gt;2,$P325&lt;0.5),"C","B"))))</f>
        <v/>
      </c>
    </row>
    <row r="326">
      <c r="B326" s="11">
        <f>IF($A326="","",IFERROR(IF(INDEX(Community_Register!$B$2:$B$402,MATCH($A326,Community_Register!$A$2:$A$402,0))="","",INDEX(Community_Register!$B$2:$B$402,MATCH($A326,Community_Register!$A$2:$A$402,0))),""))</f>
        <v/>
      </c>
      <c r="H326" s="11">
        <f>IF($C326="","",IF($C326&lt;1,"yes","no"))</f>
        <v/>
      </c>
      <c r="I326" s="11">
        <f>IF($C326="","",IF($C326&lt;2.6,"r75",IF($C326&lt;5.2,"r110",IF($C326&lt;9.9,"r150",IF($C326&lt;19.8,"r210","r300")))))</f>
        <v/>
      </c>
      <c r="J326" s="11">
        <f>IF($C326="","",ROUND(SQRT($C326*10000/PI()),1))</f>
        <v/>
      </c>
      <c r="N326" s="11">
        <f>IF($A326="","",IFERROR(IF(INDEX(Community_Register!$S$2:$S$402,MATCH($A326,Community_Register!$A$2:$A$402,0))="","",INDEX(Community_Register!$S$2:$S$402,MATCH($A326,Community_Register!$A$2:$A$402,0))),""))</f>
        <v/>
      </c>
      <c r="O326" s="11">
        <f>IF($A326="","",IFERROR(IF(INDEX(Community_Register!$V$2:$V$402,MATCH($A326,Community_Register!$A$2:$A$402,0))="","",INDEX(Community_Register!$V$2:$V$402,MATCH($A326,Community_Register!$A$2:$A$402,0))),""))</f>
        <v/>
      </c>
      <c r="P326" s="11">
        <f>IF(OR($C326="",$N326="",NOT(ISNUMBER($N326))),"",$N326/$C326)</f>
        <v/>
      </c>
      <c r="Q326" s="11">
        <f>IF($C326="","",IF(OR($N326="",NOT(ISNUMBER($N326))),"B",IF(ABS($P326-1)&lt;=0.3,"A",IF(OR($P326&gt;2,$P326&lt;0.5),"C","B"))))</f>
        <v/>
      </c>
    </row>
    <row r="327">
      <c r="B327" s="11">
        <f>IF($A327="","",IFERROR(IF(INDEX(Community_Register!$B$2:$B$402,MATCH($A327,Community_Register!$A$2:$A$402,0))="","",INDEX(Community_Register!$B$2:$B$402,MATCH($A327,Community_Register!$A$2:$A$402,0))),""))</f>
        <v/>
      </c>
      <c r="H327" s="11">
        <f>IF($C327="","",IF($C327&lt;1,"yes","no"))</f>
        <v/>
      </c>
      <c r="I327" s="11">
        <f>IF($C327="","",IF($C327&lt;2.6,"r75",IF($C327&lt;5.2,"r110",IF($C327&lt;9.9,"r150",IF($C327&lt;19.8,"r210","r300")))))</f>
        <v/>
      </c>
      <c r="J327" s="11">
        <f>IF($C327="","",ROUND(SQRT($C327*10000/PI()),1))</f>
        <v/>
      </c>
      <c r="N327" s="11">
        <f>IF($A327="","",IFERROR(IF(INDEX(Community_Register!$S$2:$S$402,MATCH($A327,Community_Register!$A$2:$A$402,0))="","",INDEX(Community_Register!$S$2:$S$402,MATCH($A327,Community_Register!$A$2:$A$402,0))),""))</f>
        <v/>
      </c>
      <c r="O327" s="11">
        <f>IF($A327="","",IFERROR(IF(INDEX(Community_Register!$V$2:$V$402,MATCH($A327,Community_Register!$A$2:$A$402,0))="","",INDEX(Community_Register!$V$2:$V$402,MATCH($A327,Community_Register!$A$2:$A$402,0))),""))</f>
        <v/>
      </c>
      <c r="P327" s="11">
        <f>IF(OR($C327="",$N327="",NOT(ISNUMBER($N327))),"",$N327/$C327)</f>
        <v/>
      </c>
      <c r="Q327" s="11">
        <f>IF($C327="","",IF(OR($N327="",NOT(ISNUMBER($N327))),"B",IF(ABS($P327-1)&lt;=0.3,"A",IF(OR($P327&gt;2,$P327&lt;0.5),"C","B"))))</f>
        <v/>
      </c>
    </row>
    <row r="328">
      <c r="B328" s="11">
        <f>IF($A328="","",IFERROR(IF(INDEX(Community_Register!$B$2:$B$402,MATCH($A328,Community_Register!$A$2:$A$402,0))="","",INDEX(Community_Register!$B$2:$B$402,MATCH($A328,Community_Register!$A$2:$A$402,0))),""))</f>
        <v/>
      </c>
      <c r="H328" s="11">
        <f>IF($C328="","",IF($C328&lt;1,"yes","no"))</f>
        <v/>
      </c>
      <c r="I328" s="11">
        <f>IF($C328="","",IF($C328&lt;2.6,"r75",IF($C328&lt;5.2,"r110",IF($C328&lt;9.9,"r150",IF($C328&lt;19.8,"r210","r300")))))</f>
        <v/>
      </c>
      <c r="J328" s="11">
        <f>IF($C328="","",ROUND(SQRT($C328*10000/PI()),1))</f>
        <v/>
      </c>
      <c r="N328" s="11">
        <f>IF($A328="","",IFERROR(IF(INDEX(Community_Register!$S$2:$S$402,MATCH($A328,Community_Register!$A$2:$A$402,0))="","",INDEX(Community_Register!$S$2:$S$402,MATCH($A328,Community_Register!$A$2:$A$402,0))),""))</f>
        <v/>
      </c>
      <c r="O328" s="11">
        <f>IF($A328="","",IFERROR(IF(INDEX(Community_Register!$V$2:$V$402,MATCH($A328,Community_Register!$A$2:$A$402,0))="","",INDEX(Community_Register!$V$2:$V$402,MATCH($A328,Community_Register!$A$2:$A$402,0))),""))</f>
        <v/>
      </c>
      <c r="P328" s="11">
        <f>IF(OR($C328="",$N328="",NOT(ISNUMBER($N328))),"",$N328/$C328)</f>
        <v/>
      </c>
      <c r="Q328" s="11">
        <f>IF($C328="","",IF(OR($N328="",NOT(ISNUMBER($N328))),"B",IF(ABS($P328-1)&lt;=0.3,"A",IF(OR($P328&gt;2,$P328&lt;0.5),"C","B"))))</f>
        <v/>
      </c>
    </row>
    <row r="329">
      <c r="B329" s="11">
        <f>IF($A329="","",IFERROR(IF(INDEX(Community_Register!$B$2:$B$402,MATCH($A329,Community_Register!$A$2:$A$402,0))="","",INDEX(Community_Register!$B$2:$B$402,MATCH($A329,Community_Register!$A$2:$A$402,0))),""))</f>
        <v/>
      </c>
      <c r="H329" s="11">
        <f>IF($C329="","",IF($C329&lt;1,"yes","no"))</f>
        <v/>
      </c>
      <c r="I329" s="11">
        <f>IF($C329="","",IF($C329&lt;2.6,"r75",IF($C329&lt;5.2,"r110",IF($C329&lt;9.9,"r150",IF($C329&lt;19.8,"r210","r300")))))</f>
        <v/>
      </c>
      <c r="J329" s="11">
        <f>IF($C329="","",ROUND(SQRT($C329*10000/PI()),1))</f>
        <v/>
      </c>
      <c r="N329" s="11">
        <f>IF($A329="","",IFERROR(IF(INDEX(Community_Register!$S$2:$S$402,MATCH($A329,Community_Register!$A$2:$A$402,0))="","",INDEX(Community_Register!$S$2:$S$402,MATCH($A329,Community_Register!$A$2:$A$402,0))),""))</f>
        <v/>
      </c>
      <c r="O329" s="11">
        <f>IF($A329="","",IFERROR(IF(INDEX(Community_Register!$V$2:$V$402,MATCH($A329,Community_Register!$A$2:$A$402,0))="","",INDEX(Community_Register!$V$2:$V$402,MATCH($A329,Community_Register!$A$2:$A$402,0))),""))</f>
        <v/>
      </c>
      <c r="P329" s="11">
        <f>IF(OR($C329="",$N329="",NOT(ISNUMBER($N329))),"",$N329/$C329)</f>
        <v/>
      </c>
      <c r="Q329" s="11">
        <f>IF($C329="","",IF(OR($N329="",NOT(ISNUMBER($N329))),"B",IF(ABS($P329-1)&lt;=0.3,"A",IF(OR($P329&gt;2,$P329&lt;0.5),"C","B"))))</f>
        <v/>
      </c>
    </row>
    <row r="330">
      <c r="B330" s="11">
        <f>IF($A330="","",IFERROR(IF(INDEX(Community_Register!$B$2:$B$402,MATCH($A330,Community_Register!$A$2:$A$402,0))="","",INDEX(Community_Register!$B$2:$B$402,MATCH($A330,Community_Register!$A$2:$A$402,0))),""))</f>
        <v/>
      </c>
      <c r="H330" s="11">
        <f>IF($C330="","",IF($C330&lt;1,"yes","no"))</f>
        <v/>
      </c>
      <c r="I330" s="11">
        <f>IF($C330="","",IF($C330&lt;2.6,"r75",IF($C330&lt;5.2,"r110",IF($C330&lt;9.9,"r150",IF($C330&lt;19.8,"r210","r300")))))</f>
        <v/>
      </c>
      <c r="J330" s="11">
        <f>IF($C330="","",ROUND(SQRT($C330*10000/PI()),1))</f>
        <v/>
      </c>
      <c r="N330" s="11">
        <f>IF($A330="","",IFERROR(IF(INDEX(Community_Register!$S$2:$S$402,MATCH($A330,Community_Register!$A$2:$A$402,0))="","",INDEX(Community_Register!$S$2:$S$402,MATCH($A330,Community_Register!$A$2:$A$402,0))),""))</f>
        <v/>
      </c>
      <c r="O330" s="11">
        <f>IF($A330="","",IFERROR(IF(INDEX(Community_Register!$V$2:$V$402,MATCH($A330,Community_Register!$A$2:$A$402,0))="","",INDEX(Community_Register!$V$2:$V$402,MATCH($A330,Community_Register!$A$2:$A$402,0))),""))</f>
        <v/>
      </c>
      <c r="P330" s="11">
        <f>IF(OR($C330="",$N330="",NOT(ISNUMBER($N330))),"",$N330/$C330)</f>
        <v/>
      </c>
      <c r="Q330" s="11">
        <f>IF($C330="","",IF(OR($N330="",NOT(ISNUMBER($N330))),"B",IF(ABS($P330-1)&lt;=0.3,"A",IF(OR($P330&gt;2,$P330&lt;0.5),"C","B"))))</f>
        <v/>
      </c>
    </row>
    <row r="331">
      <c r="B331" s="11">
        <f>IF($A331="","",IFERROR(IF(INDEX(Community_Register!$B$2:$B$402,MATCH($A331,Community_Register!$A$2:$A$402,0))="","",INDEX(Community_Register!$B$2:$B$402,MATCH($A331,Community_Register!$A$2:$A$402,0))),""))</f>
        <v/>
      </c>
      <c r="H331" s="11">
        <f>IF($C331="","",IF($C331&lt;1,"yes","no"))</f>
        <v/>
      </c>
      <c r="I331" s="11">
        <f>IF($C331="","",IF($C331&lt;2.6,"r75",IF($C331&lt;5.2,"r110",IF($C331&lt;9.9,"r150",IF($C331&lt;19.8,"r210","r300")))))</f>
        <v/>
      </c>
      <c r="J331" s="11">
        <f>IF($C331="","",ROUND(SQRT($C331*10000/PI()),1))</f>
        <v/>
      </c>
      <c r="N331" s="11">
        <f>IF($A331="","",IFERROR(IF(INDEX(Community_Register!$S$2:$S$402,MATCH($A331,Community_Register!$A$2:$A$402,0))="","",INDEX(Community_Register!$S$2:$S$402,MATCH($A331,Community_Register!$A$2:$A$402,0))),""))</f>
        <v/>
      </c>
      <c r="O331" s="11">
        <f>IF($A331="","",IFERROR(IF(INDEX(Community_Register!$V$2:$V$402,MATCH($A331,Community_Register!$A$2:$A$402,0))="","",INDEX(Community_Register!$V$2:$V$402,MATCH($A331,Community_Register!$A$2:$A$402,0))),""))</f>
        <v/>
      </c>
      <c r="P331" s="11">
        <f>IF(OR($C331="",$N331="",NOT(ISNUMBER($N331))),"",$N331/$C331)</f>
        <v/>
      </c>
      <c r="Q331" s="11">
        <f>IF($C331="","",IF(OR($N331="",NOT(ISNUMBER($N331))),"B",IF(ABS($P331-1)&lt;=0.3,"A",IF(OR($P331&gt;2,$P331&lt;0.5),"C","B"))))</f>
        <v/>
      </c>
    </row>
    <row r="332">
      <c r="B332" s="11">
        <f>IF($A332="","",IFERROR(IF(INDEX(Community_Register!$B$2:$B$402,MATCH($A332,Community_Register!$A$2:$A$402,0))="","",INDEX(Community_Register!$B$2:$B$402,MATCH($A332,Community_Register!$A$2:$A$402,0))),""))</f>
        <v/>
      </c>
      <c r="H332" s="11">
        <f>IF($C332="","",IF($C332&lt;1,"yes","no"))</f>
        <v/>
      </c>
      <c r="I332" s="11">
        <f>IF($C332="","",IF($C332&lt;2.6,"r75",IF($C332&lt;5.2,"r110",IF($C332&lt;9.9,"r150",IF($C332&lt;19.8,"r210","r300")))))</f>
        <v/>
      </c>
      <c r="J332" s="11">
        <f>IF($C332="","",ROUND(SQRT($C332*10000/PI()),1))</f>
        <v/>
      </c>
      <c r="N332" s="11">
        <f>IF($A332="","",IFERROR(IF(INDEX(Community_Register!$S$2:$S$402,MATCH($A332,Community_Register!$A$2:$A$402,0))="","",INDEX(Community_Register!$S$2:$S$402,MATCH($A332,Community_Register!$A$2:$A$402,0))),""))</f>
        <v/>
      </c>
      <c r="O332" s="11">
        <f>IF($A332="","",IFERROR(IF(INDEX(Community_Register!$V$2:$V$402,MATCH($A332,Community_Register!$A$2:$A$402,0))="","",INDEX(Community_Register!$V$2:$V$402,MATCH($A332,Community_Register!$A$2:$A$402,0))),""))</f>
        <v/>
      </c>
      <c r="P332" s="11">
        <f>IF(OR($C332="",$N332="",NOT(ISNUMBER($N332))),"",$N332/$C332)</f>
        <v/>
      </c>
      <c r="Q332" s="11">
        <f>IF($C332="","",IF(OR($N332="",NOT(ISNUMBER($N332))),"B",IF(ABS($P332-1)&lt;=0.3,"A",IF(OR($P332&gt;2,$P332&lt;0.5),"C","B"))))</f>
        <v/>
      </c>
    </row>
    <row r="333">
      <c r="B333" s="11">
        <f>IF($A333="","",IFERROR(IF(INDEX(Community_Register!$B$2:$B$402,MATCH($A333,Community_Register!$A$2:$A$402,0))="","",INDEX(Community_Register!$B$2:$B$402,MATCH($A333,Community_Register!$A$2:$A$402,0))),""))</f>
        <v/>
      </c>
      <c r="H333" s="11">
        <f>IF($C333="","",IF($C333&lt;1,"yes","no"))</f>
        <v/>
      </c>
      <c r="I333" s="11">
        <f>IF($C333="","",IF($C333&lt;2.6,"r75",IF($C333&lt;5.2,"r110",IF($C333&lt;9.9,"r150",IF($C333&lt;19.8,"r210","r300")))))</f>
        <v/>
      </c>
      <c r="J333" s="11">
        <f>IF($C333="","",ROUND(SQRT($C333*10000/PI()),1))</f>
        <v/>
      </c>
      <c r="N333" s="11">
        <f>IF($A333="","",IFERROR(IF(INDEX(Community_Register!$S$2:$S$402,MATCH($A333,Community_Register!$A$2:$A$402,0))="","",INDEX(Community_Register!$S$2:$S$402,MATCH($A333,Community_Register!$A$2:$A$402,0))),""))</f>
        <v/>
      </c>
      <c r="O333" s="11">
        <f>IF($A333="","",IFERROR(IF(INDEX(Community_Register!$V$2:$V$402,MATCH($A333,Community_Register!$A$2:$A$402,0))="","",INDEX(Community_Register!$V$2:$V$402,MATCH($A333,Community_Register!$A$2:$A$402,0))),""))</f>
        <v/>
      </c>
      <c r="P333" s="11">
        <f>IF(OR($C333="",$N333="",NOT(ISNUMBER($N333))),"",$N333/$C333)</f>
        <v/>
      </c>
      <c r="Q333" s="11">
        <f>IF($C333="","",IF(OR($N333="",NOT(ISNUMBER($N333))),"B",IF(ABS($P333-1)&lt;=0.3,"A",IF(OR($P333&gt;2,$P333&lt;0.5),"C","B"))))</f>
        <v/>
      </c>
    </row>
    <row r="334">
      <c r="B334" s="11">
        <f>IF($A334="","",IFERROR(IF(INDEX(Community_Register!$B$2:$B$402,MATCH($A334,Community_Register!$A$2:$A$402,0))="","",INDEX(Community_Register!$B$2:$B$402,MATCH($A334,Community_Register!$A$2:$A$402,0))),""))</f>
        <v/>
      </c>
      <c r="H334" s="11">
        <f>IF($C334="","",IF($C334&lt;1,"yes","no"))</f>
        <v/>
      </c>
      <c r="I334" s="11">
        <f>IF($C334="","",IF($C334&lt;2.6,"r75",IF($C334&lt;5.2,"r110",IF($C334&lt;9.9,"r150",IF($C334&lt;19.8,"r210","r300")))))</f>
        <v/>
      </c>
      <c r="J334" s="11">
        <f>IF($C334="","",ROUND(SQRT($C334*10000/PI()),1))</f>
        <v/>
      </c>
      <c r="N334" s="11">
        <f>IF($A334="","",IFERROR(IF(INDEX(Community_Register!$S$2:$S$402,MATCH($A334,Community_Register!$A$2:$A$402,0))="","",INDEX(Community_Register!$S$2:$S$402,MATCH($A334,Community_Register!$A$2:$A$402,0))),""))</f>
        <v/>
      </c>
      <c r="O334" s="11">
        <f>IF($A334="","",IFERROR(IF(INDEX(Community_Register!$V$2:$V$402,MATCH($A334,Community_Register!$A$2:$A$402,0))="","",INDEX(Community_Register!$V$2:$V$402,MATCH($A334,Community_Register!$A$2:$A$402,0))),""))</f>
        <v/>
      </c>
      <c r="P334" s="11">
        <f>IF(OR($C334="",$N334="",NOT(ISNUMBER($N334))),"",$N334/$C334)</f>
        <v/>
      </c>
      <c r="Q334" s="11">
        <f>IF($C334="","",IF(OR($N334="",NOT(ISNUMBER($N334))),"B",IF(ABS($P334-1)&lt;=0.3,"A",IF(OR($P334&gt;2,$P334&lt;0.5),"C","B"))))</f>
        <v/>
      </c>
    </row>
    <row r="335">
      <c r="B335" s="11">
        <f>IF($A335="","",IFERROR(IF(INDEX(Community_Register!$B$2:$B$402,MATCH($A335,Community_Register!$A$2:$A$402,0))="","",INDEX(Community_Register!$B$2:$B$402,MATCH($A335,Community_Register!$A$2:$A$402,0))),""))</f>
        <v/>
      </c>
      <c r="H335" s="11">
        <f>IF($C335="","",IF($C335&lt;1,"yes","no"))</f>
        <v/>
      </c>
      <c r="I335" s="11">
        <f>IF($C335="","",IF($C335&lt;2.6,"r75",IF($C335&lt;5.2,"r110",IF($C335&lt;9.9,"r150",IF($C335&lt;19.8,"r210","r300")))))</f>
        <v/>
      </c>
      <c r="J335" s="11">
        <f>IF($C335="","",ROUND(SQRT($C335*10000/PI()),1))</f>
        <v/>
      </c>
      <c r="N335" s="11">
        <f>IF($A335="","",IFERROR(IF(INDEX(Community_Register!$S$2:$S$402,MATCH($A335,Community_Register!$A$2:$A$402,0))="","",INDEX(Community_Register!$S$2:$S$402,MATCH($A335,Community_Register!$A$2:$A$402,0))),""))</f>
        <v/>
      </c>
      <c r="O335" s="11">
        <f>IF($A335="","",IFERROR(IF(INDEX(Community_Register!$V$2:$V$402,MATCH($A335,Community_Register!$A$2:$A$402,0))="","",INDEX(Community_Register!$V$2:$V$402,MATCH($A335,Community_Register!$A$2:$A$402,0))),""))</f>
        <v/>
      </c>
      <c r="P335" s="11">
        <f>IF(OR($C335="",$N335="",NOT(ISNUMBER($N335))),"",$N335/$C335)</f>
        <v/>
      </c>
      <c r="Q335" s="11">
        <f>IF($C335="","",IF(OR($N335="",NOT(ISNUMBER($N335))),"B",IF(ABS($P335-1)&lt;=0.3,"A",IF(OR($P335&gt;2,$P335&lt;0.5),"C","B"))))</f>
        <v/>
      </c>
    </row>
    <row r="336">
      <c r="B336" s="11">
        <f>IF($A336="","",IFERROR(IF(INDEX(Community_Register!$B$2:$B$402,MATCH($A336,Community_Register!$A$2:$A$402,0))="","",INDEX(Community_Register!$B$2:$B$402,MATCH($A336,Community_Register!$A$2:$A$402,0))),""))</f>
        <v/>
      </c>
      <c r="H336" s="11">
        <f>IF($C336="","",IF($C336&lt;1,"yes","no"))</f>
        <v/>
      </c>
      <c r="I336" s="11">
        <f>IF($C336="","",IF($C336&lt;2.6,"r75",IF($C336&lt;5.2,"r110",IF($C336&lt;9.9,"r150",IF($C336&lt;19.8,"r210","r300")))))</f>
        <v/>
      </c>
      <c r="J336" s="11">
        <f>IF($C336="","",ROUND(SQRT($C336*10000/PI()),1))</f>
        <v/>
      </c>
      <c r="N336" s="11">
        <f>IF($A336="","",IFERROR(IF(INDEX(Community_Register!$S$2:$S$402,MATCH($A336,Community_Register!$A$2:$A$402,0))="","",INDEX(Community_Register!$S$2:$S$402,MATCH($A336,Community_Register!$A$2:$A$402,0))),""))</f>
        <v/>
      </c>
      <c r="O336" s="11">
        <f>IF($A336="","",IFERROR(IF(INDEX(Community_Register!$V$2:$V$402,MATCH($A336,Community_Register!$A$2:$A$402,0))="","",INDEX(Community_Register!$V$2:$V$402,MATCH($A336,Community_Register!$A$2:$A$402,0))),""))</f>
        <v/>
      </c>
      <c r="P336" s="11">
        <f>IF(OR($C336="",$N336="",NOT(ISNUMBER($N336))),"",$N336/$C336)</f>
        <v/>
      </c>
      <c r="Q336" s="11">
        <f>IF($C336="","",IF(OR($N336="",NOT(ISNUMBER($N336))),"B",IF(ABS($P336-1)&lt;=0.3,"A",IF(OR($P336&gt;2,$P336&lt;0.5),"C","B"))))</f>
        <v/>
      </c>
    </row>
    <row r="337">
      <c r="B337" s="11">
        <f>IF($A337="","",IFERROR(IF(INDEX(Community_Register!$B$2:$B$402,MATCH($A337,Community_Register!$A$2:$A$402,0))="","",INDEX(Community_Register!$B$2:$B$402,MATCH($A337,Community_Register!$A$2:$A$402,0))),""))</f>
        <v/>
      </c>
      <c r="H337" s="11">
        <f>IF($C337="","",IF($C337&lt;1,"yes","no"))</f>
        <v/>
      </c>
      <c r="I337" s="11">
        <f>IF($C337="","",IF($C337&lt;2.6,"r75",IF($C337&lt;5.2,"r110",IF($C337&lt;9.9,"r150",IF($C337&lt;19.8,"r210","r300")))))</f>
        <v/>
      </c>
      <c r="J337" s="11">
        <f>IF($C337="","",ROUND(SQRT($C337*10000/PI()),1))</f>
        <v/>
      </c>
      <c r="N337" s="11">
        <f>IF($A337="","",IFERROR(IF(INDEX(Community_Register!$S$2:$S$402,MATCH($A337,Community_Register!$A$2:$A$402,0))="","",INDEX(Community_Register!$S$2:$S$402,MATCH($A337,Community_Register!$A$2:$A$402,0))),""))</f>
        <v/>
      </c>
      <c r="O337" s="11">
        <f>IF($A337="","",IFERROR(IF(INDEX(Community_Register!$V$2:$V$402,MATCH($A337,Community_Register!$A$2:$A$402,0))="","",INDEX(Community_Register!$V$2:$V$402,MATCH($A337,Community_Register!$A$2:$A$402,0))),""))</f>
        <v/>
      </c>
      <c r="P337" s="11">
        <f>IF(OR($C337="",$N337="",NOT(ISNUMBER($N337))),"",$N337/$C337)</f>
        <v/>
      </c>
      <c r="Q337" s="11">
        <f>IF($C337="","",IF(OR($N337="",NOT(ISNUMBER($N337))),"B",IF(ABS($P337-1)&lt;=0.3,"A",IF(OR($P337&gt;2,$P337&lt;0.5),"C","B"))))</f>
        <v/>
      </c>
    </row>
    <row r="338">
      <c r="B338" s="11">
        <f>IF($A338="","",IFERROR(IF(INDEX(Community_Register!$B$2:$B$402,MATCH($A338,Community_Register!$A$2:$A$402,0))="","",INDEX(Community_Register!$B$2:$B$402,MATCH($A338,Community_Register!$A$2:$A$402,0))),""))</f>
        <v/>
      </c>
      <c r="H338" s="11">
        <f>IF($C338="","",IF($C338&lt;1,"yes","no"))</f>
        <v/>
      </c>
      <c r="I338" s="11">
        <f>IF($C338="","",IF($C338&lt;2.6,"r75",IF($C338&lt;5.2,"r110",IF($C338&lt;9.9,"r150",IF($C338&lt;19.8,"r210","r300")))))</f>
        <v/>
      </c>
      <c r="J338" s="11">
        <f>IF($C338="","",ROUND(SQRT($C338*10000/PI()),1))</f>
        <v/>
      </c>
      <c r="N338" s="11">
        <f>IF($A338="","",IFERROR(IF(INDEX(Community_Register!$S$2:$S$402,MATCH($A338,Community_Register!$A$2:$A$402,0))="","",INDEX(Community_Register!$S$2:$S$402,MATCH($A338,Community_Register!$A$2:$A$402,0))),""))</f>
        <v/>
      </c>
      <c r="O338" s="11">
        <f>IF($A338="","",IFERROR(IF(INDEX(Community_Register!$V$2:$V$402,MATCH($A338,Community_Register!$A$2:$A$402,0))="","",INDEX(Community_Register!$V$2:$V$402,MATCH($A338,Community_Register!$A$2:$A$402,0))),""))</f>
        <v/>
      </c>
      <c r="P338" s="11">
        <f>IF(OR($C338="",$N338="",NOT(ISNUMBER($N338))),"",$N338/$C338)</f>
        <v/>
      </c>
      <c r="Q338" s="11">
        <f>IF($C338="","",IF(OR($N338="",NOT(ISNUMBER($N338))),"B",IF(ABS($P338-1)&lt;=0.3,"A",IF(OR($P338&gt;2,$P338&lt;0.5),"C","B"))))</f>
        <v/>
      </c>
    </row>
    <row r="339">
      <c r="B339" s="11">
        <f>IF($A339="","",IFERROR(IF(INDEX(Community_Register!$B$2:$B$402,MATCH($A339,Community_Register!$A$2:$A$402,0))="","",INDEX(Community_Register!$B$2:$B$402,MATCH($A339,Community_Register!$A$2:$A$402,0))),""))</f>
        <v/>
      </c>
      <c r="H339" s="11">
        <f>IF($C339="","",IF($C339&lt;1,"yes","no"))</f>
        <v/>
      </c>
      <c r="I339" s="11">
        <f>IF($C339="","",IF($C339&lt;2.6,"r75",IF($C339&lt;5.2,"r110",IF($C339&lt;9.9,"r150",IF($C339&lt;19.8,"r210","r300")))))</f>
        <v/>
      </c>
      <c r="J339" s="11">
        <f>IF($C339="","",ROUND(SQRT($C339*10000/PI()),1))</f>
        <v/>
      </c>
      <c r="N339" s="11">
        <f>IF($A339="","",IFERROR(IF(INDEX(Community_Register!$S$2:$S$402,MATCH($A339,Community_Register!$A$2:$A$402,0))="","",INDEX(Community_Register!$S$2:$S$402,MATCH($A339,Community_Register!$A$2:$A$402,0))),""))</f>
        <v/>
      </c>
      <c r="O339" s="11">
        <f>IF($A339="","",IFERROR(IF(INDEX(Community_Register!$V$2:$V$402,MATCH($A339,Community_Register!$A$2:$A$402,0))="","",INDEX(Community_Register!$V$2:$V$402,MATCH($A339,Community_Register!$A$2:$A$402,0))),""))</f>
        <v/>
      </c>
      <c r="P339" s="11">
        <f>IF(OR($C339="",$N339="",NOT(ISNUMBER($N339))),"",$N339/$C339)</f>
        <v/>
      </c>
      <c r="Q339" s="11">
        <f>IF($C339="","",IF(OR($N339="",NOT(ISNUMBER($N339))),"B",IF(ABS($P339-1)&lt;=0.3,"A",IF(OR($P339&gt;2,$P339&lt;0.5),"C","B"))))</f>
        <v/>
      </c>
    </row>
    <row r="340">
      <c r="B340" s="11">
        <f>IF($A340="","",IFERROR(IF(INDEX(Community_Register!$B$2:$B$402,MATCH($A340,Community_Register!$A$2:$A$402,0))="","",INDEX(Community_Register!$B$2:$B$402,MATCH($A340,Community_Register!$A$2:$A$402,0))),""))</f>
        <v/>
      </c>
      <c r="H340" s="11">
        <f>IF($C340="","",IF($C340&lt;1,"yes","no"))</f>
        <v/>
      </c>
      <c r="I340" s="11">
        <f>IF($C340="","",IF($C340&lt;2.6,"r75",IF($C340&lt;5.2,"r110",IF($C340&lt;9.9,"r150",IF($C340&lt;19.8,"r210","r300")))))</f>
        <v/>
      </c>
      <c r="J340" s="11">
        <f>IF($C340="","",ROUND(SQRT($C340*10000/PI()),1))</f>
        <v/>
      </c>
      <c r="N340" s="11">
        <f>IF($A340="","",IFERROR(IF(INDEX(Community_Register!$S$2:$S$402,MATCH($A340,Community_Register!$A$2:$A$402,0))="","",INDEX(Community_Register!$S$2:$S$402,MATCH($A340,Community_Register!$A$2:$A$402,0))),""))</f>
        <v/>
      </c>
      <c r="O340" s="11">
        <f>IF($A340="","",IFERROR(IF(INDEX(Community_Register!$V$2:$V$402,MATCH($A340,Community_Register!$A$2:$A$402,0))="","",INDEX(Community_Register!$V$2:$V$402,MATCH($A340,Community_Register!$A$2:$A$402,0))),""))</f>
        <v/>
      </c>
      <c r="P340" s="11">
        <f>IF(OR($C340="",$N340="",NOT(ISNUMBER($N340))),"",$N340/$C340)</f>
        <v/>
      </c>
      <c r="Q340" s="11">
        <f>IF($C340="","",IF(OR($N340="",NOT(ISNUMBER($N340))),"B",IF(ABS($P340-1)&lt;=0.3,"A",IF(OR($P340&gt;2,$P340&lt;0.5),"C","B"))))</f>
        <v/>
      </c>
    </row>
    <row r="341">
      <c r="B341" s="11">
        <f>IF($A341="","",IFERROR(IF(INDEX(Community_Register!$B$2:$B$402,MATCH($A341,Community_Register!$A$2:$A$402,0))="","",INDEX(Community_Register!$B$2:$B$402,MATCH($A341,Community_Register!$A$2:$A$402,0))),""))</f>
        <v/>
      </c>
      <c r="H341" s="11">
        <f>IF($C341="","",IF($C341&lt;1,"yes","no"))</f>
        <v/>
      </c>
      <c r="I341" s="11">
        <f>IF($C341="","",IF($C341&lt;2.6,"r75",IF($C341&lt;5.2,"r110",IF($C341&lt;9.9,"r150",IF($C341&lt;19.8,"r210","r300")))))</f>
        <v/>
      </c>
      <c r="J341" s="11">
        <f>IF($C341="","",ROUND(SQRT($C341*10000/PI()),1))</f>
        <v/>
      </c>
      <c r="N341" s="11">
        <f>IF($A341="","",IFERROR(IF(INDEX(Community_Register!$S$2:$S$402,MATCH($A341,Community_Register!$A$2:$A$402,0))="","",INDEX(Community_Register!$S$2:$S$402,MATCH($A341,Community_Register!$A$2:$A$402,0))),""))</f>
        <v/>
      </c>
      <c r="O341" s="11">
        <f>IF($A341="","",IFERROR(IF(INDEX(Community_Register!$V$2:$V$402,MATCH($A341,Community_Register!$A$2:$A$402,0))="","",INDEX(Community_Register!$V$2:$V$402,MATCH($A341,Community_Register!$A$2:$A$402,0))),""))</f>
        <v/>
      </c>
      <c r="P341" s="11">
        <f>IF(OR($C341="",$N341="",NOT(ISNUMBER($N341))),"",$N341/$C341)</f>
        <v/>
      </c>
      <c r="Q341" s="11">
        <f>IF($C341="","",IF(OR($N341="",NOT(ISNUMBER($N341))),"B",IF(ABS($P341-1)&lt;=0.3,"A",IF(OR($P341&gt;2,$P341&lt;0.5),"C","B"))))</f>
        <v/>
      </c>
    </row>
    <row r="342">
      <c r="B342" s="11">
        <f>IF($A342="","",IFERROR(IF(INDEX(Community_Register!$B$2:$B$402,MATCH($A342,Community_Register!$A$2:$A$402,0))="","",INDEX(Community_Register!$B$2:$B$402,MATCH($A342,Community_Register!$A$2:$A$402,0))),""))</f>
        <v/>
      </c>
      <c r="H342" s="11">
        <f>IF($C342="","",IF($C342&lt;1,"yes","no"))</f>
        <v/>
      </c>
      <c r="I342" s="11">
        <f>IF($C342="","",IF($C342&lt;2.6,"r75",IF($C342&lt;5.2,"r110",IF($C342&lt;9.9,"r150",IF($C342&lt;19.8,"r210","r300")))))</f>
        <v/>
      </c>
      <c r="J342" s="11">
        <f>IF($C342="","",ROUND(SQRT($C342*10000/PI()),1))</f>
        <v/>
      </c>
      <c r="N342" s="11">
        <f>IF($A342="","",IFERROR(IF(INDEX(Community_Register!$S$2:$S$402,MATCH($A342,Community_Register!$A$2:$A$402,0))="","",INDEX(Community_Register!$S$2:$S$402,MATCH($A342,Community_Register!$A$2:$A$402,0))),""))</f>
        <v/>
      </c>
      <c r="O342" s="11">
        <f>IF($A342="","",IFERROR(IF(INDEX(Community_Register!$V$2:$V$402,MATCH($A342,Community_Register!$A$2:$A$402,0))="","",INDEX(Community_Register!$V$2:$V$402,MATCH($A342,Community_Register!$A$2:$A$402,0))),""))</f>
        <v/>
      </c>
      <c r="P342" s="11">
        <f>IF(OR($C342="",$N342="",NOT(ISNUMBER($N342))),"",$N342/$C342)</f>
        <v/>
      </c>
      <c r="Q342" s="11">
        <f>IF($C342="","",IF(OR($N342="",NOT(ISNUMBER($N342))),"B",IF(ABS($P342-1)&lt;=0.3,"A",IF(OR($P342&gt;2,$P342&lt;0.5),"C","B"))))</f>
        <v/>
      </c>
    </row>
    <row r="343">
      <c r="B343" s="11">
        <f>IF($A343="","",IFERROR(IF(INDEX(Community_Register!$B$2:$B$402,MATCH($A343,Community_Register!$A$2:$A$402,0))="","",INDEX(Community_Register!$B$2:$B$402,MATCH($A343,Community_Register!$A$2:$A$402,0))),""))</f>
        <v/>
      </c>
      <c r="H343" s="11">
        <f>IF($C343="","",IF($C343&lt;1,"yes","no"))</f>
        <v/>
      </c>
      <c r="I343" s="11">
        <f>IF($C343="","",IF($C343&lt;2.6,"r75",IF($C343&lt;5.2,"r110",IF($C343&lt;9.9,"r150",IF($C343&lt;19.8,"r210","r300")))))</f>
        <v/>
      </c>
      <c r="J343" s="11">
        <f>IF($C343="","",ROUND(SQRT($C343*10000/PI()),1))</f>
        <v/>
      </c>
      <c r="N343" s="11">
        <f>IF($A343="","",IFERROR(IF(INDEX(Community_Register!$S$2:$S$402,MATCH($A343,Community_Register!$A$2:$A$402,0))="","",INDEX(Community_Register!$S$2:$S$402,MATCH($A343,Community_Register!$A$2:$A$402,0))),""))</f>
        <v/>
      </c>
      <c r="O343" s="11">
        <f>IF($A343="","",IFERROR(IF(INDEX(Community_Register!$V$2:$V$402,MATCH($A343,Community_Register!$A$2:$A$402,0))="","",INDEX(Community_Register!$V$2:$V$402,MATCH($A343,Community_Register!$A$2:$A$402,0))),""))</f>
        <v/>
      </c>
      <c r="P343" s="11">
        <f>IF(OR($C343="",$N343="",NOT(ISNUMBER($N343))),"",$N343/$C343)</f>
        <v/>
      </c>
      <c r="Q343" s="11">
        <f>IF($C343="","",IF(OR($N343="",NOT(ISNUMBER($N343))),"B",IF(ABS($P343-1)&lt;=0.3,"A",IF(OR($P343&gt;2,$P343&lt;0.5),"C","B"))))</f>
        <v/>
      </c>
    </row>
    <row r="344">
      <c r="B344" s="11">
        <f>IF($A344="","",IFERROR(IF(INDEX(Community_Register!$B$2:$B$402,MATCH($A344,Community_Register!$A$2:$A$402,0))="","",INDEX(Community_Register!$B$2:$B$402,MATCH($A344,Community_Register!$A$2:$A$402,0))),""))</f>
        <v/>
      </c>
      <c r="H344" s="11">
        <f>IF($C344="","",IF($C344&lt;1,"yes","no"))</f>
        <v/>
      </c>
      <c r="I344" s="11">
        <f>IF($C344="","",IF($C344&lt;2.6,"r75",IF($C344&lt;5.2,"r110",IF($C344&lt;9.9,"r150",IF($C344&lt;19.8,"r210","r300")))))</f>
        <v/>
      </c>
      <c r="J344" s="11">
        <f>IF($C344="","",ROUND(SQRT($C344*10000/PI()),1))</f>
        <v/>
      </c>
      <c r="N344" s="11">
        <f>IF($A344="","",IFERROR(IF(INDEX(Community_Register!$S$2:$S$402,MATCH($A344,Community_Register!$A$2:$A$402,0))="","",INDEX(Community_Register!$S$2:$S$402,MATCH($A344,Community_Register!$A$2:$A$402,0))),""))</f>
        <v/>
      </c>
      <c r="O344" s="11">
        <f>IF($A344="","",IFERROR(IF(INDEX(Community_Register!$V$2:$V$402,MATCH($A344,Community_Register!$A$2:$A$402,0))="","",INDEX(Community_Register!$V$2:$V$402,MATCH($A344,Community_Register!$A$2:$A$402,0))),""))</f>
        <v/>
      </c>
      <c r="P344" s="11">
        <f>IF(OR($C344="",$N344="",NOT(ISNUMBER($N344))),"",$N344/$C344)</f>
        <v/>
      </c>
      <c r="Q344" s="11">
        <f>IF($C344="","",IF(OR($N344="",NOT(ISNUMBER($N344))),"B",IF(ABS($P344-1)&lt;=0.3,"A",IF(OR($P344&gt;2,$P344&lt;0.5),"C","B"))))</f>
        <v/>
      </c>
    </row>
    <row r="345">
      <c r="B345" s="11">
        <f>IF($A345="","",IFERROR(IF(INDEX(Community_Register!$B$2:$B$402,MATCH($A345,Community_Register!$A$2:$A$402,0))="","",INDEX(Community_Register!$B$2:$B$402,MATCH($A345,Community_Register!$A$2:$A$402,0))),""))</f>
        <v/>
      </c>
      <c r="H345" s="11">
        <f>IF($C345="","",IF($C345&lt;1,"yes","no"))</f>
        <v/>
      </c>
      <c r="I345" s="11">
        <f>IF($C345="","",IF($C345&lt;2.6,"r75",IF($C345&lt;5.2,"r110",IF($C345&lt;9.9,"r150",IF($C345&lt;19.8,"r210","r300")))))</f>
        <v/>
      </c>
      <c r="J345" s="11">
        <f>IF($C345="","",ROUND(SQRT($C345*10000/PI()),1))</f>
        <v/>
      </c>
      <c r="N345" s="11">
        <f>IF($A345="","",IFERROR(IF(INDEX(Community_Register!$S$2:$S$402,MATCH($A345,Community_Register!$A$2:$A$402,0))="","",INDEX(Community_Register!$S$2:$S$402,MATCH($A345,Community_Register!$A$2:$A$402,0))),""))</f>
        <v/>
      </c>
      <c r="O345" s="11">
        <f>IF($A345="","",IFERROR(IF(INDEX(Community_Register!$V$2:$V$402,MATCH($A345,Community_Register!$A$2:$A$402,0))="","",INDEX(Community_Register!$V$2:$V$402,MATCH($A345,Community_Register!$A$2:$A$402,0))),""))</f>
        <v/>
      </c>
      <c r="P345" s="11">
        <f>IF(OR($C345="",$N345="",NOT(ISNUMBER($N345))),"",$N345/$C345)</f>
        <v/>
      </c>
      <c r="Q345" s="11">
        <f>IF($C345="","",IF(OR($N345="",NOT(ISNUMBER($N345))),"B",IF(ABS($P345-1)&lt;=0.3,"A",IF(OR($P345&gt;2,$P345&lt;0.5),"C","B"))))</f>
        <v/>
      </c>
    </row>
    <row r="346">
      <c r="B346" s="11">
        <f>IF($A346="","",IFERROR(IF(INDEX(Community_Register!$B$2:$B$402,MATCH($A346,Community_Register!$A$2:$A$402,0))="","",INDEX(Community_Register!$B$2:$B$402,MATCH($A346,Community_Register!$A$2:$A$402,0))),""))</f>
        <v/>
      </c>
      <c r="H346" s="11">
        <f>IF($C346="","",IF($C346&lt;1,"yes","no"))</f>
        <v/>
      </c>
      <c r="I346" s="11">
        <f>IF($C346="","",IF($C346&lt;2.6,"r75",IF($C346&lt;5.2,"r110",IF($C346&lt;9.9,"r150",IF($C346&lt;19.8,"r210","r300")))))</f>
        <v/>
      </c>
      <c r="J346" s="11">
        <f>IF($C346="","",ROUND(SQRT($C346*10000/PI()),1))</f>
        <v/>
      </c>
      <c r="N346" s="11">
        <f>IF($A346="","",IFERROR(IF(INDEX(Community_Register!$S$2:$S$402,MATCH($A346,Community_Register!$A$2:$A$402,0))="","",INDEX(Community_Register!$S$2:$S$402,MATCH($A346,Community_Register!$A$2:$A$402,0))),""))</f>
        <v/>
      </c>
      <c r="O346" s="11">
        <f>IF($A346="","",IFERROR(IF(INDEX(Community_Register!$V$2:$V$402,MATCH($A346,Community_Register!$A$2:$A$402,0))="","",INDEX(Community_Register!$V$2:$V$402,MATCH($A346,Community_Register!$A$2:$A$402,0))),""))</f>
        <v/>
      </c>
      <c r="P346" s="11">
        <f>IF(OR($C346="",$N346="",NOT(ISNUMBER($N346))),"",$N346/$C346)</f>
        <v/>
      </c>
      <c r="Q346" s="11">
        <f>IF($C346="","",IF(OR($N346="",NOT(ISNUMBER($N346))),"B",IF(ABS($P346-1)&lt;=0.3,"A",IF(OR($P346&gt;2,$P346&lt;0.5),"C","B"))))</f>
        <v/>
      </c>
    </row>
    <row r="347">
      <c r="B347" s="11">
        <f>IF($A347="","",IFERROR(IF(INDEX(Community_Register!$B$2:$B$402,MATCH($A347,Community_Register!$A$2:$A$402,0))="","",INDEX(Community_Register!$B$2:$B$402,MATCH($A347,Community_Register!$A$2:$A$402,0))),""))</f>
        <v/>
      </c>
      <c r="H347" s="11">
        <f>IF($C347="","",IF($C347&lt;1,"yes","no"))</f>
        <v/>
      </c>
      <c r="I347" s="11">
        <f>IF($C347="","",IF($C347&lt;2.6,"r75",IF($C347&lt;5.2,"r110",IF($C347&lt;9.9,"r150",IF($C347&lt;19.8,"r210","r300")))))</f>
        <v/>
      </c>
      <c r="J347" s="11">
        <f>IF($C347="","",ROUND(SQRT($C347*10000/PI()),1))</f>
        <v/>
      </c>
      <c r="N347" s="11">
        <f>IF($A347="","",IFERROR(IF(INDEX(Community_Register!$S$2:$S$402,MATCH($A347,Community_Register!$A$2:$A$402,0))="","",INDEX(Community_Register!$S$2:$S$402,MATCH($A347,Community_Register!$A$2:$A$402,0))),""))</f>
        <v/>
      </c>
      <c r="O347" s="11">
        <f>IF($A347="","",IFERROR(IF(INDEX(Community_Register!$V$2:$V$402,MATCH($A347,Community_Register!$A$2:$A$402,0))="","",INDEX(Community_Register!$V$2:$V$402,MATCH($A347,Community_Register!$A$2:$A$402,0))),""))</f>
        <v/>
      </c>
      <c r="P347" s="11">
        <f>IF(OR($C347="",$N347="",NOT(ISNUMBER($N347))),"",$N347/$C347)</f>
        <v/>
      </c>
      <c r="Q347" s="11">
        <f>IF($C347="","",IF(OR($N347="",NOT(ISNUMBER($N347))),"B",IF(ABS($P347-1)&lt;=0.3,"A",IF(OR($P347&gt;2,$P347&lt;0.5),"C","B"))))</f>
        <v/>
      </c>
    </row>
    <row r="348">
      <c r="B348" s="11">
        <f>IF($A348="","",IFERROR(IF(INDEX(Community_Register!$B$2:$B$402,MATCH($A348,Community_Register!$A$2:$A$402,0))="","",INDEX(Community_Register!$B$2:$B$402,MATCH($A348,Community_Register!$A$2:$A$402,0))),""))</f>
        <v/>
      </c>
      <c r="H348" s="11">
        <f>IF($C348="","",IF($C348&lt;1,"yes","no"))</f>
        <v/>
      </c>
      <c r="I348" s="11">
        <f>IF($C348="","",IF($C348&lt;2.6,"r75",IF($C348&lt;5.2,"r110",IF($C348&lt;9.9,"r150",IF($C348&lt;19.8,"r210","r300")))))</f>
        <v/>
      </c>
      <c r="J348" s="11">
        <f>IF($C348="","",ROUND(SQRT($C348*10000/PI()),1))</f>
        <v/>
      </c>
      <c r="N348" s="11">
        <f>IF($A348="","",IFERROR(IF(INDEX(Community_Register!$S$2:$S$402,MATCH($A348,Community_Register!$A$2:$A$402,0))="","",INDEX(Community_Register!$S$2:$S$402,MATCH($A348,Community_Register!$A$2:$A$402,0))),""))</f>
        <v/>
      </c>
      <c r="O348" s="11">
        <f>IF($A348="","",IFERROR(IF(INDEX(Community_Register!$V$2:$V$402,MATCH($A348,Community_Register!$A$2:$A$402,0))="","",INDEX(Community_Register!$V$2:$V$402,MATCH($A348,Community_Register!$A$2:$A$402,0))),""))</f>
        <v/>
      </c>
      <c r="P348" s="11">
        <f>IF(OR($C348="",$N348="",NOT(ISNUMBER($N348))),"",$N348/$C348)</f>
        <v/>
      </c>
      <c r="Q348" s="11">
        <f>IF($C348="","",IF(OR($N348="",NOT(ISNUMBER($N348))),"B",IF(ABS($P348-1)&lt;=0.3,"A",IF(OR($P348&gt;2,$P348&lt;0.5),"C","B"))))</f>
        <v/>
      </c>
    </row>
    <row r="349">
      <c r="B349" s="11">
        <f>IF($A349="","",IFERROR(IF(INDEX(Community_Register!$B$2:$B$402,MATCH($A349,Community_Register!$A$2:$A$402,0))="","",INDEX(Community_Register!$B$2:$B$402,MATCH($A349,Community_Register!$A$2:$A$402,0))),""))</f>
        <v/>
      </c>
      <c r="H349" s="11">
        <f>IF($C349="","",IF($C349&lt;1,"yes","no"))</f>
        <v/>
      </c>
      <c r="I349" s="11">
        <f>IF($C349="","",IF($C349&lt;2.6,"r75",IF($C349&lt;5.2,"r110",IF($C349&lt;9.9,"r150",IF($C349&lt;19.8,"r210","r300")))))</f>
        <v/>
      </c>
      <c r="J349" s="11">
        <f>IF($C349="","",ROUND(SQRT($C349*10000/PI()),1))</f>
        <v/>
      </c>
      <c r="N349" s="11">
        <f>IF($A349="","",IFERROR(IF(INDEX(Community_Register!$S$2:$S$402,MATCH($A349,Community_Register!$A$2:$A$402,0))="","",INDEX(Community_Register!$S$2:$S$402,MATCH($A349,Community_Register!$A$2:$A$402,0))),""))</f>
        <v/>
      </c>
      <c r="O349" s="11">
        <f>IF($A349="","",IFERROR(IF(INDEX(Community_Register!$V$2:$V$402,MATCH($A349,Community_Register!$A$2:$A$402,0))="","",INDEX(Community_Register!$V$2:$V$402,MATCH($A349,Community_Register!$A$2:$A$402,0))),""))</f>
        <v/>
      </c>
      <c r="P349" s="11">
        <f>IF(OR($C349="",$N349="",NOT(ISNUMBER($N349))),"",$N349/$C349)</f>
        <v/>
      </c>
      <c r="Q349" s="11">
        <f>IF($C349="","",IF(OR($N349="",NOT(ISNUMBER($N349))),"B",IF(ABS($P349-1)&lt;=0.3,"A",IF(OR($P349&gt;2,$P349&lt;0.5),"C","B"))))</f>
        <v/>
      </c>
    </row>
    <row r="350">
      <c r="B350" s="11">
        <f>IF($A350="","",IFERROR(IF(INDEX(Community_Register!$B$2:$B$402,MATCH($A350,Community_Register!$A$2:$A$402,0))="","",INDEX(Community_Register!$B$2:$B$402,MATCH($A350,Community_Register!$A$2:$A$402,0))),""))</f>
        <v/>
      </c>
      <c r="H350" s="11">
        <f>IF($C350="","",IF($C350&lt;1,"yes","no"))</f>
        <v/>
      </c>
      <c r="I350" s="11">
        <f>IF($C350="","",IF($C350&lt;2.6,"r75",IF($C350&lt;5.2,"r110",IF($C350&lt;9.9,"r150",IF($C350&lt;19.8,"r210","r300")))))</f>
        <v/>
      </c>
      <c r="J350" s="11">
        <f>IF($C350="","",ROUND(SQRT($C350*10000/PI()),1))</f>
        <v/>
      </c>
      <c r="N350" s="11">
        <f>IF($A350="","",IFERROR(IF(INDEX(Community_Register!$S$2:$S$402,MATCH($A350,Community_Register!$A$2:$A$402,0))="","",INDEX(Community_Register!$S$2:$S$402,MATCH($A350,Community_Register!$A$2:$A$402,0))),""))</f>
        <v/>
      </c>
      <c r="O350" s="11">
        <f>IF($A350="","",IFERROR(IF(INDEX(Community_Register!$V$2:$V$402,MATCH($A350,Community_Register!$A$2:$A$402,0))="","",INDEX(Community_Register!$V$2:$V$402,MATCH($A350,Community_Register!$A$2:$A$402,0))),""))</f>
        <v/>
      </c>
      <c r="P350" s="11">
        <f>IF(OR($C350="",$N350="",NOT(ISNUMBER($N350))),"",$N350/$C350)</f>
        <v/>
      </c>
      <c r="Q350" s="11">
        <f>IF($C350="","",IF(OR($N350="",NOT(ISNUMBER($N350))),"B",IF(ABS($P350-1)&lt;=0.3,"A",IF(OR($P350&gt;2,$P350&lt;0.5),"C","B"))))</f>
        <v/>
      </c>
    </row>
    <row r="351">
      <c r="B351" s="11">
        <f>IF($A351="","",IFERROR(IF(INDEX(Community_Register!$B$2:$B$402,MATCH($A351,Community_Register!$A$2:$A$402,0))="","",INDEX(Community_Register!$B$2:$B$402,MATCH($A351,Community_Register!$A$2:$A$402,0))),""))</f>
        <v/>
      </c>
      <c r="H351" s="11">
        <f>IF($C351="","",IF($C351&lt;1,"yes","no"))</f>
        <v/>
      </c>
      <c r="I351" s="11">
        <f>IF($C351="","",IF($C351&lt;2.6,"r75",IF($C351&lt;5.2,"r110",IF($C351&lt;9.9,"r150",IF($C351&lt;19.8,"r210","r300")))))</f>
        <v/>
      </c>
      <c r="J351" s="11">
        <f>IF($C351="","",ROUND(SQRT($C351*10000/PI()),1))</f>
        <v/>
      </c>
      <c r="N351" s="11">
        <f>IF($A351="","",IFERROR(IF(INDEX(Community_Register!$S$2:$S$402,MATCH($A351,Community_Register!$A$2:$A$402,0))="","",INDEX(Community_Register!$S$2:$S$402,MATCH($A351,Community_Register!$A$2:$A$402,0))),""))</f>
        <v/>
      </c>
      <c r="O351" s="11">
        <f>IF($A351="","",IFERROR(IF(INDEX(Community_Register!$V$2:$V$402,MATCH($A351,Community_Register!$A$2:$A$402,0))="","",INDEX(Community_Register!$V$2:$V$402,MATCH($A351,Community_Register!$A$2:$A$402,0))),""))</f>
        <v/>
      </c>
      <c r="P351" s="11">
        <f>IF(OR($C351="",$N351="",NOT(ISNUMBER($N351))),"",$N351/$C351)</f>
        <v/>
      </c>
      <c r="Q351" s="11">
        <f>IF($C351="","",IF(OR($N351="",NOT(ISNUMBER($N351))),"B",IF(ABS($P351-1)&lt;=0.3,"A",IF(OR($P351&gt;2,$P351&lt;0.5),"C","B"))))</f>
        <v/>
      </c>
    </row>
    <row r="352">
      <c r="B352" s="11">
        <f>IF($A352="","",IFERROR(IF(INDEX(Community_Register!$B$2:$B$402,MATCH($A352,Community_Register!$A$2:$A$402,0))="","",INDEX(Community_Register!$B$2:$B$402,MATCH($A352,Community_Register!$A$2:$A$402,0))),""))</f>
        <v/>
      </c>
      <c r="H352" s="11">
        <f>IF($C352="","",IF($C352&lt;1,"yes","no"))</f>
        <v/>
      </c>
      <c r="I352" s="11">
        <f>IF($C352="","",IF($C352&lt;2.6,"r75",IF($C352&lt;5.2,"r110",IF($C352&lt;9.9,"r150",IF($C352&lt;19.8,"r210","r300")))))</f>
        <v/>
      </c>
      <c r="J352" s="11">
        <f>IF($C352="","",ROUND(SQRT($C352*10000/PI()),1))</f>
        <v/>
      </c>
      <c r="N352" s="11">
        <f>IF($A352="","",IFERROR(IF(INDEX(Community_Register!$S$2:$S$402,MATCH($A352,Community_Register!$A$2:$A$402,0))="","",INDEX(Community_Register!$S$2:$S$402,MATCH($A352,Community_Register!$A$2:$A$402,0))),""))</f>
        <v/>
      </c>
      <c r="O352" s="11">
        <f>IF($A352="","",IFERROR(IF(INDEX(Community_Register!$V$2:$V$402,MATCH($A352,Community_Register!$A$2:$A$402,0))="","",INDEX(Community_Register!$V$2:$V$402,MATCH($A352,Community_Register!$A$2:$A$402,0))),""))</f>
        <v/>
      </c>
      <c r="P352" s="11">
        <f>IF(OR($C352="",$N352="",NOT(ISNUMBER($N352))),"",$N352/$C352)</f>
        <v/>
      </c>
      <c r="Q352" s="11">
        <f>IF($C352="","",IF(OR($N352="",NOT(ISNUMBER($N352))),"B",IF(ABS($P352-1)&lt;=0.3,"A",IF(OR($P352&gt;2,$P352&lt;0.5),"C","B"))))</f>
        <v/>
      </c>
    </row>
    <row r="353">
      <c r="B353" s="11">
        <f>IF($A353="","",IFERROR(IF(INDEX(Community_Register!$B$2:$B$402,MATCH($A353,Community_Register!$A$2:$A$402,0))="","",INDEX(Community_Register!$B$2:$B$402,MATCH($A353,Community_Register!$A$2:$A$402,0))),""))</f>
        <v/>
      </c>
      <c r="H353" s="11">
        <f>IF($C353="","",IF($C353&lt;1,"yes","no"))</f>
        <v/>
      </c>
      <c r="I353" s="11">
        <f>IF($C353="","",IF($C353&lt;2.6,"r75",IF($C353&lt;5.2,"r110",IF($C353&lt;9.9,"r150",IF($C353&lt;19.8,"r210","r300")))))</f>
        <v/>
      </c>
      <c r="J353" s="11">
        <f>IF($C353="","",ROUND(SQRT($C353*10000/PI()),1))</f>
        <v/>
      </c>
      <c r="N353" s="11">
        <f>IF($A353="","",IFERROR(IF(INDEX(Community_Register!$S$2:$S$402,MATCH($A353,Community_Register!$A$2:$A$402,0))="","",INDEX(Community_Register!$S$2:$S$402,MATCH($A353,Community_Register!$A$2:$A$402,0))),""))</f>
        <v/>
      </c>
      <c r="O353" s="11">
        <f>IF($A353="","",IFERROR(IF(INDEX(Community_Register!$V$2:$V$402,MATCH($A353,Community_Register!$A$2:$A$402,0))="","",INDEX(Community_Register!$V$2:$V$402,MATCH($A353,Community_Register!$A$2:$A$402,0))),""))</f>
        <v/>
      </c>
      <c r="P353" s="11">
        <f>IF(OR($C353="",$N353="",NOT(ISNUMBER($N353))),"",$N353/$C353)</f>
        <v/>
      </c>
      <c r="Q353" s="11">
        <f>IF($C353="","",IF(OR($N353="",NOT(ISNUMBER($N353))),"B",IF(ABS($P353-1)&lt;=0.3,"A",IF(OR($P353&gt;2,$P353&lt;0.5),"C","B"))))</f>
        <v/>
      </c>
    </row>
    <row r="354">
      <c r="B354" s="11">
        <f>IF($A354="","",IFERROR(IF(INDEX(Community_Register!$B$2:$B$402,MATCH($A354,Community_Register!$A$2:$A$402,0))="","",INDEX(Community_Register!$B$2:$B$402,MATCH($A354,Community_Register!$A$2:$A$402,0))),""))</f>
        <v/>
      </c>
      <c r="H354" s="11">
        <f>IF($C354="","",IF($C354&lt;1,"yes","no"))</f>
        <v/>
      </c>
      <c r="I354" s="11">
        <f>IF($C354="","",IF($C354&lt;2.6,"r75",IF($C354&lt;5.2,"r110",IF($C354&lt;9.9,"r150",IF($C354&lt;19.8,"r210","r300")))))</f>
        <v/>
      </c>
      <c r="J354" s="11">
        <f>IF($C354="","",ROUND(SQRT($C354*10000/PI()),1))</f>
        <v/>
      </c>
      <c r="N354" s="11">
        <f>IF($A354="","",IFERROR(IF(INDEX(Community_Register!$S$2:$S$402,MATCH($A354,Community_Register!$A$2:$A$402,0))="","",INDEX(Community_Register!$S$2:$S$402,MATCH($A354,Community_Register!$A$2:$A$402,0))),""))</f>
        <v/>
      </c>
      <c r="O354" s="11">
        <f>IF($A354="","",IFERROR(IF(INDEX(Community_Register!$V$2:$V$402,MATCH($A354,Community_Register!$A$2:$A$402,0))="","",INDEX(Community_Register!$V$2:$V$402,MATCH($A354,Community_Register!$A$2:$A$402,0))),""))</f>
        <v/>
      </c>
      <c r="P354" s="11">
        <f>IF(OR($C354="",$N354="",NOT(ISNUMBER($N354))),"",$N354/$C354)</f>
        <v/>
      </c>
      <c r="Q354" s="11">
        <f>IF($C354="","",IF(OR($N354="",NOT(ISNUMBER($N354))),"B",IF(ABS($P354-1)&lt;=0.3,"A",IF(OR($P354&gt;2,$P354&lt;0.5),"C","B"))))</f>
        <v/>
      </c>
    </row>
    <row r="355">
      <c r="B355" s="11">
        <f>IF($A355="","",IFERROR(IF(INDEX(Community_Register!$B$2:$B$402,MATCH($A355,Community_Register!$A$2:$A$402,0))="","",INDEX(Community_Register!$B$2:$B$402,MATCH($A355,Community_Register!$A$2:$A$402,0))),""))</f>
        <v/>
      </c>
      <c r="H355" s="11">
        <f>IF($C355="","",IF($C355&lt;1,"yes","no"))</f>
        <v/>
      </c>
      <c r="I355" s="11">
        <f>IF($C355="","",IF($C355&lt;2.6,"r75",IF($C355&lt;5.2,"r110",IF($C355&lt;9.9,"r150",IF($C355&lt;19.8,"r210","r300")))))</f>
        <v/>
      </c>
      <c r="J355" s="11">
        <f>IF($C355="","",ROUND(SQRT($C355*10000/PI()),1))</f>
        <v/>
      </c>
      <c r="N355" s="11">
        <f>IF($A355="","",IFERROR(IF(INDEX(Community_Register!$S$2:$S$402,MATCH($A355,Community_Register!$A$2:$A$402,0))="","",INDEX(Community_Register!$S$2:$S$402,MATCH($A355,Community_Register!$A$2:$A$402,0))),""))</f>
        <v/>
      </c>
      <c r="O355" s="11">
        <f>IF($A355="","",IFERROR(IF(INDEX(Community_Register!$V$2:$V$402,MATCH($A355,Community_Register!$A$2:$A$402,0))="","",INDEX(Community_Register!$V$2:$V$402,MATCH($A355,Community_Register!$A$2:$A$402,0))),""))</f>
        <v/>
      </c>
      <c r="P355" s="11">
        <f>IF(OR($C355="",$N355="",NOT(ISNUMBER($N355))),"",$N355/$C355)</f>
        <v/>
      </c>
      <c r="Q355" s="11">
        <f>IF($C355="","",IF(OR($N355="",NOT(ISNUMBER($N355))),"B",IF(ABS($P355-1)&lt;=0.3,"A",IF(OR($P355&gt;2,$P355&lt;0.5),"C","B"))))</f>
        <v/>
      </c>
    </row>
    <row r="356">
      <c r="B356" s="11">
        <f>IF($A356="","",IFERROR(IF(INDEX(Community_Register!$B$2:$B$402,MATCH($A356,Community_Register!$A$2:$A$402,0))="","",INDEX(Community_Register!$B$2:$B$402,MATCH($A356,Community_Register!$A$2:$A$402,0))),""))</f>
        <v/>
      </c>
      <c r="H356" s="11">
        <f>IF($C356="","",IF($C356&lt;1,"yes","no"))</f>
        <v/>
      </c>
      <c r="I356" s="11">
        <f>IF($C356="","",IF($C356&lt;2.6,"r75",IF($C356&lt;5.2,"r110",IF($C356&lt;9.9,"r150",IF($C356&lt;19.8,"r210","r300")))))</f>
        <v/>
      </c>
      <c r="J356" s="11">
        <f>IF($C356="","",ROUND(SQRT($C356*10000/PI()),1))</f>
        <v/>
      </c>
      <c r="N356" s="11">
        <f>IF($A356="","",IFERROR(IF(INDEX(Community_Register!$S$2:$S$402,MATCH($A356,Community_Register!$A$2:$A$402,0))="","",INDEX(Community_Register!$S$2:$S$402,MATCH($A356,Community_Register!$A$2:$A$402,0))),""))</f>
        <v/>
      </c>
      <c r="O356" s="11">
        <f>IF($A356="","",IFERROR(IF(INDEX(Community_Register!$V$2:$V$402,MATCH($A356,Community_Register!$A$2:$A$402,0))="","",INDEX(Community_Register!$V$2:$V$402,MATCH($A356,Community_Register!$A$2:$A$402,0))),""))</f>
        <v/>
      </c>
      <c r="P356" s="11">
        <f>IF(OR($C356="",$N356="",NOT(ISNUMBER($N356))),"",$N356/$C356)</f>
        <v/>
      </c>
      <c r="Q356" s="11">
        <f>IF($C356="","",IF(OR($N356="",NOT(ISNUMBER($N356))),"B",IF(ABS($P356-1)&lt;=0.3,"A",IF(OR($P356&gt;2,$P356&lt;0.5),"C","B"))))</f>
        <v/>
      </c>
    </row>
    <row r="357">
      <c r="B357" s="11">
        <f>IF($A357="","",IFERROR(IF(INDEX(Community_Register!$B$2:$B$402,MATCH($A357,Community_Register!$A$2:$A$402,0))="","",INDEX(Community_Register!$B$2:$B$402,MATCH($A357,Community_Register!$A$2:$A$402,0))),""))</f>
        <v/>
      </c>
      <c r="H357" s="11">
        <f>IF($C357="","",IF($C357&lt;1,"yes","no"))</f>
        <v/>
      </c>
      <c r="I357" s="11">
        <f>IF($C357="","",IF($C357&lt;2.6,"r75",IF($C357&lt;5.2,"r110",IF($C357&lt;9.9,"r150",IF($C357&lt;19.8,"r210","r300")))))</f>
        <v/>
      </c>
      <c r="J357" s="11">
        <f>IF($C357="","",ROUND(SQRT($C357*10000/PI()),1))</f>
        <v/>
      </c>
      <c r="N357" s="11">
        <f>IF($A357="","",IFERROR(IF(INDEX(Community_Register!$S$2:$S$402,MATCH($A357,Community_Register!$A$2:$A$402,0))="","",INDEX(Community_Register!$S$2:$S$402,MATCH($A357,Community_Register!$A$2:$A$402,0))),""))</f>
        <v/>
      </c>
      <c r="O357" s="11">
        <f>IF($A357="","",IFERROR(IF(INDEX(Community_Register!$V$2:$V$402,MATCH($A357,Community_Register!$A$2:$A$402,0))="","",INDEX(Community_Register!$V$2:$V$402,MATCH($A357,Community_Register!$A$2:$A$402,0))),""))</f>
        <v/>
      </c>
      <c r="P357" s="11">
        <f>IF(OR($C357="",$N357="",NOT(ISNUMBER($N357))),"",$N357/$C357)</f>
        <v/>
      </c>
      <c r="Q357" s="11">
        <f>IF($C357="","",IF(OR($N357="",NOT(ISNUMBER($N357))),"B",IF(ABS($P357-1)&lt;=0.3,"A",IF(OR($P357&gt;2,$P357&lt;0.5),"C","B"))))</f>
        <v/>
      </c>
    </row>
    <row r="358">
      <c r="B358" s="11">
        <f>IF($A358="","",IFERROR(IF(INDEX(Community_Register!$B$2:$B$402,MATCH($A358,Community_Register!$A$2:$A$402,0))="","",INDEX(Community_Register!$B$2:$B$402,MATCH($A358,Community_Register!$A$2:$A$402,0))),""))</f>
        <v/>
      </c>
      <c r="H358" s="11">
        <f>IF($C358="","",IF($C358&lt;1,"yes","no"))</f>
        <v/>
      </c>
      <c r="I358" s="11">
        <f>IF($C358="","",IF($C358&lt;2.6,"r75",IF($C358&lt;5.2,"r110",IF($C358&lt;9.9,"r150",IF($C358&lt;19.8,"r210","r300")))))</f>
        <v/>
      </c>
      <c r="J358" s="11">
        <f>IF($C358="","",ROUND(SQRT($C358*10000/PI()),1))</f>
        <v/>
      </c>
      <c r="N358" s="11">
        <f>IF($A358="","",IFERROR(IF(INDEX(Community_Register!$S$2:$S$402,MATCH($A358,Community_Register!$A$2:$A$402,0))="","",INDEX(Community_Register!$S$2:$S$402,MATCH($A358,Community_Register!$A$2:$A$402,0))),""))</f>
        <v/>
      </c>
      <c r="O358" s="11">
        <f>IF($A358="","",IFERROR(IF(INDEX(Community_Register!$V$2:$V$402,MATCH($A358,Community_Register!$A$2:$A$402,0))="","",INDEX(Community_Register!$V$2:$V$402,MATCH($A358,Community_Register!$A$2:$A$402,0))),""))</f>
        <v/>
      </c>
      <c r="P358" s="11">
        <f>IF(OR($C358="",$N358="",NOT(ISNUMBER($N358))),"",$N358/$C358)</f>
        <v/>
      </c>
      <c r="Q358" s="11">
        <f>IF($C358="","",IF(OR($N358="",NOT(ISNUMBER($N358))),"B",IF(ABS($P358-1)&lt;=0.3,"A",IF(OR($P358&gt;2,$P358&lt;0.5),"C","B"))))</f>
        <v/>
      </c>
    </row>
    <row r="359">
      <c r="B359" s="11">
        <f>IF($A359="","",IFERROR(IF(INDEX(Community_Register!$B$2:$B$402,MATCH($A359,Community_Register!$A$2:$A$402,0))="","",INDEX(Community_Register!$B$2:$B$402,MATCH($A359,Community_Register!$A$2:$A$402,0))),""))</f>
        <v/>
      </c>
      <c r="H359" s="11">
        <f>IF($C359="","",IF($C359&lt;1,"yes","no"))</f>
        <v/>
      </c>
      <c r="I359" s="11">
        <f>IF($C359="","",IF($C359&lt;2.6,"r75",IF($C359&lt;5.2,"r110",IF($C359&lt;9.9,"r150",IF($C359&lt;19.8,"r210","r300")))))</f>
        <v/>
      </c>
      <c r="J359" s="11">
        <f>IF($C359="","",ROUND(SQRT($C359*10000/PI()),1))</f>
        <v/>
      </c>
      <c r="N359" s="11">
        <f>IF($A359="","",IFERROR(IF(INDEX(Community_Register!$S$2:$S$402,MATCH($A359,Community_Register!$A$2:$A$402,0))="","",INDEX(Community_Register!$S$2:$S$402,MATCH($A359,Community_Register!$A$2:$A$402,0))),""))</f>
        <v/>
      </c>
      <c r="O359" s="11">
        <f>IF($A359="","",IFERROR(IF(INDEX(Community_Register!$V$2:$V$402,MATCH($A359,Community_Register!$A$2:$A$402,0))="","",INDEX(Community_Register!$V$2:$V$402,MATCH($A359,Community_Register!$A$2:$A$402,0))),""))</f>
        <v/>
      </c>
      <c r="P359" s="11">
        <f>IF(OR($C359="",$N359="",NOT(ISNUMBER($N359))),"",$N359/$C359)</f>
        <v/>
      </c>
      <c r="Q359" s="11">
        <f>IF($C359="","",IF(OR($N359="",NOT(ISNUMBER($N359))),"B",IF(ABS($P359-1)&lt;=0.3,"A",IF(OR($P359&gt;2,$P359&lt;0.5),"C","B"))))</f>
        <v/>
      </c>
    </row>
    <row r="360">
      <c r="B360" s="11">
        <f>IF($A360="","",IFERROR(IF(INDEX(Community_Register!$B$2:$B$402,MATCH($A360,Community_Register!$A$2:$A$402,0))="","",INDEX(Community_Register!$B$2:$B$402,MATCH($A360,Community_Register!$A$2:$A$402,0))),""))</f>
        <v/>
      </c>
      <c r="H360" s="11">
        <f>IF($C360="","",IF($C360&lt;1,"yes","no"))</f>
        <v/>
      </c>
      <c r="I360" s="11">
        <f>IF($C360="","",IF($C360&lt;2.6,"r75",IF($C360&lt;5.2,"r110",IF($C360&lt;9.9,"r150",IF($C360&lt;19.8,"r210","r300")))))</f>
        <v/>
      </c>
      <c r="J360" s="11">
        <f>IF($C360="","",ROUND(SQRT($C360*10000/PI()),1))</f>
        <v/>
      </c>
      <c r="N360" s="11">
        <f>IF($A360="","",IFERROR(IF(INDEX(Community_Register!$S$2:$S$402,MATCH($A360,Community_Register!$A$2:$A$402,0))="","",INDEX(Community_Register!$S$2:$S$402,MATCH($A360,Community_Register!$A$2:$A$402,0))),""))</f>
        <v/>
      </c>
      <c r="O360" s="11">
        <f>IF($A360="","",IFERROR(IF(INDEX(Community_Register!$V$2:$V$402,MATCH($A360,Community_Register!$A$2:$A$402,0))="","",INDEX(Community_Register!$V$2:$V$402,MATCH($A360,Community_Register!$A$2:$A$402,0))),""))</f>
        <v/>
      </c>
      <c r="P360" s="11">
        <f>IF(OR($C360="",$N360="",NOT(ISNUMBER($N360))),"",$N360/$C360)</f>
        <v/>
      </c>
      <c r="Q360" s="11">
        <f>IF($C360="","",IF(OR($N360="",NOT(ISNUMBER($N360))),"B",IF(ABS($P360-1)&lt;=0.3,"A",IF(OR($P360&gt;2,$P360&lt;0.5),"C","B"))))</f>
        <v/>
      </c>
    </row>
    <row r="361">
      <c r="B361" s="11">
        <f>IF($A361="","",IFERROR(IF(INDEX(Community_Register!$B$2:$B$402,MATCH($A361,Community_Register!$A$2:$A$402,0))="","",INDEX(Community_Register!$B$2:$B$402,MATCH($A361,Community_Register!$A$2:$A$402,0))),""))</f>
        <v/>
      </c>
      <c r="H361" s="11">
        <f>IF($C361="","",IF($C361&lt;1,"yes","no"))</f>
        <v/>
      </c>
      <c r="I361" s="11">
        <f>IF($C361="","",IF($C361&lt;2.6,"r75",IF($C361&lt;5.2,"r110",IF($C361&lt;9.9,"r150",IF($C361&lt;19.8,"r210","r300")))))</f>
        <v/>
      </c>
      <c r="J361" s="11">
        <f>IF($C361="","",ROUND(SQRT($C361*10000/PI()),1))</f>
        <v/>
      </c>
      <c r="N361" s="11">
        <f>IF($A361="","",IFERROR(IF(INDEX(Community_Register!$S$2:$S$402,MATCH($A361,Community_Register!$A$2:$A$402,0))="","",INDEX(Community_Register!$S$2:$S$402,MATCH($A361,Community_Register!$A$2:$A$402,0))),""))</f>
        <v/>
      </c>
      <c r="O361" s="11">
        <f>IF($A361="","",IFERROR(IF(INDEX(Community_Register!$V$2:$V$402,MATCH($A361,Community_Register!$A$2:$A$402,0))="","",INDEX(Community_Register!$V$2:$V$402,MATCH($A361,Community_Register!$A$2:$A$402,0))),""))</f>
        <v/>
      </c>
      <c r="P361" s="11">
        <f>IF(OR($C361="",$N361="",NOT(ISNUMBER($N361))),"",$N361/$C361)</f>
        <v/>
      </c>
      <c r="Q361" s="11">
        <f>IF($C361="","",IF(OR($N361="",NOT(ISNUMBER($N361))),"B",IF(ABS($P361-1)&lt;=0.3,"A",IF(OR($P361&gt;2,$P361&lt;0.5),"C","B"))))</f>
        <v/>
      </c>
    </row>
    <row r="362">
      <c r="B362" s="11">
        <f>IF($A362="","",IFERROR(IF(INDEX(Community_Register!$B$2:$B$402,MATCH($A362,Community_Register!$A$2:$A$402,0))="","",INDEX(Community_Register!$B$2:$B$402,MATCH($A362,Community_Register!$A$2:$A$402,0))),""))</f>
        <v/>
      </c>
      <c r="H362" s="11">
        <f>IF($C362="","",IF($C362&lt;1,"yes","no"))</f>
        <v/>
      </c>
      <c r="I362" s="11">
        <f>IF($C362="","",IF($C362&lt;2.6,"r75",IF($C362&lt;5.2,"r110",IF($C362&lt;9.9,"r150",IF($C362&lt;19.8,"r210","r300")))))</f>
        <v/>
      </c>
      <c r="J362" s="11">
        <f>IF($C362="","",ROUND(SQRT($C362*10000/PI()),1))</f>
        <v/>
      </c>
      <c r="N362" s="11">
        <f>IF($A362="","",IFERROR(IF(INDEX(Community_Register!$S$2:$S$402,MATCH($A362,Community_Register!$A$2:$A$402,0))="","",INDEX(Community_Register!$S$2:$S$402,MATCH($A362,Community_Register!$A$2:$A$402,0))),""))</f>
        <v/>
      </c>
      <c r="O362" s="11">
        <f>IF($A362="","",IFERROR(IF(INDEX(Community_Register!$V$2:$V$402,MATCH($A362,Community_Register!$A$2:$A$402,0))="","",INDEX(Community_Register!$V$2:$V$402,MATCH($A362,Community_Register!$A$2:$A$402,0))),""))</f>
        <v/>
      </c>
      <c r="P362" s="11">
        <f>IF(OR($C362="",$N362="",NOT(ISNUMBER($N362))),"",$N362/$C362)</f>
        <v/>
      </c>
      <c r="Q362" s="11">
        <f>IF($C362="","",IF(OR($N362="",NOT(ISNUMBER($N362))),"B",IF(ABS($P362-1)&lt;=0.3,"A",IF(OR($P362&gt;2,$P362&lt;0.5),"C","B"))))</f>
        <v/>
      </c>
    </row>
    <row r="363">
      <c r="B363" s="11">
        <f>IF($A363="","",IFERROR(IF(INDEX(Community_Register!$B$2:$B$402,MATCH($A363,Community_Register!$A$2:$A$402,0))="","",INDEX(Community_Register!$B$2:$B$402,MATCH($A363,Community_Register!$A$2:$A$402,0))),""))</f>
        <v/>
      </c>
      <c r="H363" s="11">
        <f>IF($C363="","",IF($C363&lt;1,"yes","no"))</f>
        <v/>
      </c>
      <c r="I363" s="11">
        <f>IF($C363="","",IF($C363&lt;2.6,"r75",IF($C363&lt;5.2,"r110",IF($C363&lt;9.9,"r150",IF($C363&lt;19.8,"r210","r300")))))</f>
        <v/>
      </c>
      <c r="J363" s="11">
        <f>IF($C363="","",ROUND(SQRT($C363*10000/PI()),1))</f>
        <v/>
      </c>
      <c r="N363" s="11">
        <f>IF($A363="","",IFERROR(IF(INDEX(Community_Register!$S$2:$S$402,MATCH($A363,Community_Register!$A$2:$A$402,0))="","",INDEX(Community_Register!$S$2:$S$402,MATCH($A363,Community_Register!$A$2:$A$402,0))),""))</f>
        <v/>
      </c>
      <c r="O363" s="11">
        <f>IF($A363="","",IFERROR(IF(INDEX(Community_Register!$V$2:$V$402,MATCH($A363,Community_Register!$A$2:$A$402,0))="","",INDEX(Community_Register!$V$2:$V$402,MATCH($A363,Community_Register!$A$2:$A$402,0))),""))</f>
        <v/>
      </c>
      <c r="P363" s="11">
        <f>IF(OR($C363="",$N363="",NOT(ISNUMBER($N363))),"",$N363/$C363)</f>
        <v/>
      </c>
      <c r="Q363" s="11">
        <f>IF($C363="","",IF(OR($N363="",NOT(ISNUMBER($N363))),"B",IF(ABS($P363-1)&lt;=0.3,"A",IF(OR($P363&gt;2,$P363&lt;0.5),"C","B"))))</f>
        <v/>
      </c>
    </row>
    <row r="364">
      <c r="B364" s="11">
        <f>IF($A364="","",IFERROR(IF(INDEX(Community_Register!$B$2:$B$402,MATCH($A364,Community_Register!$A$2:$A$402,0))="","",INDEX(Community_Register!$B$2:$B$402,MATCH($A364,Community_Register!$A$2:$A$402,0))),""))</f>
        <v/>
      </c>
      <c r="H364" s="11">
        <f>IF($C364="","",IF($C364&lt;1,"yes","no"))</f>
        <v/>
      </c>
      <c r="I364" s="11">
        <f>IF($C364="","",IF($C364&lt;2.6,"r75",IF($C364&lt;5.2,"r110",IF($C364&lt;9.9,"r150",IF($C364&lt;19.8,"r210","r300")))))</f>
        <v/>
      </c>
      <c r="J364" s="11">
        <f>IF($C364="","",ROUND(SQRT($C364*10000/PI()),1))</f>
        <v/>
      </c>
      <c r="N364" s="11">
        <f>IF($A364="","",IFERROR(IF(INDEX(Community_Register!$S$2:$S$402,MATCH($A364,Community_Register!$A$2:$A$402,0))="","",INDEX(Community_Register!$S$2:$S$402,MATCH($A364,Community_Register!$A$2:$A$402,0))),""))</f>
        <v/>
      </c>
      <c r="O364" s="11">
        <f>IF($A364="","",IFERROR(IF(INDEX(Community_Register!$V$2:$V$402,MATCH($A364,Community_Register!$A$2:$A$402,0))="","",INDEX(Community_Register!$V$2:$V$402,MATCH($A364,Community_Register!$A$2:$A$402,0))),""))</f>
        <v/>
      </c>
      <c r="P364" s="11">
        <f>IF(OR($C364="",$N364="",NOT(ISNUMBER($N364))),"",$N364/$C364)</f>
        <v/>
      </c>
      <c r="Q364" s="11">
        <f>IF($C364="","",IF(OR($N364="",NOT(ISNUMBER($N364))),"B",IF(ABS($P364-1)&lt;=0.3,"A",IF(OR($P364&gt;2,$P364&lt;0.5),"C","B"))))</f>
        <v/>
      </c>
    </row>
    <row r="365">
      <c r="B365" s="11">
        <f>IF($A365="","",IFERROR(IF(INDEX(Community_Register!$B$2:$B$402,MATCH($A365,Community_Register!$A$2:$A$402,0))="","",INDEX(Community_Register!$B$2:$B$402,MATCH($A365,Community_Register!$A$2:$A$402,0))),""))</f>
        <v/>
      </c>
      <c r="H365" s="11">
        <f>IF($C365="","",IF($C365&lt;1,"yes","no"))</f>
        <v/>
      </c>
      <c r="I365" s="11">
        <f>IF($C365="","",IF($C365&lt;2.6,"r75",IF($C365&lt;5.2,"r110",IF($C365&lt;9.9,"r150",IF($C365&lt;19.8,"r210","r300")))))</f>
        <v/>
      </c>
      <c r="J365" s="11">
        <f>IF($C365="","",ROUND(SQRT($C365*10000/PI()),1))</f>
        <v/>
      </c>
      <c r="N365" s="11">
        <f>IF($A365="","",IFERROR(IF(INDEX(Community_Register!$S$2:$S$402,MATCH($A365,Community_Register!$A$2:$A$402,0))="","",INDEX(Community_Register!$S$2:$S$402,MATCH($A365,Community_Register!$A$2:$A$402,0))),""))</f>
        <v/>
      </c>
      <c r="O365" s="11">
        <f>IF($A365="","",IFERROR(IF(INDEX(Community_Register!$V$2:$V$402,MATCH($A365,Community_Register!$A$2:$A$402,0))="","",INDEX(Community_Register!$V$2:$V$402,MATCH($A365,Community_Register!$A$2:$A$402,0))),""))</f>
        <v/>
      </c>
      <c r="P365" s="11">
        <f>IF(OR($C365="",$N365="",NOT(ISNUMBER($N365))),"",$N365/$C365)</f>
        <v/>
      </c>
      <c r="Q365" s="11">
        <f>IF($C365="","",IF(OR($N365="",NOT(ISNUMBER($N365))),"B",IF(ABS($P365-1)&lt;=0.3,"A",IF(OR($P365&gt;2,$P365&lt;0.5),"C","B"))))</f>
        <v/>
      </c>
    </row>
    <row r="366">
      <c r="B366" s="11">
        <f>IF($A366="","",IFERROR(IF(INDEX(Community_Register!$B$2:$B$402,MATCH($A366,Community_Register!$A$2:$A$402,0))="","",INDEX(Community_Register!$B$2:$B$402,MATCH($A366,Community_Register!$A$2:$A$402,0))),""))</f>
        <v/>
      </c>
      <c r="H366" s="11">
        <f>IF($C366="","",IF($C366&lt;1,"yes","no"))</f>
        <v/>
      </c>
      <c r="I366" s="11">
        <f>IF($C366="","",IF($C366&lt;2.6,"r75",IF($C366&lt;5.2,"r110",IF($C366&lt;9.9,"r150",IF($C366&lt;19.8,"r210","r300")))))</f>
        <v/>
      </c>
      <c r="J366" s="11">
        <f>IF($C366="","",ROUND(SQRT($C366*10000/PI()),1))</f>
        <v/>
      </c>
      <c r="N366" s="11">
        <f>IF($A366="","",IFERROR(IF(INDEX(Community_Register!$S$2:$S$402,MATCH($A366,Community_Register!$A$2:$A$402,0))="","",INDEX(Community_Register!$S$2:$S$402,MATCH($A366,Community_Register!$A$2:$A$402,0))),""))</f>
        <v/>
      </c>
      <c r="O366" s="11">
        <f>IF($A366="","",IFERROR(IF(INDEX(Community_Register!$V$2:$V$402,MATCH($A366,Community_Register!$A$2:$A$402,0))="","",INDEX(Community_Register!$V$2:$V$402,MATCH($A366,Community_Register!$A$2:$A$402,0))),""))</f>
        <v/>
      </c>
      <c r="P366" s="11">
        <f>IF(OR($C366="",$N366="",NOT(ISNUMBER($N366))),"",$N366/$C366)</f>
        <v/>
      </c>
      <c r="Q366" s="11">
        <f>IF($C366="","",IF(OR($N366="",NOT(ISNUMBER($N366))),"B",IF(ABS($P366-1)&lt;=0.3,"A",IF(OR($P366&gt;2,$P366&lt;0.5),"C","B"))))</f>
        <v/>
      </c>
    </row>
    <row r="367">
      <c r="B367" s="11">
        <f>IF($A367="","",IFERROR(IF(INDEX(Community_Register!$B$2:$B$402,MATCH($A367,Community_Register!$A$2:$A$402,0))="","",INDEX(Community_Register!$B$2:$B$402,MATCH($A367,Community_Register!$A$2:$A$402,0))),""))</f>
        <v/>
      </c>
      <c r="H367" s="11">
        <f>IF($C367="","",IF($C367&lt;1,"yes","no"))</f>
        <v/>
      </c>
      <c r="I367" s="11">
        <f>IF($C367="","",IF($C367&lt;2.6,"r75",IF($C367&lt;5.2,"r110",IF($C367&lt;9.9,"r150",IF($C367&lt;19.8,"r210","r300")))))</f>
        <v/>
      </c>
      <c r="J367" s="11">
        <f>IF($C367="","",ROUND(SQRT($C367*10000/PI()),1))</f>
        <v/>
      </c>
      <c r="N367" s="11">
        <f>IF($A367="","",IFERROR(IF(INDEX(Community_Register!$S$2:$S$402,MATCH($A367,Community_Register!$A$2:$A$402,0))="","",INDEX(Community_Register!$S$2:$S$402,MATCH($A367,Community_Register!$A$2:$A$402,0))),""))</f>
        <v/>
      </c>
      <c r="O367" s="11">
        <f>IF($A367="","",IFERROR(IF(INDEX(Community_Register!$V$2:$V$402,MATCH($A367,Community_Register!$A$2:$A$402,0))="","",INDEX(Community_Register!$V$2:$V$402,MATCH($A367,Community_Register!$A$2:$A$402,0))),""))</f>
        <v/>
      </c>
      <c r="P367" s="11">
        <f>IF(OR($C367="",$N367="",NOT(ISNUMBER($N367))),"",$N367/$C367)</f>
        <v/>
      </c>
      <c r="Q367" s="11">
        <f>IF($C367="","",IF(OR($N367="",NOT(ISNUMBER($N367))),"B",IF(ABS($P367-1)&lt;=0.3,"A",IF(OR($P367&gt;2,$P367&lt;0.5),"C","B"))))</f>
        <v/>
      </c>
    </row>
    <row r="368">
      <c r="B368" s="11">
        <f>IF($A368="","",IFERROR(IF(INDEX(Community_Register!$B$2:$B$402,MATCH($A368,Community_Register!$A$2:$A$402,0))="","",INDEX(Community_Register!$B$2:$B$402,MATCH($A368,Community_Register!$A$2:$A$402,0))),""))</f>
        <v/>
      </c>
      <c r="H368" s="11">
        <f>IF($C368="","",IF($C368&lt;1,"yes","no"))</f>
        <v/>
      </c>
      <c r="I368" s="11">
        <f>IF($C368="","",IF($C368&lt;2.6,"r75",IF($C368&lt;5.2,"r110",IF($C368&lt;9.9,"r150",IF($C368&lt;19.8,"r210","r300")))))</f>
        <v/>
      </c>
      <c r="J368" s="11">
        <f>IF($C368="","",ROUND(SQRT($C368*10000/PI()),1))</f>
        <v/>
      </c>
      <c r="N368" s="11">
        <f>IF($A368="","",IFERROR(IF(INDEX(Community_Register!$S$2:$S$402,MATCH($A368,Community_Register!$A$2:$A$402,0))="","",INDEX(Community_Register!$S$2:$S$402,MATCH($A368,Community_Register!$A$2:$A$402,0))),""))</f>
        <v/>
      </c>
      <c r="O368" s="11">
        <f>IF($A368="","",IFERROR(IF(INDEX(Community_Register!$V$2:$V$402,MATCH($A368,Community_Register!$A$2:$A$402,0))="","",INDEX(Community_Register!$V$2:$V$402,MATCH($A368,Community_Register!$A$2:$A$402,0))),""))</f>
        <v/>
      </c>
      <c r="P368" s="11">
        <f>IF(OR($C368="",$N368="",NOT(ISNUMBER($N368))),"",$N368/$C368)</f>
        <v/>
      </c>
      <c r="Q368" s="11">
        <f>IF($C368="","",IF(OR($N368="",NOT(ISNUMBER($N368))),"B",IF(ABS($P368-1)&lt;=0.3,"A",IF(OR($P368&gt;2,$P368&lt;0.5),"C","B"))))</f>
        <v/>
      </c>
    </row>
    <row r="369">
      <c r="B369" s="11">
        <f>IF($A369="","",IFERROR(IF(INDEX(Community_Register!$B$2:$B$402,MATCH($A369,Community_Register!$A$2:$A$402,0))="","",INDEX(Community_Register!$B$2:$B$402,MATCH($A369,Community_Register!$A$2:$A$402,0))),""))</f>
        <v/>
      </c>
      <c r="H369" s="11">
        <f>IF($C369="","",IF($C369&lt;1,"yes","no"))</f>
        <v/>
      </c>
      <c r="I369" s="11">
        <f>IF($C369="","",IF($C369&lt;2.6,"r75",IF($C369&lt;5.2,"r110",IF($C369&lt;9.9,"r150",IF($C369&lt;19.8,"r210","r300")))))</f>
        <v/>
      </c>
      <c r="J369" s="11">
        <f>IF($C369="","",ROUND(SQRT($C369*10000/PI()),1))</f>
        <v/>
      </c>
      <c r="N369" s="11">
        <f>IF($A369="","",IFERROR(IF(INDEX(Community_Register!$S$2:$S$402,MATCH($A369,Community_Register!$A$2:$A$402,0))="","",INDEX(Community_Register!$S$2:$S$402,MATCH($A369,Community_Register!$A$2:$A$402,0))),""))</f>
        <v/>
      </c>
      <c r="O369" s="11">
        <f>IF($A369="","",IFERROR(IF(INDEX(Community_Register!$V$2:$V$402,MATCH($A369,Community_Register!$A$2:$A$402,0))="","",INDEX(Community_Register!$V$2:$V$402,MATCH($A369,Community_Register!$A$2:$A$402,0))),""))</f>
        <v/>
      </c>
      <c r="P369" s="11">
        <f>IF(OR($C369="",$N369="",NOT(ISNUMBER($N369))),"",$N369/$C369)</f>
        <v/>
      </c>
      <c r="Q369" s="11">
        <f>IF($C369="","",IF(OR($N369="",NOT(ISNUMBER($N369))),"B",IF(ABS($P369-1)&lt;=0.3,"A",IF(OR($P369&gt;2,$P369&lt;0.5),"C","B"))))</f>
        <v/>
      </c>
    </row>
    <row r="370">
      <c r="B370" s="11">
        <f>IF($A370="","",IFERROR(IF(INDEX(Community_Register!$B$2:$B$402,MATCH($A370,Community_Register!$A$2:$A$402,0))="","",INDEX(Community_Register!$B$2:$B$402,MATCH($A370,Community_Register!$A$2:$A$402,0))),""))</f>
        <v/>
      </c>
      <c r="H370" s="11">
        <f>IF($C370="","",IF($C370&lt;1,"yes","no"))</f>
        <v/>
      </c>
      <c r="I370" s="11">
        <f>IF($C370="","",IF($C370&lt;2.6,"r75",IF($C370&lt;5.2,"r110",IF($C370&lt;9.9,"r150",IF($C370&lt;19.8,"r210","r300")))))</f>
        <v/>
      </c>
      <c r="J370" s="11">
        <f>IF($C370="","",ROUND(SQRT($C370*10000/PI()),1))</f>
        <v/>
      </c>
      <c r="N370" s="11">
        <f>IF($A370="","",IFERROR(IF(INDEX(Community_Register!$S$2:$S$402,MATCH($A370,Community_Register!$A$2:$A$402,0))="","",INDEX(Community_Register!$S$2:$S$402,MATCH($A370,Community_Register!$A$2:$A$402,0))),""))</f>
        <v/>
      </c>
      <c r="O370" s="11">
        <f>IF($A370="","",IFERROR(IF(INDEX(Community_Register!$V$2:$V$402,MATCH($A370,Community_Register!$A$2:$A$402,0))="","",INDEX(Community_Register!$V$2:$V$402,MATCH($A370,Community_Register!$A$2:$A$402,0))),""))</f>
        <v/>
      </c>
      <c r="P370" s="11">
        <f>IF(OR($C370="",$N370="",NOT(ISNUMBER($N370))),"",$N370/$C370)</f>
        <v/>
      </c>
      <c r="Q370" s="11">
        <f>IF($C370="","",IF(OR($N370="",NOT(ISNUMBER($N370))),"B",IF(ABS($P370-1)&lt;=0.3,"A",IF(OR($P370&gt;2,$P370&lt;0.5),"C","B"))))</f>
        <v/>
      </c>
    </row>
    <row r="371">
      <c r="B371" s="11">
        <f>IF($A371="","",IFERROR(IF(INDEX(Community_Register!$B$2:$B$402,MATCH($A371,Community_Register!$A$2:$A$402,0))="","",INDEX(Community_Register!$B$2:$B$402,MATCH($A371,Community_Register!$A$2:$A$402,0))),""))</f>
        <v/>
      </c>
      <c r="H371" s="11">
        <f>IF($C371="","",IF($C371&lt;1,"yes","no"))</f>
        <v/>
      </c>
      <c r="I371" s="11">
        <f>IF($C371="","",IF($C371&lt;2.6,"r75",IF($C371&lt;5.2,"r110",IF($C371&lt;9.9,"r150",IF($C371&lt;19.8,"r210","r300")))))</f>
        <v/>
      </c>
      <c r="J371" s="11">
        <f>IF($C371="","",ROUND(SQRT($C371*10000/PI()),1))</f>
        <v/>
      </c>
      <c r="N371" s="11">
        <f>IF($A371="","",IFERROR(IF(INDEX(Community_Register!$S$2:$S$402,MATCH($A371,Community_Register!$A$2:$A$402,0))="","",INDEX(Community_Register!$S$2:$S$402,MATCH($A371,Community_Register!$A$2:$A$402,0))),""))</f>
        <v/>
      </c>
      <c r="O371" s="11">
        <f>IF($A371="","",IFERROR(IF(INDEX(Community_Register!$V$2:$V$402,MATCH($A371,Community_Register!$A$2:$A$402,0))="","",INDEX(Community_Register!$V$2:$V$402,MATCH($A371,Community_Register!$A$2:$A$402,0))),""))</f>
        <v/>
      </c>
      <c r="P371" s="11">
        <f>IF(OR($C371="",$N371="",NOT(ISNUMBER($N371))),"",$N371/$C371)</f>
        <v/>
      </c>
      <c r="Q371" s="11">
        <f>IF($C371="","",IF(OR($N371="",NOT(ISNUMBER($N371))),"B",IF(ABS($P371-1)&lt;=0.3,"A",IF(OR($P371&gt;2,$P371&lt;0.5),"C","B"))))</f>
        <v/>
      </c>
    </row>
    <row r="372">
      <c r="B372" s="11">
        <f>IF($A372="","",IFERROR(IF(INDEX(Community_Register!$B$2:$B$402,MATCH($A372,Community_Register!$A$2:$A$402,0))="","",INDEX(Community_Register!$B$2:$B$402,MATCH($A372,Community_Register!$A$2:$A$402,0))),""))</f>
        <v/>
      </c>
      <c r="H372" s="11">
        <f>IF($C372="","",IF($C372&lt;1,"yes","no"))</f>
        <v/>
      </c>
      <c r="I372" s="11">
        <f>IF($C372="","",IF($C372&lt;2.6,"r75",IF($C372&lt;5.2,"r110",IF($C372&lt;9.9,"r150",IF($C372&lt;19.8,"r210","r300")))))</f>
        <v/>
      </c>
      <c r="J372" s="11">
        <f>IF($C372="","",ROUND(SQRT($C372*10000/PI()),1))</f>
        <v/>
      </c>
      <c r="N372" s="11">
        <f>IF($A372="","",IFERROR(IF(INDEX(Community_Register!$S$2:$S$402,MATCH($A372,Community_Register!$A$2:$A$402,0))="","",INDEX(Community_Register!$S$2:$S$402,MATCH($A372,Community_Register!$A$2:$A$402,0))),""))</f>
        <v/>
      </c>
      <c r="O372" s="11">
        <f>IF($A372="","",IFERROR(IF(INDEX(Community_Register!$V$2:$V$402,MATCH($A372,Community_Register!$A$2:$A$402,0))="","",INDEX(Community_Register!$V$2:$V$402,MATCH($A372,Community_Register!$A$2:$A$402,0))),""))</f>
        <v/>
      </c>
      <c r="P372" s="11">
        <f>IF(OR($C372="",$N372="",NOT(ISNUMBER($N372))),"",$N372/$C372)</f>
        <v/>
      </c>
      <c r="Q372" s="11">
        <f>IF($C372="","",IF(OR($N372="",NOT(ISNUMBER($N372))),"B",IF(ABS($P372-1)&lt;=0.3,"A",IF(OR($P372&gt;2,$P372&lt;0.5),"C","B"))))</f>
        <v/>
      </c>
    </row>
    <row r="373">
      <c r="B373" s="11">
        <f>IF($A373="","",IFERROR(IF(INDEX(Community_Register!$B$2:$B$402,MATCH($A373,Community_Register!$A$2:$A$402,0))="","",INDEX(Community_Register!$B$2:$B$402,MATCH($A373,Community_Register!$A$2:$A$402,0))),""))</f>
        <v/>
      </c>
      <c r="H373" s="11">
        <f>IF($C373="","",IF($C373&lt;1,"yes","no"))</f>
        <v/>
      </c>
      <c r="I373" s="11">
        <f>IF($C373="","",IF($C373&lt;2.6,"r75",IF($C373&lt;5.2,"r110",IF($C373&lt;9.9,"r150",IF($C373&lt;19.8,"r210","r300")))))</f>
        <v/>
      </c>
      <c r="J373" s="11">
        <f>IF($C373="","",ROUND(SQRT($C373*10000/PI()),1))</f>
        <v/>
      </c>
      <c r="N373" s="11">
        <f>IF($A373="","",IFERROR(IF(INDEX(Community_Register!$S$2:$S$402,MATCH($A373,Community_Register!$A$2:$A$402,0))="","",INDEX(Community_Register!$S$2:$S$402,MATCH($A373,Community_Register!$A$2:$A$402,0))),""))</f>
        <v/>
      </c>
      <c r="O373" s="11">
        <f>IF($A373="","",IFERROR(IF(INDEX(Community_Register!$V$2:$V$402,MATCH($A373,Community_Register!$A$2:$A$402,0))="","",INDEX(Community_Register!$V$2:$V$402,MATCH($A373,Community_Register!$A$2:$A$402,0))),""))</f>
        <v/>
      </c>
      <c r="P373" s="11">
        <f>IF(OR($C373="",$N373="",NOT(ISNUMBER($N373))),"",$N373/$C373)</f>
        <v/>
      </c>
      <c r="Q373" s="11">
        <f>IF($C373="","",IF(OR($N373="",NOT(ISNUMBER($N373))),"B",IF(ABS($P373-1)&lt;=0.3,"A",IF(OR($P373&gt;2,$P373&lt;0.5),"C","B"))))</f>
        <v/>
      </c>
    </row>
    <row r="374">
      <c r="B374" s="11">
        <f>IF($A374="","",IFERROR(IF(INDEX(Community_Register!$B$2:$B$402,MATCH($A374,Community_Register!$A$2:$A$402,0))="","",INDEX(Community_Register!$B$2:$B$402,MATCH($A374,Community_Register!$A$2:$A$402,0))),""))</f>
        <v/>
      </c>
      <c r="H374" s="11">
        <f>IF($C374="","",IF($C374&lt;1,"yes","no"))</f>
        <v/>
      </c>
      <c r="I374" s="11">
        <f>IF($C374="","",IF($C374&lt;2.6,"r75",IF($C374&lt;5.2,"r110",IF($C374&lt;9.9,"r150",IF($C374&lt;19.8,"r210","r300")))))</f>
        <v/>
      </c>
      <c r="J374" s="11">
        <f>IF($C374="","",ROUND(SQRT($C374*10000/PI()),1))</f>
        <v/>
      </c>
      <c r="N374" s="11">
        <f>IF($A374="","",IFERROR(IF(INDEX(Community_Register!$S$2:$S$402,MATCH($A374,Community_Register!$A$2:$A$402,0))="","",INDEX(Community_Register!$S$2:$S$402,MATCH($A374,Community_Register!$A$2:$A$402,0))),""))</f>
        <v/>
      </c>
      <c r="O374" s="11">
        <f>IF($A374="","",IFERROR(IF(INDEX(Community_Register!$V$2:$V$402,MATCH($A374,Community_Register!$A$2:$A$402,0))="","",INDEX(Community_Register!$V$2:$V$402,MATCH($A374,Community_Register!$A$2:$A$402,0))),""))</f>
        <v/>
      </c>
      <c r="P374" s="11">
        <f>IF(OR($C374="",$N374="",NOT(ISNUMBER($N374))),"",$N374/$C374)</f>
        <v/>
      </c>
      <c r="Q374" s="11">
        <f>IF($C374="","",IF(OR($N374="",NOT(ISNUMBER($N374))),"B",IF(ABS($P374-1)&lt;=0.3,"A",IF(OR($P374&gt;2,$P374&lt;0.5),"C","B"))))</f>
        <v/>
      </c>
    </row>
    <row r="375">
      <c r="B375" s="11">
        <f>IF($A375="","",IFERROR(IF(INDEX(Community_Register!$B$2:$B$402,MATCH($A375,Community_Register!$A$2:$A$402,0))="","",INDEX(Community_Register!$B$2:$B$402,MATCH($A375,Community_Register!$A$2:$A$402,0))),""))</f>
        <v/>
      </c>
      <c r="H375" s="11">
        <f>IF($C375="","",IF($C375&lt;1,"yes","no"))</f>
        <v/>
      </c>
      <c r="I375" s="11">
        <f>IF($C375="","",IF($C375&lt;2.6,"r75",IF($C375&lt;5.2,"r110",IF($C375&lt;9.9,"r150",IF($C375&lt;19.8,"r210","r300")))))</f>
        <v/>
      </c>
      <c r="J375" s="11">
        <f>IF($C375="","",ROUND(SQRT($C375*10000/PI()),1))</f>
        <v/>
      </c>
      <c r="N375" s="11">
        <f>IF($A375="","",IFERROR(IF(INDEX(Community_Register!$S$2:$S$402,MATCH($A375,Community_Register!$A$2:$A$402,0))="","",INDEX(Community_Register!$S$2:$S$402,MATCH($A375,Community_Register!$A$2:$A$402,0))),""))</f>
        <v/>
      </c>
      <c r="O375" s="11">
        <f>IF($A375="","",IFERROR(IF(INDEX(Community_Register!$V$2:$V$402,MATCH($A375,Community_Register!$A$2:$A$402,0))="","",INDEX(Community_Register!$V$2:$V$402,MATCH($A375,Community_Register!$A$2:$A$402,0))),""))</f>
        <v/>
      </c>
      <c r="P375" s="11">
        <f>IF(OR($C375="",$N375="",NOT(ISNUMBER($N375))),"",$N375/$C375)</f>
        <v/>
      </c>
      <c r="Q375" s="11">
        <f>IF($C375="","",IF(OR($N375="",NOT(ISNUMBER($N375))),"B",IF(ABS($P375-1)&lt;=0.3,"A",IF(OR($P375&gt;2,$P375&lt;0.5),"C","B"))))</f>
        <v/>
      </c>
    </row>
    <row r="376">
      <c r="B376" s="11">
        <f>IF($A376="","",IFERROR(IF(INDEX(Community_Register!$B$2:$B$402,MATCH($A376,Community_Register!$A$2:$A$402,0))="","",INDEX(Community_Register!$B$2:$B$402,MATCH($A376,Community_Register!$A$2:$A$402,0))),""))</f>
        <v/>
      </c>
      <c r="H376" s="11">
        <f>IF($C376="","",IF($C376&lt;1,"yes","no"))</f>
        <v/>
      </c>
      <c r="I376" s="11">
        <f>IF($C376="","",IF($C376&lt;2.6,"r75",IF($C376&lt;5.2,"r110",IF($C376&lt;9.9,"r150",IF($C376&lt;19.8,"r210","r300")))))</f>
        <v/>
      </c>
      <c r="J376" s="11">
        <f>IF($C376="","",ROUND(SQRT($C376*10000/PI()),1))</f>
        <v/>
      </c>
      <c r="N376" s="11">
        <f>IF($A376="","",IFERROR(IF(INDEX(Community_Register!$S$2:$S$402,MATCH($A376,Community_Register!$A$2:$A$402,0))="","",INDEX(Community_Register!$S$2:$S$402,MATCH($A376,Community_Register!$A$2:$A$402,0))),""))</f>
        <v/>
      </c>
      <c r="O376" s="11">
        <f>IF($A376="","",IFERROR(IF(INDEX(Community_Register!$V$2:$V$402,MATCH($A376,Community_Register!$A$2:$A$402,0))="","",INDEX(Community_Register!$V$2:$V$402,MATCH($A376,Community_Register!$A$2:$A$402,0))),""))</f>
        <v/>
      </c>
      <c r="P376" s="11">
        <f>IF(OR($C376="",$N376="",NOT(ISNUMBER($N376))),"",$N376/$C376)</f>
        <v/>
      </c>
      <c r="Q376" s="11">
        <f>IF($C376="","",IF(OR($N376="",NOT(ISNUMBER($N376))),"B",IF(ABS($P376-1)&lt;=0.3,"A",IF(OR($P376&gt;2,$P376&lt;0.5),"C","B"))))</f>
        <v/>
      </c>
    </row>
    <row r="377">
      <c r="B377" s="11">
        <f>IF($A377="","",IFERROR(IF(INDEX(Community_Register!$B$2:$B$402,MATCH($A377,Community_Register!$A$2:$A$402,0))="","",INDEX(Community_Register!$B$2:$B$402,MATCH($A377,Community_Register!$A$2:$A$402,0))),""))</f>
        <v/>
      </c>
      <c r="H377" s="11">
        <f>IF($C377="","",IF($C377&lt;1,"yes","no"))</f>
        <v/>
      </c>
      <c r="I377" s="11">
        <f>IF($C377="","",IF($C377&lt;2.6,"r75",IF($C377&lt;5.2,"r110",IF($C377&lt;9.9,"r150",IF($C377&lt;19.8,"r210","r300")))))</f>
        <v/>
      </c>
      <c r="J377" s="11">
        <f>IF($C377="","",ROUND(SQRT($C377*10000/PI()),1))</f>
        <v/>
      </c>
      <c r="N377" s="11">
        <f>IF($A377="","",IFERROR(IF(INDEX(Community_Register!$S$2:$S$402,MATCH($A377,Community_Register!$A$2:$A$402,0))="","",INDEX(Community_Register!$S$2:$S$402,MATCH($A377,Community_Register!$A$2:$A$402,0))),""))</f>
        <v/>
      </c>
      <c r="O377" s="11">
        <f>IF($A377="","",IFERROR(IF(INDEX(Community_Register!$V$2:$V$402,MATCH($A377,Community_Register!$A$2:$A$402,0))="","",INDEX(Community_Register!$V$2:$V$402,MATCH($A377,Community_Register!$A$2:$A$402,0))),""))</f>
        <v/>
      </c>
      <c r="P377" s="11">
        <f>IF(OR($C377="",$N377="",NOT(ISNUMBER($N377))),"",$N377/$C377)</f>
        <v/>
      </c>
      <c r="Q377" s="11">
        <f>IF($C377="","",IF(OR($N377="",NOT(ISNUMBER($N377))),"B",IF(ABS($P377-1)&lt;=0.3,"A",IF(OR($P377&gt;2,$P377&lt;0.5),"C","B"))))</f>
        <v/>
      </c>
    </row>
    <row r="378">
      <c r="B378" s="11">
        <f>IF($A378="","",IFERROR(IF(INDEX(Community_Register!$B$2:$B$402,MATCH($A378,Community_Register!$A$2:$A$402,0))="","",INDEX(Community_Register!$B$2:$B$402,MATCH($A378,Community_Register!$A$2:$A$402,0))),""))</f>
        <v/>
      </c>
      <c r="H378" s="11">
        <f>IF($C378="","",IF($C378&lt;1,"yes","no"))</f>
        <v/>
      </c>
      <c r="I378" s="11">
        <f>IF($C378="","",IF($C378&lt;2.6,"r75",IF($C378&lt;5.2,"r110",IF($C378&lt;9.9,"r150",IF($C378&lt;19.8,"r210","r300")))))</f>
        <v/>
      </c>
      <c r="J378" s="11">
        <f>IF($C378="","",ROUND(SQRT($C378*10000/PI()),1))</f>
        <v/>
      </c>
      <c r="N378" s="11">
        <f>IF($A378="","",IFERROR(IF(INDEX(Community_Register!$S$2:$S$402,MATCH($A378,Community_Register!$A$2:$A$402,0))="","",INDEX(Community_Register!$S$2:$S$402,MATCH($A378,Community_Register!$A$2:$A$402,0))),""))</f>
        <v/>
      </c>
      <c r="O378" s="11">
        <f>IF($A378="","",IFERROR(IF(INDEX(Community_Register!$V$2:$V$402,MATCH($A378,Community_Register!$A$2:$A$402,0))="","",INDEX(Community_Register!$V$2:$V$402,MATCH($A378,Community_Register!$A$2:$A$402,0))),""))</f>
        <v/>
      </c>
      <c r="P378" s="11">
        <f>IF(OR($C378="",$N378="",NOT(ISNUMBER($N378))),"",$N378/$C378)</f>
        <v/>
      </c>
      <c r="Q378" s="11">
        <f>IF($C378="","",IF(OR($N378="",NOT(ISNUMBER($N378))),"B",IF(ABS($P378-1)&lt;=0.3,"A",IF(OR($P378&gt;2,$P378&lt;0.5),"C","B"))))</f>
        <v/>
      </c>
    </row>
    <row r="379">
      <c r="B379" s="11">
        <f>IF($A379="","",IFERROR(IF(INDEX(Community_Register!$B$2:$B$402,MATCH($A379,Community_Register!$A$2:$A$402,0))="","",INDEX(Community_Register!$B$2:$B$402,MATCH($A379,Community_Register!$A$2:$A$402,0))),""))</f>
        <v/>
      </c>
      <c r="H379" s="11">
        <f>IF($C379="","",IF($C379&lt;1,"yes","no"))</f>
        <v/>
      </c>
      <c r="I379" s="11">
        <f>IF($C379="","",IF($C379&lt;2.6,"r75",IF($C379&lt;5.2,"r110",IF($C379&lt;9.9,"r150",IF($C379&lt;19.8,"r210","r300")))))</f>
        <v/>
      </c>
      <c r="J379" s="11">
        <f>IF($C379="","",ROUND(SQRT($C379*10000/PI()),1))</f>
        <v/>
      </c>
      <c r="N379" s="11">
        <f>IF($A379="","",IFERROR(IF(INDEX(Community_Register!$S$2:$S$402,MATCH($A379,Community_Register!$A$2:$A$402,0))="","",INDEX(Community_Register!$S$2:$S$402,MATCH($A379,Community_Register!$A$2:$A$402,0))),""))</f>
        <v/>
      </c>
      <c r="O379" s="11">
        <f>IF($A379="","",IFERROR(IF(INDEX(Community_Register!$V$2:$V$402,MATCH($A379,Community_Register!$A$2:$A$402,0))="","",INDEX(Community_Register!$V$2:$V$402,MATCH($A379,Community_Register!$A$2:$A$402,0))),""))</f>
        <v/>
      </c>
      <c r="P379" s="11">
        <f>IF(OR($C379="",$N379="",NOT(ISNUMBER($N379))),"",$N379/$C379)</f>
        <v/>
      </c>
      <c r="Q379" s="11">
        <f>IF($C379="","",IF(OR($N379="",NOT(ISNUMBER($N379))),"B",IF(ABS($P379-1)&lt;=0.3,"A",IF(OR($P379&gt;2,$P379&lt;0.5),"C","B"))))</f>
        <v/>
      </c>
    </row>
    <row r="380">
      <c r="B380" s="11">
        <f>IF($A380="","",IFERROR(IF(INDEX(Community_Register!$B$2:$B$402,MATCH($A380,Community_Register!$A$2:$A$402,0))="","",INDEX(Community_Register!$B$2:$B$402,MATCH($A380,Community_Register!$A$2:$A$402,0))),""))</f>
        <v/>
      </c>
      <c r="H380" s="11">
        <f>IF($C380="","",IF($C380&lt;1,"yes","no"))</f>
        <v/>
      </c>
      <c r="I380" s="11">
        <f>IF($C380="","",IF($C380&lt;2.6,"r75",IF($C380&lt;5.2,"r110",IF($C380&lt;9.9,"r150",IF($C380&lt;19.8,"r210","r300")))))</f>
        <v/>
      </c>
      <c r="J380" s="11">
        <f>IF($C380="","",ROUND(SQRT($C380*10000/PI()),1))</f>
        <v/>
      </c>
      <c r="N380" s="11">
        <f>IF($A380="","",IFERROR(IF(INDEX(Community_Register!$S$2:$S$402,MATCH($A380,Community_Register!$A$2:$A$402,0))="","",INDEX(Community_Register!$S$2:$S$402,MATCH($A380,Community_Register!$A$2:$A$402,0))),""))</f>
        <v/>
      </c>
      <c r="O380" s="11">
        <f>IF($A380="","",IFERROR(IF(INDEX(Community_Register!$V$2:$V$402,MATCH($A380,Community_Register!$A$2:$A$402,0))="","",INDEX(Community_Register!$V$2:$V$402,MATCH($A380,Community_Register!$A$2:$A$402,0))),""))</f>
        <v/>
      </c>
      <c r="P380" s="11">
        <f>IF(OR($C380="",$N380="",NOT(ISNUMBER($N380))),"",$N380/$C380)</f>
        <v/>
      </c>
      <c r="Q380" s="11">
        <f>IF($C380="","",IF(OR($N380="",NOT(ISNUMBER($N380))),"B",IF(ABS($P380-1)&lt;=0.3,"A",IF(OR($P380&gt;2,$P380&lt;0.5),"C","B"))))</f>
        <v/>
      </c>
    </row>
    <row r="381">
      <c r="B381" s="11">
        <f>IF($A381="","",IFERROR(IF(INDEX(Community_Register!$B$2:$B$402,MATCH($A381,Community_Register!$A$2:$A$402,0))="","",INDEX(Community_Register!$B$2:$B$402,MATCH($A381,Community_Register!$A$2:$A$402,0))),""))</f>
        <v/>
      </c>
      <c r="H381" s="11">
        <f>IF($C381="","",IF($C381&lt;1,"yes","no"))</f>
        <v/>
      </c>
      <c r="I381" s="11">
        <f>IF($C381="","",IF($C381&lt;2.6,"r75",IF($C381&lt;5.2,"r110",IF($C381&lt;9.9,"r150",IF($C381&lt;19.8,"r210","r300")))))</f>
        <v/>
      </c>
      <c r="J381" s="11">
        <f>IF($C381="","",ROUND(SQRT($C381*10000/PI()),1))</f>
        <v/>
      </c>
      <c r="N381" s="11">
        <f>IF($A381="","",IFERROR(IF(INDEX(Community_Register!$S$2:$S$402,MATCH($A381,Community_Register!$A$2:$A$402,0))="","",INDEX(Community_Register!$S$2:$S$402,MATCH($A381,Community_Register!$A$2:$A$402,0))),""))</f>
        <v/>
      </c>
      <c r="O381" s="11">
        <f>IF($A381="","",IFERROR(IF(INDEX(Community_Register!$V$2:$V$402,MATCH($A381,Community_Register!$A$2:$A$402,0))="","",INDEX(Community_Register!$V$2:$V$402,MATCH($A381,Community_Register!$A$2:$A$402,0))),""))</f>
        <v/>
      </c>
      <c r="P381" s="11">
        <f>IF(OR($C381="",$N381="",NOT(ISNUMBER($N381))),"",$N381/$C381)</f>
        <v/>
      </c>
      <c r="Q381" s="11">
        <f>IF($C381="","",IF(OR($N381="",NOT(ISNUMBER($N381))),"B",IF(ABS($P381-1)&lt;=0.3,"A",IF(OR($P381&gt;2,$P381&lt;0.5),"C","B"))))</f>
        <v/>
      </c>
    </row>
    <row r="382">
      <c r="B382" s="11">
        <f>IF($A382="","",IFERROR(IF(INDEX(Community_Register!$B$2:$B$402,MATCH($A382,Community_Register!$A$2:$A$402,0))="","",INDEX(Community_Register!$B$2:$B$402,MATCH($A382,Community_Register!$A$2:$A$402,0))),""))</f>
        <v/>
      </c>
      <c r="H382" s="11">
        <f>IF($C382="","",IF($C382&lt;1,"yes","no"))</f>
        <v/>
      </c>
      <c r="I382" s="11">
        <f>IF($C382="","",IF($C382&lt;2.6,"r75",IF($C382&lt;5.2,"r110",IF($C382&lt;9.9,"r150",IF($C382&lt;19.8,"r210","r300")))))</f>
        <v/>
      </c>
      <c r="J382" s="11">
        <f>IF($C382="","",ROUND(SQRT($C382*10000/PI()),1))</f>
        <v/>
      </c>
      <c r="N382" s="11">
        <f>IF($A382="","",IFERROR(IF(INDEX(Community_Register!$S$2:$S$402,MATCH($A382,Community_Register!$A$2:$A$402,0))="","",INDEX(Community_Register!$S$2:$S$402,MATCH($A382,Community_Register!$A$2:$A$402,0))),""))</f>
        <v/>
      </c>
      <c r="O382" s="11">
        <f>IF($A382="","",IFERROR(IF(INDEX(Community_Register!$V$2:$V$402,MATCH($A382,Community_Register!$A$2:$A$402,0))="","",INDEX(Community_Register!$V$2:$V$402,MATCH($A382,Community_Register!$A$2:$A$402,0))),""))</f>
        <v/>
      </c>
      <c r="P382" s="11">
        <f>IF(OR($C382="",$N382="",NOT(ISNUMBER($N382))),"",$N382/$C382)</f>
        <v/>
      </c>
      <c r="Q382" s="11">
        <f>IF($C382="","",IF(OR($N382="",NOT(ISNUMBER($N382))),"B",IF(ABS($P382-1)&lt;=0.3,"A",IF(OR($P382&gt;2,$P382&lt;0.5),"C","B"))))</f>
        <v/>
      </c>
    </row>
    <row r="383">
      <c r="B383" s="11">
        <f>IF($A383="","",IFERROR(IF(INDEX(Community_Register!$B$2:$B$402,MATCH($A383,Community_Register!$A$2:$A$402,0))="","",INDEX(Community_Register!$B$2:$B$402,MATCH($A383,Community_Register!$A$2:$A$402,0))),""))</f>
        <v/>
      </c>
      <c r="H383" s="11">
        <f>IF($C383="","",IF($C383&lt;1,"yes","no"))</f>
        <v/>
      </c>
      <c r="I383" s="11">
        <f>IF($C383="","",IF($C383&lt;2.6,"r75",IF($C383&lt;5.2,"r110",IF($C383&lt;9.9,"r150",IF($C383&lt;19.8,"r210","r300")))))</f>
        <v/>
      </c>
      <c r="J383" s="11">
        <f>IF($C383="","",ROUND(SQRT($C383*10000/PI()),1))</f>
        <v/>
      </c>
      <c r="N383" s="11">
        <f>IF($A383="","",IFERROR(IF(INDEX(Community_Register!$S$2:$S$402,MATCH($A383,Community_Register!$A$2:$A$402,0))="","",INDEX(Community_Register!$S$2:$S$402,MATCH($A383,Community_Register!$A$2:$A$402,0))),""))</f>
        <v/>
      </c>
      <c r="O383" s="11">
        <f>IF($A383="","",IFERROR(IF(INDEX(Community_Register!$V$2:$V$402,MATCH($A383,Community_Register!$A$2:$A$402,0))="","",INDEX(Community_Register!$V$2:$V$402,MATCH($A383,Community_Register!$A$2:$A$402,0))),""))</f>
        <v/>
      </c>
      <c r="P383" s="11">
        <f>IF(OR($C383="",$N383="",NOT(ISNUMBER($N383))),"",$N383/$C383)</f>
        <v/>
      </c>
      <c r="Q383" s="11">
        <f>IF($C383="","",IF(OR($N383="",NOT(ISNUMBER($N383))),"B",IF(ABS($P383-1)&lt;=0.3,"A",IF(OR($P383&gt;2,$P383&lt;0.5),"C","B"))))</f>
        <v/>
      </c>
    </row>
    <row r="384">
      <c r="B384" s="11">
        <f>IF($A384="","",IFERROR(IF(INDEX(Community_Register!$B$2:$B$402,MATCH($A384,Community_Register!$A$2:$A$402,0))="","",INDEX(Community_Register!$B$2:$B$402,MATCH($A384,Community_Register!$A$2:$A$402,0))),""))</f>
        <v/>
      </c>
      <c r="H384" s="11">
        <f>IF($C384="","",IF($C384&lt;1,"yes","no"))</f>
        <v/>
      </c>
      <c r="I384" s="11">
        <f>IF($C384="","",IF($C384&lt;2.6,"r75",IF($C384&lt;5.2,"r110",IF($C384&lt;9.9,"r150",IF($C384&lt;19.8,"r210","r300")))))</f>
        <v/>
      </c>
      <c r="J384" s="11">
        <f>IF($C384="","",ROUND(SQRT($C384*10000/PI()),1))</f>
        <v/>
      </c>
      <c r="N384" s="11">
        <f>IF($A384="","",IFERROR(IF(INDEX(Community_Register!$S$2:$S$402,MATCH($A384,Community_Register!$A$2:$A$402,0))="","",INDEX(Community_Register!$S$2:$S$402,MATCH($A384,Community_Register!$A$2:$A$402,0))),""))</f>
        <v/>
      </c>
      <c r="O384" s="11">
        <f>IF($A384="","",IFERROR(IF(INDEX(Community_Register!$V$2:$V$402,MATCH($A384,Community_Register!$A$2:$A$402,0))="","",INDEX(Community_Register!$V$2:$V$402,MATCH($A384,Community_Register!$A$2:$A$402,0))),""))</f>
        <v/>
      </c>
      <c r="P384" s="11">
        <f>IF(OR($C384="",$N384="",NOT(ISNUMBER($N384))),"",$N384/$C384)</f>
        <v/>
      </c>
      <c r="Q384" s="11">
        <f>IF($C384="","",IF(OR($N384="",NOT(ISNUMBER($N384))),"B",IF(ABS($P384-1)&lt;=0.3,"A",IF(OR($P384&gt;2,$P384&lt;0.5),"C","B"))))</f>
        <v/>
      </c>
    </row>
    <row r="385">
      <c r="B385" s="11">
        <f>IF($A385="","",IFERROR(IF(INDEX(Community_Register!$B$2:$B$402,MATCH($A385,Community_Register!$A$2:$A$402,0))="","",INDEX(Community_Register!$B$2:$B$402,MATCH($A385,Community_Register!$A$2:$A$402,0))),""))</f>
        <v/>
      </c>
      <c r="H385" s="11">
        <f>IF($C385="","",IF($C385&lt;1,"yes","no"))</f>
        <v/>
      </c>
      <c r="I385" s="11">
        <f>IF($C385="","",IF($C385&lt;2.6,"r75",IF($C385&lt;5.2,"r110",IF($C385&lt;9.9,"r150",IF($C385&lt;19.8,"r210","r300")))))</f>
        <v/>
      </c>
      <c r="J385" s="11">
        <f>IF($C385="","",ROUND(SQRT($C385*10000/PI()),1))</f>
        <v/>
      </c>
      <c r="N385" s="11">
        <f>IF($A385="","",IFERROR(IF(INDEX(Community_Register!$S$2:$S$402,MATCH($A385,Community_Register!$A$2:$A$402,0))="","",INDEX(Community_Register!$S$2:$S$402,MATCH($A385,Community_Register!$A$2:$A$402,0))),""))</f>
        <v/>
      </c>
      <c r="O385" s="11">
        <f>IF($A385="","",IFERROR(IF(INDEX(Community_Register!$V$2:$V$402,MATCH($A385,Community_Register!$A$2:$A$402,0))="","",INDEX(Community_Register!$V$2:$V$402,MATCH($A385,Community_Register!$A$2:$A$402,0))),""))</f>
        <v/>
      </c>
      <c r="P385" s="11">
        <f>IF(OR($C385="",$N385="",NOT(ISNUMBER($N385))),"",$N385/$C385)</f>
        <v/>
      </c>
      <c r="Q385" s="11">
        <f>IF($C385="","",IF(OR($N385="",NOT(ISNUMBER($N385))),"B",IF(ABS($P385-1)&lt;=0.3,"A",IF(OR($P385&gt;2,$P385&lt;0.5),"C","B"))))</f>
        <v/>
      </c>
    </row>
    <row r="386">
      <c r="B386" s="11">
        <f>IF($A386="","",IFERROR(IF(INDEX(Community_Register!$B$2:$B$402,MATCH($A386,Community_Register!$A$2:$A$402,0))="","",INDEX(Community_Register!$B$2:$B$402,MATCH($A386,Community_Register!$A$2:$A$402,0))),""))</f>
        <v/>
      </c>
      <c r="H386" s="11">
        <f>IF($C386="","",IF($C386&lt;1,"yes","no"))</f>
        <v/>
      </c>
      <c r="I386" s="11">
        <f>IF($C386="","",IF($C386&lt;2.6,"r75",IF($C386&lt;5.2,"r110",IF($C386&lt;9.9,"r150",IF($C386&lt;19.8,"r210","r300")))))</f>
        <v/>
      </c>
      <c r="J386" s="11">
        <f>IF($C386="","",ROUND(SQRT($C386*10000/PI()),1))</f>
        <v/>
      </c>
      <c r="N386" s="11">
        <f>IF($A386="","",IFERROR(IF(INDEX(Community_Register!$S$2:$S$402,MATCH($A386,Community_Register!$A$2:$A$402,0))="","",INDEX(Community_Register!$S$2:$S$402,MATCH($A386,Community_Register!$A$2:$A$402,0))),""))</f>
        <v/>
      </c>
      <c r="O386" s="11">
        <f>IF($A386="","",IFERROR(IF(INDEX(Community_Register!$V$2:$V$402,MATCH($A386,Community_Register!$A$2:$A$402,0))="","",INDEX(Community_Register!$V$2:$V$402,MATCH($A386,Community_Register!$A$2:$A$402,0))),""))</f>
        <v/>
      </c>
      <c r="P386" s="11">
        <f>IF(OR($C386="",$N386="",NOT(ISNUMBER($N386))),"",$N386/$C386)</f>
        <v/>
      </c>
      <c r="Q386" s="11">
        <f>IF($C386="","",IF(OR($N386="",NOT(ISNUMBER($N386))),"B",IF(ABS($P386-1)&lt;=0.3,"A",IF(OR($P386&gt;2,$P386&lt;0.5),"C","B"))))</f>
        <v/>
      </c>
    </row>
    <row r="387">
      <c r="B387" s="11">
        <f>IF($A387="","",IFERROR(IF(INDEX(Community_Register!$B$2:$B$402,MATCH($A387,Community_Register!$A$2:$A$402,0))="","",INDEX(Community_Register!$B$2:$B$402,MATCH($A387,Community_Register!$A$2:$A$402,0))),""))</f>
        <v/>
      </c>
      <c r="H387" s="11">
        <f>IF($C387="","",IF($C387&lt;1,"yes","no"))</f>
        <v/>
      </c>
      <c r="I387" s="11">
        <f>IF($C387="","",IF($C387&lt;2.6,"r75",IF($C387&lt;5.2,"r110",IF($C387&lt;9.9,"r150",IF($C387&lt;19.8,"r210","r300")))))</f>
        <v/>
      </c>
      <c r="J387" s="11">
        <f>IF($C387="","",ROUND(SQRT($C387*10000/PI()),1))</f>
        <v/>
      </c>
      <c r="N387" s="11">
        <f>IF($A387="","",IFERROR(IF(INDEX(Community_Register!$S$2:$S$402,MATCH($A387,Community_Register!$A$2:$A$402,0))="","",INDEX(Community_Register!$S$2:$S$402,MATCH($A387,Community_Register!$A$2:$A$402,0))),""))</f>
        <v/>
      </c>
      <c r="O387" s="11">
        <f>IF($A387="","",IFERROR(IF(INDEX(Community_Register!$V$2:$V$402,MATCH($A387,Community_Register!$A$2:$A$402,0))="","",INDEX(Community_Register!$V$2:$V$402,MATCH($A387,Community_Register!$A$2:$A$402,0))),""))</f>
        <v/>
      </c>
      <c r="P387" s="11">
        <f>IF(OR($C387="",$N387="",NOT(ISNUMBER($N387))),"",$N387/$C387)</f>
        <v/>
      </c>
      <c r="Q387" s="11">
        <f>IF($C387="","",IF(OR($N387="",NOT(ISNUMBER($N387))),"B",IF(ABS($P387-1)&lt;=0.3,"A",IF(OR($P387&gt;2,$P387&lt;0.5),"C","B"))))</f>
        <v/>
      </c>
    </row>
    <row r="388">
      <c r="B388" s="11">
        <f>IF($A388="","",IFERROR(IF(INDEX(Community_Register!$B$2:$B$402,MATCH($A388,Community_Register!$A$2:$A$402,0))="","",INDEX(Community_Register!$B$2:$B$402,MATCH($A388,Community_Register!$A$2:$A$402,0))),""))</f>
        <v/>
      </c>
      <c r="H388" s="11">
        <f>IF($C388="","",IF($C388&lt;1,"yes","no"))</f>
        <v/>
      </c>
      <c r="I388" s="11">
        <f>IF($C388="","",IF($C388&lt;2.6,"r75",IF($C388&lt;5.2,"r110",IF($C388&lt;9.9,"r150",IF($C388&lt;19.8,"r210","r300")))))</f>
        <v/>
      </c>
      <c r="J388" s="11">
        <f>IF($C388="","",ROUND(SQRT($C388*10000/PI()),1))</f>
        <v/>
      </c>
      <c r="N388" s="11">
        <f>IF($A388="","",IFERROR(IF(INDEX(Community_Register!$S$2:$S$402,MATCH($A388,Community_Register!$A$2:$A$402,0))="","",INDEX(Community_Register!$S$2:$S$402,MATCH($A388,Community_Register!$A$2:$A$402,0))),""))</f>
        <v/>
      </c>
      <c r="O388" s="11">
        <f>IF($A388="","",IFERROR(IF(INDEX(Community_Register!$V$2:$V$402,MATCH($A388,Community_Register!$A$2:$A$402,0))="","",INDEX(Community_Register!$V$2:$V$402,MATCH($A388,Community_Register!$A$2:$A$402,0))),""))</f>
        <v/>
      </c>
      <c r="P388" s="11">
        <f>IF(OR($C388="",$N388="",NOT(ISNUMBER($N388))),"",$N388/$C388)</f>
        <v/>
      </c>
      <c r="Q388" s="11">
        <f>IF($C388="","",IF(OR($N388="",NOT(ISNUMBER($N388))),"B",IF(ABS($P388-1)&lt;=0.3,"A",IF(OR($P388&gt;2,$P388&lt;0.5),"C","B"))))</f>
        <v/>
      </c>
    </row>
    <row r="389">
      <c r="B389" s="11">
        <f>IF($A389="","",IFERROR(IF(INDEX(Community_Register!$B$2:$B$402,MATCH($A389,Community_Register!$A$2:$A$402,0))="","",INDEX(Community_Register!$B$2:$B$402,MATCH($A389,Community_Register!$A$2:$A$402,0))),""))</f>
        <v/>
      </c>
      <c r="H389" s="11">
        <f>IF($C389="","",IF($C389&lt;1,"yes","no"))</f>
        <v/>
      </c>
      <c r="I389" s="11">
        <f>IF($C389="","",IF($C389&lt;2.6,"r75",IF($C389&lt;5.2,"r110",IF($C389&lt;9.9,"r150",IF($C389&lt;19.8,"r210","r300")))))</f>
        <v/>
      </c>
      <c r="J389" s="11">
        <f>IF($C389="","",ROUND(SQRT($C389*10000/PI()),1))</f>
        <v/>
      </c>
      <c r="N389" s="11">
        <f>IF($A389="","",IFERROR(IF(INDEX(Community_Register!$S$2:$S$402,MATCH($A389,Community_Register!$A$2:$A$402,0))="","",INDEX(Community_Register!$S$2:$S$402,MATCH($A389,Community_Register!$A$2:$A$402,0))),""))</f>
        <v/>
      </c>
      <c r="O389" s="11">
        <f>IF($A389="","",IFERROR(IF(INDEX(Community_Register!$V$2:$V$402,MATCH($A389,Community_Register!$A$2:$A$402,0))="","",INDEX(Community_Register!$V$2:$V$402,MATCH($A389,Community_Register!$A$2:$A$402,0))),""))</f>
        <v/>
      </c>
      <c r="P389" s="11">
        <f>IF(OR($C389="",$N389="",NOT(ISNUMBER($N389))),"",$N389/$C389)</f>
        <v/>
      </c>
      <c r="Q389" s="11">
        <f>IF($C389="","",IF(OR($N389="",NOT(ISNUMBER($N389))),"B",IF(ABS($P389-1)&lt;=0.3,"A",IF(OR($P389&gt;2,$P389&lt;0.5),"C","B"))))</f>
        <v/>
      </c>
    </row>
    <row r="390">
      <c r="B390" s="11">
        <f>IF($A390="","",IFERROR(IF(INDEX(Community_Register!$B$2:$B$402,MATCH($A390,Community_Register!$A$2:$A$402,0))="","",INDEX(Community_Register!$B$2:$B$402,MATCH($A390,Community_Register!$A$2:$A$402,0))),""))</f>
        <v/>
      </c>
      <c r="H390" s="11">
        <f>IF($C390="","",IF($C390&lt;1,"yes","no"))</f>
        <v/>
      </c>
      <c r="I390" s="11">
        <f>IF($C390="","",IF($C390&lt;2.6,"r75",IF($C390&lt;5.2,"r110",IF($C390&lt;9.9,"r150",IF($C390&lt;19.8,"r210","r300")))))</f>
        <v/>
      </c>
      <c r="J390" s="11">
        <f>IF($C390="","",ROUND(SQRT($C390*10000/PI()),1))</f>
        <v/>
      </c>
      <c r="N390" s="11">
        <f>IF($A390="","",IFERROR(IF(INDEX(Community_Register!$S$2:$S$402,MATCH($A390,Community_Register!$A$2:$A$402,0))="","",INDEX(Community_Register!$S$2:$S$402,MATCH($A390,Community_Register!$A$2:$A$402,0))),""))</f>
        <v/>
      </c>
      <c r="O390" s="11">
        <f>IF($A390="","",IFERROR(IF(INDEX(Community_Register!$V$2:$V$402,MATCH($A390,Community_Register!$A$2:$A$402,0))="","",INDEX(Community_Register!$V$2:$V$402,MATCH($A390,Community_Register!$A$2:$A$402,0))),""))</f>
        <v/>
      </c>
      <c r="P390" s="11">
        <f>IF(OR($C390="",$N390="",NOT(ISNUMBER($N390))),"",$N390/$C390)</f>
        <v/>
      </c>
      <c r="Q390" s="11">
        <f>IF($C390="","",IF(OR($N390="",NOT(ISNUMBER($N390))),"B",IF(ABS($P390-1)&lt;=0.3,"A",IF(OR($P390&gt;2,$P390&lt;0.5),"C","B"))))</f>
        <v/>
      </c>
    </row>
    <row r="391">
      <c r="B391" s="11">
        <f>IF($A391="","",IFERROR(IF(INDEX(Community_Register!$B$2:$B$402,MATCH($A391,Community_Register!$A$2:$A$402,0))="","",INDEX(Community_Register!$B$2:$B$402,MATCH($A391,Community_Register!$A$2:$A$402,0))),""))</f>
        <v/>
      </c>
      <c r="H391" s="11">
        <f>IF($C391="","",IF($C391&lt;1,"yes","no"))</f>
        <v/>
      </c>
      <c r="I391" s="11">
        <f>IF($C391="","",IF($C391&lt;2.6,"r75",IF($C391&lt;5.2,"r110",IF($C391&lt;9.9,"r150",IF($C391&lt;19.8,"r210","r300")))))</f>
        <v/>
      </c>
      <c r="J391" s="11">
        <f>IF($C391="","",ROUND(SQRT($C391*10000/PI()),1))</f>
        <v/>
      </c>
      <c r="N391" s="11">
        <f>IF($A391="","",IFERROR(IF(INDEX(Community_Register!$S$2:$S$402,MATCH($A391,Community_Register!$A$2:$A$402,0))="","",INDEX(Community_Register!$S$2:$S$402,MATCH($A391,Community_Register!$A$2:$A$402,0))),""))</f>
        <v/>
      </c>
      <c r="O391" s="11">
        <f>IF($A391="","",IFERROR(IF(INDEX(Community_Register!$V$2:$V$402,MATCH($A391,Community_Register!$A$2:$A$402,0))="","",INDEX(Community_Register!$V$2:$V$402,MATCH($A391,Community_Register!$A$2:$A$402,0))),""))</f>
        <v/>
      </c>
      <c r="P391" s="11">
        <f>IF(OR($C391="",$N391="",NOT(ISNUMBER($N391))),"",$N391/$C391)</f>
        <v/>
      </c>
      <c r="Q391" s="11">
        <f>IF($C391="","",IF(OR($N391="",NOT(ISNUMBER($N391))),"B",IF(ABS($P391-1)&lt;=0.3,"A",IF(OR($P391&gt;2,$P391&lt;0.5),"C","B"))))</f>
        <v/>
      </c>
    </row>
    <row r="392">
      <c r="B392" s="11">
        <f>IF($A392="","",IFERROR(IF(INDEX(Community_Register!$B$2:$B$402,MATCH($A392,Community_Register!$A$2:$A$402,0))="","",INDEX(Community_Register!$B$2:$B$402,MATCH($A392,Community_Register!$A$2:$A$402,0))),""))</f>
        <v/>
      </c>
      <c r="H392" s="11">
        <f>IF($C392="","",IF($C392&lt;1,"yes","no"))</f>
        <v/>
      </c>
      <c r="I392" s="11">
        <f>IF($C392="","",IF($C392&lt;2.6,"r75",IF($C392&lt;5.2,"r110",IF($C392&lt;9.9,"r150",IF($C392&lt;19.8,"r210","r300")))))</f>
        <v/>
      </c>
      <c r="J392" s="11">
        <f>IF($C392="","",ROUND(SQRT($C392*10000/PI()),1))</f>
        <v/>
      </c>
      <c r="N392" s="11">
        <f>IF($A392="","",IFERROR(IF(INDEX(Community_Register!$S$2:$S$402,MATCH($A392,Community_Register!$A$2:$A$402,0))="","",INDEX(Community_Register!$S$2:$S$402,MATCH($A392,Community_Register!$A$2:$A$402,0))),""))</f>
        <v/>
      </c>
      <c r="O392" s="11">
        <f>IF($A392="","",IFERROR(IF(INDEX(Community_Register!$V$2:$V$402,MATCH($A392,Community_Register!$A$2:$A$402,0))="","",INDEX(Community_Register!$V$2:$V$402,MATCH($A392,Community_Register!$A$2:$A$402,0))),""))</f>
        <v/>
      </c>
      <c r="P392" s="11">
        <f>IF(OR($C392="",$N392="",NOT(ISNUMBER($N392))),"",$N392/$C392)</f>
        <v/>
      </c>
      <c r="Q392" s="11">
        <f>IF($C392="","",IF(OR($N392="",NOT(ISNUMBER($N392))),"B",IF(ABS($P392-1)&lt;=0.3,"A",IF(OR($P392&gt;2,$P392&lt;0.5),"C","B"))))</f>
        <v/>
      </c>
    </row>
    <row r="393">
      <c r="B393" s="11">
        <f>IF($A393="","",IFERROR(IF(INDEX(Community_Register!$B$2:$B$402,MATCH($A393,Community_Register!$A$2:$A$402,0))="","",INDEX(Community_Register!$B$2:$B$402,MATCH($A393,Community_Register!$A$2:$A$402,0))),""))</f>
        <v/>
      </c>
      <c r="H393" s="11">
        <f>IF($C393="","",IF($C393&lt;1,"yes","no"))</f>
        <v/>
      </c>
      <c r="I393" s="11">
        <f>IF($C393="","",IF($C393&lt;2.6,"r75",IF($C393&lt;5.2,"r110",IF($C393&lt;9.9,"r150",IF($C393&lt;19.8,"r210","r300")))))</f>
        <v/>
      </c>
      <c r="J393" s="11">
        <f>IF($C393="","",ROUND(SQRT($C393*10000/PI()),1))</f>
        <v/>
      </c>
      <c r="N393" s="11">
        <f>IF($A393="","",IFERROR(IF(INDEX(Community_Register!$S$2:$S$402,MATCH($A393,Community_Register!$A$2:$A$402,0))="","",INDEX(Community_Register!$S$2:$S$402,MATCH($A393,Community_Register!$A$2:$A$402,0))),""))</f>
        <v/>
      </c>
      <c r="O393" s="11">
        <f>IF($A393="","",IFERROR(IF(INDEX(Community_Register!$V$2:$V$402,MATCH($A393,Community_Register!$A$2:$A$402,0))="","",INDEX(Community_Register!$V$2:$V$402,MATCH($A393,Community_Register!$A$2:$A$402,0))),""))</f>
        <v/>
      </c>
      <c r="P393" s="11">
        <f>IF(OR($C393="",$N393="",NOT(ISNUMBER($N393))),"",$N393/$C393)</f>
        <v/>
      </c>
      <c r="Q393" s="11">
        <f>IF($C393="","",IF(OR($N393="",NOT(ISNUMBER($N393))),"B",IF(ABS($P393-1)&lt;=0.3,"A",IF(OR($P393&gt;2,$P393&lt;0.5),"C","B"))))</f>
        <v/>
      </c>
    </row>
    <row r="394">
      <c r="B394" s="11">
        <f>IF($A394="","",IFERROR(IF(INDEX(Community_Register!$B$2:$B$402,MATCH($A394,Community_Register!$A$2:$A$402,0))="","",INDEX(Community_Register!$B$2:$B$402,MATCH($A394,Community_Register!$A$2:$A$402,0))),""))</f>
        <v/>
      </c>
      <c r="H394" s="11">
        <f>IF($C394="","",IF($C394&lt;1,"yes","no"))</f>
        <v/>
      </c>
      <c r="I394" s="11">
        <f>IF($C394="","",IF($C394&lt;2.6,"r75",IF($C394&lt;5.2,"r110",IF($C394&lt;9.9,"r150",IF($C394&lt;19.8,"r210","r300")))))</f>
        <v/>
      </c>
      <c r="J394" s="11">
        <f>IF($C394="","",ROUND(SQRT($C394*10000/PI()),1))</f>
        <v/>
      </c>
      <c r="N394" s="11">
        <f>IF($A394="","",IFERROR(IF(INDEX(Community_Register!$S$2:$S$402,MATCH($A394,Community_Register!$A$2:$A$402,0))="","",INDEX(Community_Register!$S$2:$S$402,MATCH($A394,Community_Register!$A$2:$A$402,0))),""))</f>
        <v/>
      </c>
      <c r="O394" s="11">
        <f>IF($A394="","",IFERROR(IF(INDEX(Community_Register!$V$2:$V$402,MATCH($A394,Community_Register!$A$2:$A$402,0))="","",INDEX(Community_Register!$V$2:$V$402,MATCH($A394,Community_Register!$A$2:$A$402,0))),""))</f>
        <v/>
      </c>
      <c r="P394" s="11">
        <f>IF(OR($C394="",$N394="",NOT(ISNUMBER($N394))),"",$N394/$C394)</f>
        <v/>
      </c>
      <c r="Q394" s="11">
        <f>IF($C394="","",IF(OR($N394="",NOT(ISNUMBER($N394))),"B",IF(ABS($P394-1)&lt;=0.3,"A",IF(OR($P394&gt;2,$P394&lt;0.5),"C","B"))))</f>
        <v/>
      </c>
    </row>
    <row r="395">
      <c r="B395" s="11">
        <f>IF($A395="","",IFERROR(IF(INDEX(Community_Register!$B$2:$B$402,MATCH($A395,Community_Register!$A$2:$A$402,0))="","",INDEX(Community_Register!$B$2:$B$402,MATCH($A395,Community_Register!$A$2:$A$402,0))),""))</f>
        <v/>
      </c>
      <c r="H395" s="11">
        <f>IF($C395="","",IF($C395&lt;1,"yes","no"))</f>
        <v/>
      </c>
      <c r="I395" s="11">
        <f>IF($C395="","",IF($C395&lt;2.6,"r75",IF($C395&lt;5.2,"r110",IF($C395&lt;9.9,"r150",IF($C395&lt;19.8,"r210","r300")))))</f>
        <v/>
      </c>
      <c r="J395" s="11">
        <f>IF($C395="","",ROUND(SQRT($C395*10000/PI()),1))</f>
        <v/>
      </c>
      <c r="N395" s="11">
        <f>IF($A395="","",IFERROR(IF(INDEX(Community_Register!$S$2:$S$402,MATCH($A395,Community_Register!$A$2:$A$402,0))="","",INDEX(Community_Register!$S$2:$S$402,MATCH($A395,Community_Register!$A$2:$A$402,0))),""))</f>
        <v/>
      </c>
      <c r="O395" s="11">
        <f>IF($A395="","",IFERROR(IF(INDEX(Community_Register!$V$2:$V$402,MATCH($A395,Community_Register!$A$2:$A$402,0))="","",INDEX(Community_Register!$V$2:$V$402,MATCH($A395,Community_Register!$A$2:$A$402,0))),""))</f>
        <v/>
      </c>
      <c r="P395" s="11">
        <f>IF(OR($C395="",$N395="",NOT(ISNUMBER($N395))),"",$N395/$C395)</f>
        <v/>
      </c>
      <c r="Q395" s="11">
        <f>IF($C395="","",IF(OR($N395="",NOT(ISNUMBER($N395))),"B",IF(ABS($P395-1)&lt;=0.3,"A",IF(OR($P395&gt;2,$P395&lt;0.5),"C","B"))))</f>
        <v/>
      </c>
    </row>
    <row r="396">
      <c r="B396" s="11">
        <f>IF($A396="","",IFERROR(IF(INDEX(Community_Register!$B$2:$B$402,MATCH($A396,Community_Register!$A$2:$A$402,0))="","",INDEX(Community_Register!$B$2:$B$402,MATCH($A396,Community_Register!$A$2:$A$402,0))),""))</f>
        <v/>
      </c>
      <c r="H396" s="11">
        <f>IF($C396="","",IF($C396&lt;1,"yes","no"))</f>
        <v/>
      </c>
      <c r="I396" s="11">
        <f>IF($C396="","",IF($C396&lt;2.6,"r75",IF($C396&lt;5.2,"r110",IF($C396&lt;9.9,"r150",IF($C396&lt;19.8,"r210","r300")))))</f>
        <v/>
      </c>
      <c r="J396" s="11">
        <f>IF($C396="","",ROUND(SQRT($C396*10000/PI()),1))</f>
        <v/>
      </c>
      <c r="N396" s="11">
        <f>IF($A396="","",IFERROR(IF(INDEX(Community_Register!$S$2:$S$402,MATCH($A396,Community_Register!$A$2:$A$402,0))="","",INDEX(Community_Register!$S$2:$S$402,MATCH($A396,Community_Register!$A$2:$A$402,0))),""))</f>
        <v/>
      </c>
      <c r="O396" s="11">
        <f>IF($A396="","",IFERROR(IF(INDEX(Community_Register!$V$2:$V$402,MATCH($A396,Community_Register!$A$2:$A$402,0))="","",INDEX(Community_Register!$V$2:$V$402,MATCH($A396,Community_Register!$A$2:$A$402,0))),""))</f>
        <v/>
      </c>
      <c r="P396" s="11">
        <f>IF(OR($C396="",$N396="",NOT(ISNUMBER($N396))),"",$N396/$C396)</f>
        <v/>
      </c>
      <c r="Q396" s="11">
        <f>IF($C396="","",IF(OR($N396="",NOT(ISNUMBER($N396))),"B",IF(ABS($P396-1)&lt;=0.3,"A",IF(OR($P396&gt;2,$P396&lt;0.5),"C","B"))))</f>
        <v/>
      </c>
    </row>
    <row r="397">
      <c r="B397" s="11">
        <f>IF($A397="","",IFERROR(IF(INDEX(Community_Register!$B$2:$B$402,MATCH($A397,Community_Register!$A$2:$A$402,0))="","",INDEX(Community_Register!$B$2:$B$402,MATCH($A397,Community_Register!$A$2:$A$402,0))),""))</f>
        <v/>
      </c>
      <c r="H397" s="11">
        <f>IF($C397="","",IF($C397&lt;1,"yes","no"))</f>
        <v/>
      </c>
      <c r="I397" s="11">
        <f>IF($C397="","",IF($C397&lt;2.6,"r75",IF($C397&lt;5.2,"r110",IF($C397&lt;9.9,"r150",IF($C397&lt;19.8,"r210","r300")))))</f>
        <v/>
      </c>
      <c r="J397" s="11">
        <f>IF($C397="","",ROUND(SQRT($C397*10000/PI()),1))</f>
        <v/>
      </c>
      <c r="N397" s="11">
        <f>IF($A397="","",IFERROR(IF(INDEX(Community_Register!$S$2:$S$402,MATCH($A397,Community_Register!$A$2:$A$402,0))="","",INDEX(Community_Register!$S$2:$S$402,MATCH($A397,Community_Register!$A$2:$A$402,0))),""))</f>
        <v/>
      </c>
      <c r="O397" s="11">
        <f>IF($A397="","",IFERROR(IF(INDEX(Community_Register!$V$2:$V$402,MATCH($A397,Community_Register!$A$2:$A$402,0))="","",INDEX(Community_Register!$V$2:$V$402,MATCH($A397,Community_Register!$A$2:$A$402,0))),""))</f>
        <v/>
      </c>
      <c r="P397" s="11">
        <f>IF(OR($C397="",$N397="",NOT(ISNUMBER($N397))),"",$N397/$C397)</f>
        <v/>
      </c>
      <c r="Q397" s="11">
        <f>IF($C397="","",IF(OR($N397="",NOT(ISNUMBER($N397))),"B",IF(ABS($P397-1)&lt;=0.3,"A",IF(OR($P397&gt;2,$P397&lt;0.5),"C","B"))))</f>
        <v/>
      </c>
    </row>
    <row r="398">
      <c r="B398" s="11">
        <f>IF($A398="","",IFERROR(IF(INDEX(Community_Register!$B$2:$B$402,MATCH($A398,Community_Register!$A$2:$A$402,0))="","",INDEX(Community_Register!$B$2:$B$402,MATCH($A398,Community_Register!$A$2:$A$402,0))),""))</f>
        <v/>
      </c>
      <c r="H398" s="11">
        <f>IF($C398="","",IF($C398&lt;1,"yes","no"))</f>
        <v/>
      </c>
      <c r="I398" s="11">
        <f>IF($C398="","",IF($C398&lt;2.6,"r75",IF($C398&lt;5.2,"r110",IF($C398&lt;9.9,"r150",IF($C398&lt;19.8,"r210","r300")))))</f>
        <v/>
      </c>
      <c r="J398" s="11">
        <f>IF($C398="","",ROUND(SQRT($C398*10000/PI()),1))</f>
        <v/>
      </c>
      <c r="N398" s="11">
        <f>IF($A398="","",IFERROR(IF(INDEX(Community_Register!$S$2:$S$402,MATCH($A398,Community_Register!$A$2:$A$402,0))="","",INDEX(Community_Register!$S$2:$S$402,MATCH($A398,Community_Register!$A$2:$A$402,0))),""))</f>
        <v/>
      </c>
      <c r="O398" s="11">
        <f>IF($A398="","",IFERROR(IF(INDEX(Community_Register!$V$2:$V$402,MATCH($A398,Community_Register!$A$2:$A$402,0))="","",INDEX(Community_Register!$V$2:$V$402,MATCH($A398,Community_Register!$A$2:$A$402,0))),""))</f>
        <v/>
      </c>
      <c r="P398" s="11">
        <f>IF(OR($C398="",$N398="",NOT(ISNUMBER($N398))),"",$N398/$C398)</f>
        <v/>
      </c>
      <c r="Q398" s="11">
        <f>IF($C398="","",IF(OR($N398="",NOT(ISNUMBER($N398))),"B",IF(ABS($P398-1)&lt;=0.3,"A",IF(OR($P398&gt;2,$P398&lt;0.5),"C","B"))))</f>
        <v/>
      </c>
    </row>
    <row r="399">
      <c r="B399" s="11">
        <f>IF($A399="","",IFERROR(IF(INDEX(Community_Register!$B$2:$B$402,MATCH($A399,Community_Register!$A$2:$A$402,0))="","",INDEX(Community_Register!$B$2:$B$402,MATCH($A399,Community_Register!$A$2:$A$402,0))),""))</f>
        <v/>
      </c>
      <c r="H399" s="11">
        <f>IF($C399="","",IF($C399&lt;1,"yes","no"))</f>
        <v/>
      </c>
      <c r="I399" s="11">
        <f>IF($C399="","",IF($C399&lt;2.6,"r75",IF($C399&lt;5.2,"r110",IF($C399&lt;9.9,"r150",IF($C399&lt;19.8,"r210","r300")))))</f>
        <v/>
      </c>
      <c r="J399" s="11">
        <f>IF($C399="","",ROUND(SQRT($C399*10000/PI()),1))</f>
        <v/>
      </c>
      <c r="N399" s="11">
        <f>IF($A399="","",IFERROR(IF(INDEX(Community_Register!$S$2:$S$402,MATCH($A399,Community_Register!$A$2:$A$402,0))="","",INDEX(Community_Register!$S$2:$S$402,MATCH($A399,Community_Register!$A$2:$A$402,0))),""))</f>
        <v/>
      </c>
      <c r="O399" s="11">
        <f>IF($A399="","",IFERROR(IF(INDEX(Community_Register!$V$2:$V$402,MATCH($A399,Community_Register!$A$2:$A$402,0))="","",INDEX(Community_Register!$V$2:$V$402,MATCH($A399,Community_Register!$A$2:$A$402,0))),""))</f>
        <v/>
      </c>
      <c r="P399" s="11">
        <f>IF(OR($C399="",$N399="",NOT(ISNUMBER($N399))),"",$N399/$C399)</f>
        <v/>
      </c>
      <c r="Q399" s="11">
        <f>IF($C399="","",IF(OR($N399="",NOT(ISNUMBER($N399))),"B",IF(ABS($P399-1)&lt;=0.3,"A",IF(OR($P399&gt;2,$P399&lt;0.5),"C","B"))))</f>
        <v/>
      </c>
    </row>
    <row r="400">
      <c r="B400" s="11">
        <f>IF($A400="","",IFERROR(IF(INDEX(Community_Register!$B$2:$B$402,MATCH($A400,Community_Register!$A$2:$A$402,0))="","",INDEX(Community_Register!$B$2:$B$402,MATCH($A400,Community_Register!$A$2:$A$402,0))),""))</f>
        <v/>
      </c>
      <c r="H400" s="11">
        <f>IF($C400="","",IF($C400&lt;1,"yes","no"))</f>
        <v/>
      </c>
      <c r="I400" s="11">
        <f>IF($C400="","",IF($C400&lt;2.6,"r75",IF($C400&lt;5.2,"r110",IF($C400&lt;9.9,"r150",IF($C400&lt;19.8,"r210","r300")))))</f>
        <v/>
      </c>
      <c r="J400" s="11">
        <f>IF($C400="","",ROUND(SQRT($C400*10000/PI()),1))</f>
        <v/>
      </c>
      <c r="N400" s="11">
        <f>IF($A400="","",IFERROR(IF(INDEX(Community_Register!$S$2:$S$402,MATCH($A400,Community_Register!$A$2:$A$402,0))="","",INDEX(Community_Register!$S$2:$S$402,MATCH($A400,Community_Register!$A$2:$A$402,0))),""))</f>
        <v/>
      </c>
      <c r="O400" s="11">
        <f>IF($A400="","",IFERROR(IF(INDEX(Community_Register!$V$2:$V$402,MATCH($A400,Community_Register!$A$2:$A$402,0))="","",INDEX(Community_Register!$V$2:$V$402,MATCH($A400,Community_Register!$A$2:$A$402,0))),""))</f>
        <v/>
      </c>
      <c r="P400" s="11">
        <f>IF(OR($C400="",$N400="",NOT(ISNUMBER($N400))),"",$N400/$C400)</f>
        <v/>
      </c>
      <c r="Q400" s="11">
        <f>IF($C400="","",IF(OR($N400="",NOT(ISNUMBER($N400))),"B",IF(ABS($P400-1)&lt;=0.3,"A",IF(OR($P400&gt;2,$P400&lt;0.5),"C","B"))))</f>
        <v/>
      </c>
    </row>
    <row r="401">
      <c r="B401" s="11">
        <f>IF($A401="","",IFERROR(IF(INDEX(Community_Register!$B$2:$B$402,MATCH($A401,Community_Register!$A$2:$A$402,0))="","",INDEX(Community_Register!$B$2:$B$402,MATCH($A401,Community_Register!$A$2:$A$402,0))),""))</f>
        <v/>
      </c>
      <c r="H401" s="11">
        <f>IF($C401="","",IF($C401&lt;1,"yes","no"))</f>
        <v/>
      </c>
      <c r="I401" s="11">
        <f>IF($C401="","",IF($C401&lt;2.6,"r75",IF($C401&lt;5.2,"r110",IF($C401&lt;9.9,"r150",IF($C401&lt;19.8,"r210","r300")))))</f>
        <v/>
      </c>
      <c r="J401" s="11">
        <f>IF($C401="","",ROUND(SQRT($C401*10000/PI()),1))</f>
        <v/>
      </c>
      <c r="N401" s="11">
        <f>IF($A401="","",IFERROR(IF(INDEX(Community_Register!$S$2:$S$402,MATCH($A401,Community_Register!$A$2:$A$402,0))="","",INDEX(Community_Register!$S$2:$S$402,MATCH($A401,Community_Register!$A$2:$A$402,0))),""))</f>
        <v/>
      </c>
      <c r="O401" s="11">
        <f>IF($A401="","",IFERROR(IF(INDEX(Community_Register!$V$2:$V$402,MATCH($A401,Community_Register!$A$2:$A$402,0))="","",INDEX(Community_Register!$V$2:$V$402,MATCH($A401,Community_Register!$A$2:$A$402,0))),""))</f>
        <v/>
      </c>
      <c r="P401" s="11">
        <f>IF(OR($C401="",$N401="",NOT(ISNUMBER($N401))),"",$N401/$C401)</f>
        <v/>
      </c>
      <c r="Q401" s="11">
        <f>IF($C401="","",IF(OR($N401="",NOT(ISNUMBER($N401))),"B",IF(ABS($P401-1)&lt;=0.3,"A",IF(OR($P401&gt;2,$P401&lt;0.5),"C","B"))))</f>
        <v/>
      </c>
    </row>
    <row r="402">
      <c r="B402" s="11">
        <f>IF($A402="","",IFERROR(IF(INDEX(Community_Register!$B$2:$B$402,MATCH($A402,Community_Register!$A$2:$A$402,0))="","",INDEX(Community_Register!$B$2:$B$402,MATCH($A402,Community_Register!$A$2:$A$402,0))),""))</f>
        <v/>
      </c>
      <c r="H402" s="11">
        <f>IF($C402="","",IF($C402&lt;1,"yes","no"))</f>
        <v/>
      </c>
      <c r="I402" s="11">
        <f>IF($C402="","",IF($C402&lt;2.6,"r75",IF($C402&lt;5.2,"r110",IF($C402&lt;9.9,"r150",IF($C402&lt;19.8,"r210","r300")))))</f>
        <v/>
      </c>
      <c r="J402" s="11">
        <f>IF($C402="","",ROUND(SQRT($C402*10000/PI()),1))</f>
        <v/>
      </c>
      <c r="N402" s="11">
        <f>IF($A402="","",IFERROR(IF(INDEX(Community_Register!$S$2:$S$402,MATCH($A402,Community_Register!$A$2:$A$402,0))="","",INDEX(Community_Register!$S$2:$S$402,MATCH($A402,Community_Register!$A$2:$A$402,0))),""))</f>
        <v/>
      </c>
      <c r="O402" s="11">
        <f>IF($A402="","",IFERROR(IF(INDEX(Community_Register!$V$2:$V$402,MATCH($A402,Community_Register!$A$2:$A$402,0))="","",INDEX(Community_Register!$V$2:$V$402,MATCH($A402,Community_Register!$A$2:$A$402,0))),""))</f>
        <v/>
      </c>
      <c r="P402" s="11">
        <f>IF(OR($C402="",$N402="",NOT(ISNUMBER($N402))),"",$N402/$C402)</f>
        <v/>
      </c>
      <c r="Q402" s="11">
        <f>IF($C402="","",IF(OR($N402="",NOT(ISNUMBER($N402))),"B",IF(ABS($P402-1)&lt;=0.3,"A",IF(OR($P402&gt;2,$P402&lt;0.5),"C","B"))))</f>
        <v/>
      </c>
    </row>
  </sheetData>
  <autoFilter ref="A1:W1"/>
  <dataValidations count="3">
    <dataValidation sqref="F2:F402" showDropDown="0" showInputMessage="0" showErrorMessage="0" allowBlank="1" errorTitle="Value not in the controlled vocabulary" error="Use the dropdown. Free-typed variants corrupt every count." type="list">
      <formula1>"Google Earth,Bing Maps,Esri World Imagery,other"</formula1>
    </dataValidation>
    <dataValidation sqref="G2:G402" showDropDown="0" showInputMessage="0" showErrorMessage="0" allowBlank="1" errorTitle="Value not in the controlled vocabulary" error="Use the dropdown. Free-typed variants corrupt every count." type="list">
      <formula1>"clear,moderate,poor"</formula1>
    </dataValidation>
    <dataValidation sqref="K2:K402 S2:S402" showDropDown="0" showInputMessage="0" showErrorMessage="0" allowBlank="1" errorTitle="Value not in the controlled vocabulary" error="Use the dropdown. Free-typed variants corrupt every count."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38" customWidth="1" min="5" max="5"/>
    <col width="40" customWidth="1" min="6" max="6"/>
    <col width="32" customWidth="1" min="7" max="7"/>
    <col width="18" customWidth="1" min="8" max="8"/>
    <col width="18" customWidth="1" min="9" max="9"/>
    <col width="18" customWidth="1" min="10" max="10"/>
    <col width="38" customWidth="1" min="11" max="11"/>
    <col width="18" customWidth="1" min="12" max="12"/>
    <col width="18" customWidth="1" min="13" max="13"/>
    <col width="18" customWidth="1" min="14" max="14"/>
    <col width="18" customWidth="1" min="15" max="15"/>
    <col width="18" customWidth="1" min="16" max="16"/>
    <col width="30" customWidth="1" min="17" max="17"/>
    <col width="96" customWidth="1" min="19" max="19"/>
  </cols>
  <sheetData>
    <row r="1" ht="30" customHeight="1">
      <c r="A1" s="9" t="inlineStr">
        <is>
          <t>source_id</t>
        </is>
      </c>
      <c r="B1" s="9" t="inlineStr">
        <is>
          <t>site_id</t>
        </is>
      </c>
      <c r="C1" s="9" t="inlineStr">
        <is>
          <t>source_class</t>
        </is>
      </c>
      <c r="D1" s="9" t="inlineStr">
        <is>
          <t>source_type</t>
        </is>
      </c>
      <c r="E1" s="9" t="inlineStr">
        <is>
          <t>title</t>
        </is>
      </c>
      <c r="F1" s="9" t="inlineStr">
        <is>
          <t>url_or_reference</t>
        </is>
      </c>
      <c r="G1" s="9" t="inlineStr">
        <is>
          <t>publication_or_snapshot_date</t>
        </is>
      </c>
      <c r="H1" s="9" t="inlineStr">
        <is>
          <t>retrieval_date</t>
        </is>
      </c>
      <c r="I1" s="9" t="inlineStr">
        <is>
          <t>full_text_or_abstract</t>
        </is>
      </c>
      <c r="J1" s="9" t="inlineStr">
        <is>
          <t>specific_passage_or_page</t>
        </is>
      </c>
      <c r="K1" s="9" t="inlineStr">
        <is>
          <t>value_supported</t>
        </is>
      </c>
      <c r="L1" s="9" t="inlineStr">
        <is>
          <t>source_language</t>
        </is>
      </c>
      <c r="M1" s="9" t="inlineStr">
        <is>
          <t>translation_used</t>
        </is>
      </c>
      <c r="N1" s="9" t="inlineStr">
        <is>
          <t>doi_or_identifier</t>
        </is>
      </c>
      <c r="O1" s="9" t="inlineStr">
        <is>
          <t>verified_resolves</t>
        </is>
      </c>
      <c r="P1" s="9" t="inlineStr">
        <is>
          <t>independence_group</t>
        </is>
      </c>
      <c r="Q1" s="9" t="inlineStr">
        <is>
          <t>notes</t>
        </is>
      </c>
      <c r="S1" s="10" t="inlineStr">
        <is>
          <t>ONE ROW PER SOURCE.</t>
        </is>
      </c>
    </row>
    <row r="2">
      <c r="S2" s="12" t="inlineStr"/>
    </row>
    <row r="3">
      <c r="S3" s="12" t="inlineStr">
        <is>
          <t>verified_resolves is MANDATORY for every S1 and S2 source. Open the DOI or the repository record yourself. A fabricated academic citation looks like the strongest evidence in the record and will be believed.</t>
        </is>
      </c>
    </row>
    <row r="4">
      <c r="S4" s="12" t="inlineStr"/>
    </row>
    <row r="5">
      <c r="S5" s="12" t="inlineStr">
        <is>
          <t>independence_group is a short id (G1, G2, G3) shared by every source deriving from the same underlying statement. Assign it as you read, not afterwards. A community's website, its own Facebook page and a directory listing copied from it are ONE group, however many URLs. A thesis, a grant record and a newspaper are three.</t>
        </is>
      </c>
    </row>
    <row r="6">
      <c r="S6" s="12" t="inlineStr"/>
    </row>
    <row r="7">
      <c r="S7" s="12" t="inlineStr">
        <is>
          <t>The test: could this source be wrong in the same way as that one, for the same reason? If yes, same group.</t>
        </is>
      </c>
    </row>
    <row r="8">
      <c r="S8" s="12" t="inlineStr"/>
    </row>
    <row r="9">
      <c r="S9" s="12" t="inlineStr">
        <is>
          <t>source_language is the language THIS SOURCE is written in. It is deliberately not called 'language': Source_Set records the language of an ADDRESS and Search_Log the language a SEARCH was run in, and three different quantities sharing one column name is how a merge silently produces nonsense.</t>
        </is>
      </c>
    </row>
  </sheetData>
  <autoFilter ref="A1:Q1"/>
  <dataValidations count="3">
    <dataValidation sqref="C2:C402" showDropDown="0" showInputMessage="0" showErrorMessage="0" allowBlank="1" errorTitle="Value not in the controlled vocabulary" error="Use the dropdown. Free-typed variants corrupt every count." type="list">
      <formula1>"S1,S2,S3,S4,S5,S6,S7,S8"</formula1>
    </dataValidation>
    <dataValidation sqref="I2:I402" showDropDown="0" showInputMessage="0" showErrorMessage="0" allowBlank="1" errorTitle="Value not in the controlled vocabulary" error="Use the dropdown. Free-typed variants corrupt every count." type="list">
      <formula1>"full text,abstract only,record only,unreachable"</formula1>
    </dataValidation>
    <dataValidation sqref="M2:M402 O2:O402" showDropDown="0" showInputMessage="0" showErrorMessage="0" allowBlank="1" errorTitle="Value not in the controlled vocabulary" error="Use the dropdown. Free-typed variants corrupt every count."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4" customWidth="1" min="3" max="3"/>
    <col width="18" customWidth="1" min="4" max="4"/>
    <col width="18" customWidth="1" min="5" max="5"/>
    <col width="18" customWidth="1" min="6" max="6"/>
    <col width="18" customWidth="1" min="7" max="7"/>
    <col width="18" customWidth="1" min="8" max="8"/>
    <col width="18" customWidth="1" min="9" max="9"/>
    <col width="29" customWidth="1" min="10" max="10"/>
    <col width="18" customWidth="1" min="11" max="11"/>
    <col width="18" customWidth="1" min="12" max="12"/>
    <col width="36" customWidth="1" min="13" max="13"/>
    <col width="18" customWidth="1" min="14" max="14"/>
    <col width="18" customWidth="1" min="15" max="15"/>
    <col width="18" customWidth="1" min="16" max="16"/>
    <col width="30" customWidth="1" min="17" max="17"/>
    <col width="96" customWidth="1" min="19" max="19"/>
  </cols>
  <sheetData>
    <row r="1" ht="30" customHeight="1">
      <c r="A1" s="9" t="inlineStr">
        <is>
          <t>site_id</t>
        </is>
      </c>
      <c r="B1" s="9" t="inlineStr">
        <is>
          <t>address_id</t>
        </is>
      </c>
      <c r="C1" s="9" t="inlineStr">
        <is>
          <t>url</t>
        </is>
      </c>
      <c r="D1" s="9" t="inlineStr">
        <is>
          <t>platform_type</t>
        </is>
      </c>
      <c r="E1" s="9" t="inlineStr">
        <is>
          <t>supplied_or_discovered</t>
        </is>
      </c>
      <c r="F1" s="9" t="inlineStr">
        <is>
          <t>independence_group</t>
        </is>
      </c>
      <c r="G1" s="9" t="inlineStr">
        <is>
          <t>crawl_status</t>
        </is>
      </c>
      <c r="H1" s="9" t="inlineStr">
        <is>
          <t>pages_opened</t>
        </is>
      </c>
      <c r="I1" s="9" t="inlineStr">
        <is>
          <t>archive_checked</t>
        </is>
      </c>
      <c r="J1" s="9" t="inlineStr">
        <is>
          <t>archive_earliest_snapshot</t>
        </is>
      </c>
      <c r="K1" s="9" t="inlineStr">
        <is>
          <t>earliest_dated_item</t>
        </is>
      </c>
      <c r="L1" s="9" t="inlineStr">
        <is>
          <t>latest_dated_item</t>
        </is>
      </c>
      <c r="M1" s="9" t="inlineStr">
        <is>
          <t>yielded_fields</t>
        </is>
      </c>
      <c r="N1" s="9" t="inlineStr">
        <is>
          <t>address_language</t>
        </is>
      </c>
      <c r="O1" s="9" t="inlineStr">
        <is>
          <t>date_crawled</t>
        </is>
      </c>
      <c r="P1" s="9" t="inlineStr">
        <is>
          <t>coder_id</t>
        </is>
      </c>
      <c r="Q1" s="9" t="inlineStr">
        <is>
          <t>notes</t>
        </is>
      </c>
      <c r="S1" s="10" t="inlineStr">
        <is>
          <t>ONE ROW PER WEB ADDRESS PER COMMUNITY. Fill it BEFORE coding the community.</t>
        </is>
      </c>
    </row>
    <row r="2">
      <c r="S2" s="12" t="inlineStr"/>
    </row>
    <row r="3">
      <c r="S3" s="12" t="inlineStr">
        <is>
          <t>Most communities have several addresses and they are not equivalent. A community's current site says what it wants said today; an abandoned domain, an old album or a directory listing captured in 2013 says what was true THEN. This study is about DATING, so the old material is usually worth more.</t>
        </is>
      </c>
    </row>
    <row r="4">
      <c r="S4" s="12" t="inlineStr"/>
    </row>
    <row r="5">
      <c r="S5" s="12" t="inlineStr">
        <is>
          <t>crawl_status must never be left as 'not attempted' when a community is closed. An address that silently vanished from a search assistant's output was not crawled, whatever the rest of the response implies.</t>
        </is>
      </c>
    </row>
    <row r="6">
      <c r="S6" s="12" t="inlineStr"/>
    </row>
    <row r="7">
      <c r="S7" s="12" t="inlineStr">
        <is>
          <t>'blocked' is a real and reportable result. A guess about the content of a platform you could not open is fabrication.</t>
        </is>
      </c>
    </row>
  </sheetData>
  <autoFilter ref="A1:Q1"/>
  <dataValidations count="4">
    <dataValidation sqref="D2:D402" showDropDown="0" showInputMessage="0" showErrorMessage="0" allowBlank="1" errorTitle="Value not in the controlled vocabulary" error="Use the dropdown. Free-typed variants corrupt every count." type="list">
      <formula1>"own website,secondary or former website,Facebook,Instagram,YouTube,Vimeo,blog platform,directory listing,crowdfunding,LinkedIn,booking or hosting,news outlet,other"</formula1>
    </dataValidation>
    <dataValidation sqref="E2:E402" showDropDown="0" showInputMessage="0" showErrorMessage="0" allowBlank="1" errorTitle="Value not in the controlled vocabulary" error="Use the dropdown. Free-typed variants corrupt every count." type="list">
      <formula1>"supplied,discovered"</formula1>
    </dataValidation>
    <dataValidation sqref="G2:G402" showDropDown="0" showInputMessage="0" showErrorMessage="0" allowBlank="1" errorTitle="Value not in the controlled vocabulary" error="Use the dropdown. Free-typed variants corrupt every count." type="list">
      <formula1>"crawled,partial,blocked,dead link,not attempted"</formula1>
    </dataValidation>
    <dataValidation sqref="I2:I402" showDropDown="0" showInputMessage="0" showErrorMessage="0" allowBlank="1" errorTitle="Value not in the controlled vocabulary" error="Use the dropdown. Free-typed variants corrupt every count."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44"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32" customWidth="1" min="12" max="12"/>
    <col width="96" customWidth="1" min="14" max="14"/>
  </cols>
  <sheetData>
    <row r="1" ht="30" customHeight="1">
      <c r="A1" s="9" t="inlineStr">
        <is>
          <t>site_id</t>
        </is>
      </c>
      <c r="B1" s="9" t="inlineStr">
        <is>
          <t>database_or_source</t>
        </is>
      </c>
      <c r="C1" s="9" t="inlineStr">
        <is>
          <t>database_type</t>
        </is>
      </c>
      <c r="D1" s="9" t="inlineStr">
        <is>
          <t>search_strings_used</t>
        </is>
      </c>
      <c r="E1" s="9" t="inlineStr">
        <is>
          <t>search_language</t>
        </is>
      </c>
      <c r="F1" s="9" t="inlineStr">
        <is>
          <t>hits_returned</t>
        </is>
      </c>
      <c r="G1" s="9" t="inlineStr">
        <is>
          <t>full_text_opened</t>
        </is>
      </c>
      <c r="H1" s="9" t="inlineStr">
        <is>
          <t>abstract_only</t>
        </is>
      </c>
      <c r="I1" s="9" t="inlineStr">
        <is>
          <t>result</t>
        </is>
      </c>
      <c r="J1" s="9" t="inlineStr">
        <is>
          <t>date_searched</t>
        </is>
      </c>
      <c r="K1" s="9" t="inlineStr">
        <is>
          <t>coder_id</t>
        </is>
      </c>
      <c r="L1" s="9" t="inlineStr">
        <is>
          <t>notes</t>
        </is>
      </c>
      <c r="N1" s="10" t="inlineStr">
        <is>
          <t>ONE ROW PER DATABASE PER COMMUNITY — INCLUDING EVERY DATABASE THAT RETURNED NOTHING.</t>
        </is>
      </c>
    </row>
    <row r="2">
      <c r="N2" s="12" t="inlineStr"/>
    </row>
    <row r="3">
      <c r="N3" s="12" t="inlineStr">
        <is>
          <t>This is the sheet that separates the three states the study must never confuse: EVIDENCE FOUND, EVIDENCE ABSENT after an adequately exhaustive search, and SEARCH INCOMPLETE. A row saying 'none found' in a named database is a finding. A missing row is not.</t>
        </is>
      </c>
    </row>
    <row r="4">
      <c r="N4" s="12" t="inlineStr"/>
    </row>
    <row r="5">
      <c r="N5" s="12" t="inlineStr">
        <is>
          <t>Stages 5 and 6 — academic and grey literature — are now the study's HIGHEST-PRIORITY evidence route, because almost every rank-1 onset record lives there: a thesis that dates the fieldwork, a grant report that dates the project, a planning permit.</t>
        </is>
      </c>
    </row>
    <row r="6">
      <c r="N6" s="12" t="inlineStr"/>
    </row>
    <row r="7">
      <c r="N7" s="12" t="inlineStr">
        <is>
          <t>Expect most academic searches to return nothing. In this population a handful of communities are well studied and the large majority have never been written about at all. Finding none is the normal and correct outcome.</t>
        </is>
      </c>
    </row>
  </sheetData>
  <autoFilter ref="A1:L1"/>
  <dataValidations count="2">
    <dataValidation sqref="C2:C402" showDropDown="0" showInputMessage="0" showErrorMessage="0" allowBlank="1" errorTitle="Value not in the controlled vocabulary" error="Use the dropdown. Free-typed variants corrupt every count." type="list">
      <formula1>"academic,thesis portal,grey - funding,grey - government,grey - NGO,registry,directory,news,archive"</formula1>
    </dataValidation>
    <dataValidation sqref="I2:I402" showDropDown="0" showInputMessage="0" showErrorMessage="0" allowBlank="1" errorTitle="Value not in the controlled vocabulary" error="Use the dropdown. Free-typed variants corrupt every count." type="list">
      <formula1>"hits found,none found,unreachable,paywalled"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40" customWidth="1" min="6" max="6"/>
    <col width="40" customWidth="1" min="7" max="7"/>
    <col width="18" customWidth="1" min="8" max="8"/>
    <col width="18" customWidth="1" min="9" max="9"/>
    <col width="18" customWidth="1" min="10" max="10"/>
    <col width="18" customWidth="1" min="11" max="11"/>
    <col width="18" customWidth="1" min="12" max="12"/>
    <col width="18" customWidth="1" min="13" max="13"/>
    <col width="30" customWidth="1" min="14" max="14"/>
    <col width="96" customWidth="1" min="16" max="16"/>
  </cols>
  <sheetData>
    <row r="1" ht="30" customHeight="1">
      <c r="A1" s="9" t="inlineStr">
        <is>
          <t>disagreement_id</t>
        </is>
      </c>
      <c r="B1" s="9" t="inlineStr">
        <is>
          <t>site_id</t>
        </is>
      </c>
      <c r="C1" s="9" t="inlineStr">
        <is>
          <t>variable</t>
        </is>
      </c>
      <c r="D1" s="9" t="inlineStr">
        <is>
          <t>coder_1_value</t>
        </is>
      </c>
      <c r="E1" s="9" t="inlineStr">
        <is>
          <t>coder_2_value</t>
        </is>
      </c>
      <c r="F1" s="9" t="inlineStr">
        <is>
          <t>evidence_in_question</t>
        </is>
      </c>
      <c r="G1" s="9" t="inlineStr">
        <is>
          <t>rule_invoked</t>
        </is>
      </c>
      <c r="H1" s="9" t="inlineStr">
        <is>
          <t>resolution_type</t>
        </is>
      </c>
      <c r="I1" s="9" t="inlineStr">
        <is>
          <t>third_coder</t>
        </is>
      </c>
      <c r="J1" s="9" t="inlineStr">
        <is>
          <t>final_value</t>
        </is>
      </c>
      <c r="K1" s="9" t="inlineStr">
        <is>
          <t>definitions_amended</t>
        </is>
      </c>
      <c r="L1" s="9" t="inlineStr">
        <is>
          <t>re_coding_required</t>
        </is>
      </c>
      <c r="M1" s="9" t="inlineStr">
        <is>
          <t>date_resolved</t>
        </is>
      </c>
      <c r="N1" s="9" t="inlineStr">
        <is>
          <t>notes</t>
        </is>
      </c>
      <c r="P1" s="10" t="inlineStr">
        <is>
          <t>Every double-coding disagreement and its resolution.</t>
        </is>
      </c>
    </row>
    <row r="2">
      <c r="P2" s="12" t="inlineStr"/>
    </row>
    <row r="3">
      <c r="P3" s="12" t="inlineStr">
        <is>
          <t>If definitions_amended = yes, the affected variable is re-coded IN FULL across every community already done. An amendment applied only to later communities makes the variable mean two different things in one column.</t>
        </is>
      </c>
    </row>
  </sheetData>
  <autoFilter ref="A1:N1"/>
  <dataValidations count="2">
    <dataValidation sqref="H2:H402" showDropDown="0" showInputMessage="0" showErrorMessage="0" allowBlank="1" errorTitle="Value not in the controlled vocabulary" error="Use the dropdown. Free-typed variants corrupt every count." type="list">
      <formula1>"rule applied,third coder,definitions amended,evidence re-examined,unresolved"</formula1>
    </dataValidation>
    <dataValidation sqref="K2:K402 L2:L402" showDropDown="0" showInputMessage="0" showErrorMessage="0" allowBlank="1" errorTitle="Value not in the controlled vocabulary" error="Use the dropdown. Free-typed variants corrupt every count."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40" customWidth="1" min="3" max="3"/>
    <col width="18" customWidth="1" min="4" max="4"/>
    <col width="18" customWidth="1" min="5" max="5"/>
    <col width="18" customWidth="1" min="6" max="6"/>
    <col width="18" customWidth="1" min="7" max="7"/>
    <col width="18" customWidth="1" min="8" max="8"/>
    <col width="18" customWidth="1" min="9" max="9"/>
    <col width="40" customWidth="1" min="10" max="10"/>
    <col width="18" customWidth="1" min="11" max="11"/>
    <col width="18" customWidth="1" min="12" max="12"/>
    <col width="18" customWidth="1" min="13" max="13"/>
    <col width="18" customWidth="1" min="14" max="14"/>
    <col width="40" customWidth="1" min="15" max="15"/>
    <col width="40" customWidth="1" min="16" max="16"/>
    <col width="96" customWidth="1" min="18" max="18"/>
  </cols>
  <sheetData>
    <row r="1" ht="30" customHeight="1">
      <c r="A1" s="9" t="inlineStr">
        <is>
          <t>variable</t>
        </is>
      </c>
      <c r="B1" s="9" t="inlineStr">
        <is>
          <t>variable_type</t>
        </is>
      </c>
      <c r="C1" s="9" t="inlineStr">
        <is>
          <t>agreement_method</t>
        </is>
      </c>
      <c r="D1" s="9" t="inlineStr">
        <is>
          <t>threshold_declared</t>
        </is>
      </c>
      <c r="E1" s="9" t="inlineStr">
        <is>
          <t>raw_agreement</t>
        </is>
      </c>
      <c r="F1" s="9" t="inlineStr">
        <is>
          <t>agreement_coefficient</t>
        </is>
      </c>
      <c r="G1" s="9" t="inlineStr">
        <is>
          <t>icc</t>
        </is>
      </c>
      <c r="H1" s="9" t="inlineStr">
        <is>
          <t>mean_absolute_difference</t>
        </is>
      </c>
      <c r="I1" s="9" t="inlineStr">
        <is>
          <t>within_uncertainty_band</t>
        </is>
      </c>
      <c r="J1" s="9" t="inlineStr">
        <is>
          <t>marginal_distribution_notes</t>
        </is>
      </c>
      <c r="K1" s="9" t="inlineStr">
        <is>
          <t>calibration_start</t>
        </is>
      </c>
      <c r="L1" s="9" t="inlineStr">
        <is>
          <t>calibration_midpoint</t>
        </is>
      </c>
      <c r="M1" s="9" t="inlineStr">
        <is>
          <t>calibration_end</t>
        </is>
      </c>
      <c r="N1" s="9" t="inlineStr">
        <is>
          <t>drift_result</t>
        </is>
      </c>
      <c r="O1" s="9" t="inlineStr">
        <is>
          <t>action_if_below_threshold</t>
        </is>
      </c>
      <c r="P1" s="9" t="inlineStr">
        <is>
          <t>notes</t>
        </is>
      </c>
      <c r="R1" s="10" t="inlineStr">
        <is>
          <t>PRE-FILLED with the fourteen variables the plan requires. Report reliability PER VARIABLE — never one figure for the whole exercise.</t>
        </is>
      </c>
    </row>
    <row r="2">
      <c r="A2" s="5" t="inlineStr">
        <is>
          <t>e2_settlement_type</t>
        </is>
      </c>
      <c r="B2" s="7" t="inlineStr">
        <is>
          <t>categorical</t>
        </is>
      </c>
      <c r="C2" s="7" t="inlineStr">
        <is>
          <t>chance-corrected agreement</t>
        </is>
      </c>
      <c r="D2" s="7" t="inlineStr">
        <is>
          <t>declared before coding</t>
        </is>
      </c>
      <c r="O2" s="7" t="inlineStr">
        <is>
          <t>Revise the definition, re-code this variable in full, report both figures</t>
        </is>
      </c>
      <c r="P2" s="6" t="inlineStr">
        <is>
          <t>The highest-consequence categorical in Stage 1: a coding error here removes a community from the sample entirely.</t>
        </is>
      </c>
      <c r="R2" s="12" t="inlineStr"/>
    </row>
    <row r="3">
      <c r="A3" s="5" t="inlineStr">
        <is>
          <t>date_intervention_onset</t>
        </is>
      </c>
      <c r="B3" s="7" t="inlineStr">
        <is>
          <t>date</t>
        </is>
      </c>
      <c r="C3" s="7" t="inlineStr">
        <is>
          <t>ICC + mean absolute difference + agreement within band</t>
        </is>
      </c>
      <c r="D3" s="7" t="inlineStr">
        <is>
          <t>declared before coding</t>
        </is>
      </c>
      <c r="O3" s="7" t="inlineStr">
        <is>
          <t>Revise the definition, re-code this variable in full, report both figures</t>
        </is>
      </c>
      <c r="P3" s="6" t="inlineStr">
        <is>
          <t>Report MAD in YEARS beside the coefficient.</t>
        </is>
      </c>
      <c r="R3" s="12" t="inlineStr">
        <is>
          <t>v6 of this workbook listed twenty-four variables, thirteen of which were practice codes. Those are gone.</t>
        </is>
      </c>
    </row>
    <row r="4">
      <c r="A4" s="5" t="inlineStr">
        <is>
          <t>onset_evidence_rank</t>
        </is>
      </c>
      <c r="B4" s="7" t="inlineStr">
        <is>
          <t>ordered categorical</t>
        </is>
      </c>
      <c r="C4" s="7" t="inlineStr">
        <is>
          <t>weighted chance-corrected agreement</t>
        </is>
      </c>
      <c r="D4" s="7" t="inlineStr">
        <is>
          <t>declared before coding</t>
        </is>
      </c>
      <c r="O4" s="7" t="inlineStr">
        <is>
          <t>Revise the definition, re-code this variable in full, report both figures</t>
        </is>
      </c>
      <c r="P4" s="6" t="inlineStr">
        <is>
          <t>Weights disagreements by distance between ranks.</t>
        </is>
      </c>
    </row>
    <row r="5">
      <c r="A5" s="5" t="inlineStr">
        <is>
          <t>onset_confidence_tier</t>
        </is>
      </c>
      <c r="B5" s="7" t="inlineStr">
        <is>
          <t>ordered categorical</t>
        </is>
      </c>
      <c r="C5" s="7" t="inlineStr">
        <is>
          <t>weighted chance-corrected agreement</t>
        </is>
      </c>
      <c r="D5" s="7" t="inlineStr">
        <is>
          <t>declared before coding</t>
        </is>
      </c>
      <c r="O5" s="7" t="inlineStr">
        <is>
          <t>Revise the definition, re-code this variable in full, report both figures</t>
        </is>
      </c>
      <c r="P5" s="6" t="inlineStr">
        <is>
          <t>Load-bearing for cohort admission and decision D4.</t>
        </is>
      </c>
    </row>
    <row r="6">
      <c r="A6" s="5" t="inlineStr">
        <is>
          <t>onset_proxy_flag</t>
        </is>
      </c>
      <c r="B6" s="7" t="inlineStr">
        <is>
          <t>categorical</t>
        </is>
      </c>
      <c r="C6" s="7" t="inlineStr">
        <is>
          <t>chance-corrected agreement</t>
        </is>
      </c>
      <c r="D6" s="7" t="inlineStr">
        <is>
          <t>declared before coding</t>
        </is>
      </c>
      <c r="O6" s="7" t="inlineStr">
        <is>
          <t>Revise the definition, re-code this variable in full, report both figures</t>
        </is>
      </c>
      <c r="P6" s="6" t="inlineStr">
        <is>
          <t>Determines which sites leave analysis A4.</t>
        </is>
      </c>
    </row>
    <row r="7">
      <c r="A7" s="5" t="inlineStr">
        <is>
          <t>cohort_candidate</t>
        </is>
      </c>
      <c r="B7" s="7" t="inlineStr">
        <is>
          <t>categorical</t>
        </is>
      </c>
      <c r="C7" s="7" t="inlineStr">
        <is>
          <t>chance-corrected agreement</t>
        </is>
      </c>
      <c r="D7" s="7" t="inlineStr">
        <is>
          <t>declared before coding</t>
        </is>
      </c>
      <c r="O7" s="7" t="inlineStr">
        <is>
          <t>Revise the definition, re-code this variable in full, report both figures</t>
        </is>
      </c>
      <c r="P7" s="6" t="inlineStr">
        <is>
          <t>Determines which communities enter analysis A7.</t>
        </is>
      </c>
    </row>
    <row r="8">
      <c r="A8" s="5" t="inlineStr">
        <is>
          <t>evidence_tier</t>
        </is>
      </c>
      <c r="B8" s="7" t="inlineStr">
        <is>
          <t>ordered categorical</t>
        </is>
      </c>
      <c r="C8" s="7" t="inlineStr">
        <is>
          <t>weighted chance-corrected agreement</t>
        </is>
      </c>
      <c r="D8" s="7" t="inlineStr">
        <is>
          <t>declared before coding</t>
        </is>
      </c>
      <c r="O8" s="7" t="inlineStr">
        <is>
          <t>Revise the definition, re-code this variable in full, report both figures</t>
        </is>
      </c>
      <c r="P8" s="6" t="inlineStr">
        <is>
          <t>Report the marginal distribution: tiers are usually skewed. An evidence-quality variable, not a performance measure.</t>
        </is>
      </c>
    </row>
    <row r="9">
      <c r="A9" s="5" t="inlineStr">
        <is>
          <t>managed_area_ha</t>
        </is>
      </c>
      <c r="B9" s="7" t="inlineStr">
        <is>
          <t>continuous</t>
        </is>
      </c>
      <c r="C9" s="7" t="inlineStr">
        <is>
          <t>ICC + mean absolute difference</t>
        </is>
      </c>
      <c r="D9" s="7" t="inlineStr">
        <is>
          <t>declared before coding</t>
        </is>
      </c>
      <c r="O9" s="7" t="inlineStr">
        <is>
          <t>Revise the definition, re-code this variable in full, report both figures</t>
        </is>
      </c>
      <c r="P9" s="6" t="inlineStr">
        <is>
          <t>Report MAD in HECTARES. It corroborates the drawn polygon rather than setting geometry, so its reliability bounds the corroboration and not the measurement.</t>
        </is>
      </c>
    </row>
    <row r="10">
      <c r="A10" s="5" t="inlineStr">
        <is>
          <t>managed_area_basis</t>
        </is>
      </c>
      <c r="B10" s="7" t="inlineStr">
        <is>
          <t>categorical</t>
        </is>
      </c>
      <c r="C10" s="7" t="inlineStr">
        <is>
          <t>chance-corrected agreement</t>
        </is>
      </c>
      <c r="D10" s="7" t="inlineStr">
        <is>
          <t>declared before coding</t>
        </is>
      </c>
      <c r="O10" s="7" t="inlineStr">
        <is>
          <t>Revise the definition, re-code this variable in full, report both figures</t>
        </is>
      </c>
      <c r="P10" s="6" t="inlineStr">
        <is>
          <t>Determines how much weight a disagreement between the stated and drawn areas carries.</t>
        </is>
      </c>
    </row>
    <row r="11">
      <c r="A11" s="5" t="inlineStr">
        <is>
          <t>population_value</t>
        </is>
      </c>
      <c r="B11" s="7" t="inlineStr">
        <is>
          <t>continuous</t>
        </is>
      </c>
      <c r="C11" s="7" t="inlineStr">
        <is>
          <t>ICC + mean absolute difference</t>
        </is>
      </c>
      <c r="D11" s="7" t="inlineStr">
        <is>
          <t>declared before coding</t>
        </is>
      </c>
      <c r="O11" s="7" t="inlineStr">
        <is>
          <t>Revise the definition, re-code this variable in full, report both figures</t>
        </is>
      </c>
      <c r="P11" s="6" t="inlineStr">
        <is>
          <t>A Stage 2 matching criterion, so an error propagates into the control sample.</t>
        </is>
      </c>
    </row>
    <row r="12">
      <c r="A12" s="5" t="inlineStr">
        <is>
          <t>status_current</t>
        </is>
      </c>
      <c r="B12" s="7" t="inlineStr">
        <is>
          <t>categorical</t>
        </is>
      </c>
      <c r="C12" s="7" t="inlineStr">
        <is>
          <t>chance-corrected agreement</t>
        </is>
      </c>
      <c r="D12" s="7" t="inlineStr">
        <is>
          <t>declared before coding</t>
        </is>
      </c>
      <c r="O12" s="7" t="inlineStr">
        <is>
          <t>Revise the definition, re-code this variable in full, report both figures</t>
        </is>
      </c>
      <c r="P12" s="6" t="inlineStr">
        <is>
          <t>Report how often 'unknown' was coded. Unknown is not dissolved.</t>
        </is>
      </c>
    </row>
    <row r="13">
      <c r="A13" s="5" t="inlineStr">
        <is>
          <t>polygon_area_ha</t>
        </is>
      </c>
      <c r="B13" s="7" t="inlineStr">
        <is>
          <t>continuous</t>
        </is>
      </c>
      <c r="C13" s="7" t="inlineStr">
        <is>
          <t>ICC + mean absolute difference, from the 20% redraw</t>
        </is>
      </c>
      <c r="D13" s="7" t="inlineStr">
        <is>
          <t>declared before coding</t>
        </is>
      </c>
      <c r="O13" s="7" t="inlineStr">
        <is>
          <t>Revise the definition, re-code this variable in full, report both figures</t>
        </is>
      </c>
      <c r="P13" s="6" t="inlineStr">
        <is>
          <t>Report MAD in HECTARES. This is the reliability figure for the study's PRIMARY MEASUREMENT GEOMETRY.</t>
        </is>
      </c>
    </row>
    <row r="14">
      <c r="A14" s="5" t="inlineStr">
        <is>
          <t>polygon_iou (redraw overlap)</t>
        </is>
      </c>
      <c r="B14" s="7" t="inlineStr">
        <is>
          <t>continuous</t>
        </is>
      </c>
      <c r="C14" s="7" t="inlineStr">
        <is>
          <t>mean overlap, and the count below 0.80</t>
        </is>
      </c>
      <c r="D14" s="7" t="inlineStr">
        <is>
          <t>declared before coding</t>
        </is>
      </c>
      <c r="O14" s="7" t="inlineStr">
        <is>
          <t>Revise the definition, re-code this variable in full, report both figures</t>
        </is>
      </c>
      <c r="P14" s="6" t="inlineStr">
        <is>
          <t>Shared area divided by combined area between the two drawings. Below a mean of 0.80, report SC1 (equal-area circles) as the primary specification instead.</t>
        </is>
      </c>
    </row>
    <row r="15">
      <c r="A15" s="5" t="inlineStr">
        <is>
          <t>reference_circle</t>
        </is>
      </c>
      <c r="B15" s="7" t="inlineStr">
        <is>
          <t>ordered categorical</t>
        </is>
      </c>
      <c r="C15" s="7" t="inlineStr">
        <is>
          <t>weighted chance-corrected agreement</t>
        </is>
      </c>
      <c r="D15" s="7" t="inlineStr">
        <is>
          <t>declared before coding</t>
        </is>
      </c>
      <c r="O15" s="7" t="inlineStr">
        <is>
          <t>Revise the definition, re-code this variable in full, report both figures</t>
        </is>
      </c>
      <c r="P15" s="6" t="inlineStr">
        <is>
          <t>Derived from polygon area, so its reliability follows the polygon's.</t>
        </is>
      </c>
    </row>
  </sheetData>
  <autoFilter ref="A1:P1"/>
  <dataValidations count="1">
    <dataValidation sqref="B2:B15" showDropDown="0" showInputMessage="0" showErrorMessage="0" allowBlank="1" errorTitle="Value not in the controlled vocabulary" error="Use the dropdown. Free-typed variants corrupt every count." type="list">
      <formula1>"categorical,ordered categorical,continuous,date"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34" customWidth="1" min="3" max="3"/>
    <col width="18" customWidth="1" min="4" max="4"/>
    <col width="18" customWidth="1" min="5" max="5"/>
    <col width="18" customWidth="1" min="6" max="6"/>
    <col width="18" customWidth="1" min="7" max="7"/>
    <col width="18" customWidth="1" min="8" max="8"/>
    <col width="29" customWidth="1" min="9" max="9"/>
    <col width="34" customWidth="1" min="10" max="10"/>
    <col width="18" customWidth="1" min="11" max="11"/>
    <col width="30" customWidth="1" min="12" max="12"/>
    <col width="18" customWidth="1" min="13" max="13"/>
    <col width="18" customWidth="1" min="14" max="14"/>
    <col width="18" customWidth="1" min="15" max="15"/>
    <col width="33" customWidth="1" min="16" max="16"/>
    <col width="18" customWidth="1" min="17" max="17"/>
    <col width="18" customWidth="1" min="18" max="18"/>
    <col width="30" customWidth="1" min="19" max="19"/>
    <col width="96" customWidth="1" min="21" max="21"/>
  </cols>
  <sheetData>
    <row r="1" ht="30" customHeight="1">
      <c r="A1" s="9" t="inlineStr">
        <is>
          <t>enquiry_id</t>
        </is>
      </c>
      <c r="B1" s="9" t="inlineStr">
        <is>
          <t>site_id</t>
        </is>
      </c>
      <c r="C1" s="9" t="inlineStr">
        <is>
          <t>reason_for_contact</t>
        </is>
      </c>
      <c r="D1" s="9" t="inlineStr">
        <is>
          <t>date_sent</t>
        </is>
      </c>
      <c r="E1" s="9" t="inlineStr">
        <is>
          <t>medium</t>
        </is>
      </c>
      <c r="F1" s="9" t="inlineStr">
        <is>
          <t>response_status</t>
        </is>
      </c>
      <c r="G1" s="9" t="inlineStr">
        <is>
          <t>date_responded</t>
        </is>
      </c>
      <c r="H1" s="9" t="inlineStr">
        <is>
          <t>consent_to_answer</t>
        </is>
      </c>
      <c r="I1" s="9" t="inlineStr">
        <is>
          <t>consent_to_identification</t>
        </is>
      </c>
      <c r="J1" s="9" t="inlineStr">
        <is>
          <t>consent_to_location_disclosure</t>
        </is>
      </c>
      <c r="K1" s="9" t="inlineStr">
        <is>
          <t>withdrawal_request</t>
        </is>
      </c>
      <c r="L1" s="9" t="inlineStr">
        <is>
          <t>onset_information</t>
        </is>
      </c>
      <c r="M1" s="9" t="inlineStr">
        <is>
          <t>managed_area_information</t>
        </is>
      </c>
      <c r="N1" s="9" t="inlineStr">
        <is>
          <t>other_facts_supplied</t>
        </is>
      </c>
      <c r="O1" s="9" t="inlineStr">
        <is>
          <t>source_class</t>
        </is>
      </c>
      <c r="P1" s="9" t="inlineStr">
        <is>
          <t>personal_identifiers_retained</t>
        </is>
      </c>
      <c r="Q1" s="9" t="inlineStr">
        <is>
          <t>ethics_reference</t>
        </is>
      </c>
      <c r="R1" s="9" t="inlineStr">
        <is>
          <t>coder_id</t>
        </is>
      </c>
      <c r="S1" s="9" t="inlineStr">
        <is>
          <t>notes</t>
        </is>
      </c>
      <c r="U1" s="10" t="inlineStr">
        <is>
          <t>Decision D1 recommends coding from PUBLISHED SOURCES ONLY, and contacting only those communities whose onset remains genuinely undeterminable. That is usually a small number and it keeps the ethics application narrow.</t>
        </is>
      </c>
    </row>
    <row r="2">
      <c r="U2" s="12" t="inlineStr"/>
    </row>
    <row r="3">
      <c r="U3" s="12" t="inlineStr">
        <is>
          <t>If you contact anyone, every row here needs an ethics reference and a consent state. Non-response is NEVER exclusion: communities that answer unsolicited academic enquiries differ systematically from those that do not.</t>
        </is>
      </c>
    </row>
  </sheetData>
  <autoFilter ref="A1:S1"/>
  <dataValidations count="4">
    <dataValidation sqref="E2:E402" showDropDown="0" showInputMessage="0" showErrorMessage="0" allowBlank="1" errorTitle="Value not in the controlled vocabulary" error="Use the dropdown. Free-typed variants corrupt every count." type="list">
      <formula1>"email,web form,postal,telephone,in person,via network"</formula1>
    </dataValidation>
    <dataValidation sqref="F2:F402" showDropDown="0" showInputMessage="0" showErrorMessage="0" allowBlank="1" errorTitle="Value not in the controlled vocabulary" error="Use the dropdown. Free-typed variants corrupt every count." type="list">
      <formula1>"sent - no reply,responded,declined,undeliverable,not contacted"</formula1>
    </dataValidation>
    <dataValidation sqref="H2:H402 I2:I402 J2:J402 K2:K402 P2:P402" showDropDown="0" showInputMessage="0" showErrorMessage="0" allowBlank="1" errorTitle="Value not in the controlled vocabulary" error="Use the dropdown. Free-typed variants corrupt every count." type="list">
      <formula1>"yes,no,not addressed"</formula1>
    </dataValidation>
    <dataValidation sqref="O2:O402" showDropDown="0" showInputMessage="0" showErrorMessage="0" allowBlank="1" errorTitle="Value not in the controlled vocabulary" error="Use the dropdown. Free-typed variants corrupt every count." type="list">
      <formula1>"S1,S2,S3,S4,S5,S6,S7,S8"</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52" customWidth="1" min="2" max="2"/>
    <col width="38" customWidth="1" min="3" max="3"/>
    <col width="38" customWidth="1" min="4" max="4"/>
    <col width="38" customWidth="1" min="5" max="5"/>
    <col width="40" customWidth="1" min="6" max="6"/>
    <col width="18" customWidth="1" min="7" max="7"/>
    <col width="46" customWidth="1" min="8" max="8"/>
    <col width="18" customWidth="1" min="9" max="9"/>
    <col width="18" customWidth="1" min="10" max="10"/>
    <col width="30" customWidth="1" min="11" max="11"/>
    <col width="26" customWidth="1" min="13" max="13"/>
  </cols>
  <sheetData>
    <row r="1" ht="30" customHeight="1">
      <c r="A1" s="9" t="inlineStr">
        <is>
          <t>variable</t>
        </is>
      </c>
      <c r="B1" s="9" t="inlineStr">
        <is>
          <t>definition</t>
        </is>
      </c>
      <c r="C1" s="9" t="inlineStr">
        <is>
          <t>inclusion_example_1</t>
        </is>
      </c>
      <c r="D1" s="9" t="inlineStr">
        <is>
          <t>inclusion_example_2</t>
        </is>
      </c>
      <c r="E1" s="9" t="inlineStr">
        <is>
          <t>exclusion_example_1</t>
        </is>
      </c>
      <c r="F1" s="9" t="inlineStr">
        <is>
          <t>allowed_values</t>
        </is>
      </c>
      <c r="G1" s="9" t="inlineStr">
        <is>
          <t>agreement_threshold</t>
        </is>
      </c>
      <c r="H1" s="9" t="inlineStr">
        <is>
          <t>threshold_rationale</t>
        </is>
      </c>
      <c r="I1" s="9" t="inlineStr">
        <is>
          <t>version</t>
        </is>
      </c>
      <c r="J1" s="9" t="inlineStr">
        <is>
          <t>frozen_date</t>
        </is>
      </c>
      <c r="K1" s="9" t="inlineStr">
        <is>
          <t>notes</t>
        </is>
      </c>
      <c r="M1" s="10" t="inlineStr">
        <is>
          <t>THE DEFINITIONS FREEZE. This sheet replaces the practice codebook of workbook v6, which defined thirteen practice codes that no longer exist.</t>
        </is>
      </c>
    </row>
    <row r="2">
      <c r="A2" s="5" t="inlineStr">
        <is>
          <t>date_intervention_onset</t>
        </is>
      </c>
      <c r="B2" s="6" t="inlineStr">
        <is>
          <t>The year the first deliberate action to alter vegetation, soil, water or land cover for ecological purposes is documented. NOT the founding year, not the year of land purchase and not the year of first residence.</t>
        </is>
      </c>
      <c r="C2" s="6" t="inlineStr">
        <is>
          <t>A dated grant record funding a planting scheme</t>
        </is>
      </c>
      <c r="D2" s="6" t="inlineStr">
        <is>
          <t>A permit for earthworks, dated</t>
        </is>
      </c>
      <c r="E2" s="6" t="inlineStr">
        <is>
          <t>A statement of intention to begin work, with no evidence work began</t>
        </is>
      </c>
      <c r="F2" s="6" t="inlineStr">
        <is>
          <t>year, or 'not found'</t>
        </is>
      </c>
      <c r="G2" s="7" t="n">
        <v>0.8</v>
      </c>
      <c r="H2" s="6" t="inlineStr">
        <is>
          <t>Objectivity tier 1 — a dated record either exists or it does not.</t>
        </is>
      </c>
      <c r="I2" s="7" t="inlineStr">
        <is>
          <t>1.0</t>
        </is>
      </c>
      <c r="J2" s="13">
        <f>IF($M$3="","NOT YET FROZEN",TEXT($M$3,"YYYY-MM-DD"))</f>
        <v/>
      </c>
      <c r="M2" s="14" t="inlineStr">
        <is>
          <t>FREEZE DATE (YYYY-MM-DD)</t>
        </is>
      </c>
    </row>
    <row r="3">
      <c r="A3" s="5" t="inlineStr">
        <is>
          <t>onset_evidence_rank</t>
        </is>
      </c>
      <c r="B3" s="6" t="inlineStr">
        <is>
          <t>The strength of the evidence behind the onset year, on the declared five-point scale.</t>
        </is>
      </c>
      <c r="C3" s="6" t="inlineStr">
        <is>
          <t>Rank 1: a dated independent record — permit, grant award or report, project report, registry entry, academic paper or thesis</t>
        </is>
      </c>
      <c r="D3" s="6" t="inlineStr">
        <is>
          <t>Rank 2: a dated archived snapshot describing the work as ALREADY UNDER WAY</t>
        </is>
      </c>
      <c r="E3" s="6" t="inlineStr">
        <is>
          <t>Rank 5 is not an onset at all: a directory founding year used as a proxy. Set onset_proxy_flag = yes</t>
        </is>
      </c>
      <c r="F3" s="6" t="inlineStr">
        <is>
          <t>1 / 2 / 3 / 4 / 5</t>
        </is>
      </c>
      <c r="G3" s="7" t="n">
        <v>0.75</v>
      </c>
      <c r="H3" s="6" t="inlineStr">
        <is>
          <t>Objectivity tier 2 — the scale is explicit but rank 2 against rank 3 turns on whether a snapshot describes work under way or work intended.</t>
        </is>
      </c>
      <c r="I3" s="7" t="inlineStr">
        <is>
          <t>1.0</t>
        </is>
      </c>
      <c r="J3" s="13">
        <f>IF($M$3="","NOT YET FROZEN",TEXT($M$3,"YYYY-MM-DD"))</f>
        <v/>
      </c>
      <c r="M3" s="15" t="inlineStr">
        <is>
          <t>It carries the definition, the worked examples and the declared agreement threshold for every JUDGEMENT-BEARING variable that survives — the variables where two careful readers of the same page could reasonably differ.</t>
        </is>
      </c>
    </row>
    <row r="4">
      <c r="A4" s="5" t="inlineStr">
        <is>
          <t>onset_confidence_tier</t>
        </is>
      </c>
      <c r="B4" s="6" t="inlineStr">
        <is>
          <t>How precisely the onset year is known: A precise, B plus or minus one year, C uncertain beyond that.</t>
        </is>
      </c>
      <c r="C4" s="6" t="inlineStr">
        <is>
          <t>A: a dated permit naming the month</t>
        </is>
      </c>
      <c r="D4" s="6" t="inlineStr">
        <is>
          <t>B: two independent sources agreeing within one year</t>
        </is>
      </c>
      <c r="E4" s="6" t="inlineStr">
        <is>
          <t>C: a retrospective community statement giving a decade</t>
        </is>
      </c>
      <c r="F4" s="6" t="inlineStr">
        <is>
          <t>A / B / C</t>
        </is>
      </c>
      <c r="G4" s="7" t="n">
        <v>0.8</v>
      </c>
      <c r="H4" s="6" t="inlineStr">
        <is>
          <t>Objectivity tier 1 — it follows mechanically from the band width, once the band is set.</t>
        </is>
      </c>
      <c r="I4" s="7" t="inlineStr">
        <is>
          <t>1.0</t>
        </is>
      </c>
      <c r="J4" s="13">
        <f>IF($M$3="","NOT YET FROZEN",TEXT($M$3,"YYYY-MM-DD"))</f>
        <v/>
      </c>
      <c r="M4" s="12" t="inlineStr">
        <is>
          <t>All definitions freeze together. Enter one date here.</t>
        </is>
      </c>
    </row>
    <row r="5">
      <c r="A5" s="5" t="inlineStr">
        <is>
          <t>onset_proxy_flag</t>
        </is>
      </c>
      <c r="B5" s="6" t="inlineStr">
        <is>
          <t>Whether the recorded onset is a founding year standing in for an unknown intervention year.</t>
        </is>
      </c>
      <c r="C5" s="6" t="inlineStr">
        <is>
          <t>Yes: the only date found is a directory founding year</t>
        </is>
      </c>
      <c r="D5" s="6" t="inlineStr">
        <is>
          <t>Yes: the community says 'founded 1985' and nothing about when work began</t>
        </is>
      </c>
      <c r="E5" s="6" t="inlineStr">
        <is>
          <t>No: the community dates its first planting, whatever its founding year</t>
        </is>
      </c>
      <c r="F5" s="6" t="inlineStr">
        <is>
          <t>yes / no</t>
        </is>
      </c>
      <c r="G5" s="7" t="n">
        <v>0.85</v>
      </c>
      <c r="H5" s="6" t="inlineStr">
        <is>
          <t>Objectivity tier 1 — it restates what the evidence description already says.</t>
        </is>
      </c>
      <c r="I5" s="7" t="inlineStr">
        <is>
          <t>1.0</t>
        </is>
      </c>
      <c r="J5" s="13">
        <f>IF($M$3="","NOT YET FROZEN",TEXT($M$3,"YYYY-MM-DD"))</f>
        <v/>
      </c>
      <c r="M5" s="12" t="inlineStr">
        <is>
          <t>Thresholds are chance-corrected agreement coefficients. 0.70 is the floor.</t>
        </is>
      </c>
    </row>
    <row r="6">
      <c r="A6" s="5" t="inlineStr">
        <is>
          <t>cohort_candidate</t>
        </is>
      </c>
      <c r="B6" s="6" t="inlineStr">
        <is>
          <t>Whether the onset falls in the longitudinal cohort window.</t>
        </is>
      </c>
      <c r="C6" s="6" t="inlineStr">
        <is>
          <t>core: onset 2020 or 2021</t>
        </is>
      </c>
      <c r="D6" s="6" t="inlineStr">
        <is>
          <t>extension: onset 2019</t>
        </is>
      </c>
      <c r="E6" s="6" t="inlineStr">
        <is>
          <t>uncertain: the onset band straddles the boundary — resolve before decision D4</t>
        </is>
      </c>
      <c r="F6" s="6" t="inlineStr">
        <is>
          <t>core (2020-2021) / extension (2019) / no / uncertain</t>
        </is>
      </c>
      <c r="G6" s="7" t="n">
        <v>0.85</v>
      </c>
      <c r="H6" s="6" t="inlineStr">
        <is>
          <t>Objectivity tier 1 — it follows from the onset year and its band.</t>
        </is>
      </c>
      <c r="I6" s="7" t="inlineStr">
        <is>
          <t>1.0</t>
        </is>
      </c>
      <c r="J6" s="13">
        <f>IF($M$3="","NOT YET FROZEN",TEXT($M$3,"YYYY-MM-DD"))</f>
        <v/>
      </c>
      <c r="M6" s="12" t="inlineStr"/>
    </row>
    <row r="7">
      <c r="A7" s="5" t="inlineStr">
        <is>
          <t>e2_settlement_type</t>
        </is>
      </c>
      <c r="B7" s="6" t="inlineStr">
        <is>
          <t>What kind of entity the site is, for eligibility criterion E2.</t>
        </is>
      </c>
      <c r="C7" s="6" t="inlineStr">
        <is>
          <t>village-scale permanent residence: permanent residents on a shared holding</t>
        </is>
      </c>
      <c r="D7" s="6" t="inlineStr">
        <is>
          <t>campus: an institution with a residential ecological programme</t>
        </is>
      </c>
      <c r="E7" s="6" t="inlineStr">
        <is>
          <t>retreat centre: visitors rather than residents, however ecological the land management</t>
        </is>
      </c>
      <c r="F7" s="6" t="inlineStr">
        <is>
          <t>village-scale permanent residence / retreat centre / campus / business / single household / urban co-housing / unclear</t>
        </is>
      </c>
      <c r="G7" s="7" t="n">
        <v>0.8</v>
      </c>
      <c r="H7" s="6" t="inlineStr">
        <is>
          <t>Objectivity tier 1 by evidence, but the highest-consequence code in Stage 1: it decides whether a community is in the study at all.</t>
        </is>
      </c>
      <c r="I7" s="7" t="inlineStr">
        <is>
          <t>1.0</t>
        </is>
      </c>
      <c r="J7" s="13">
        <f>IF($M$3="","NOT YET FROZEN",TEXT($M$3,"YYYY-MM-DD"))</f>
        <v/>
      </c>
      <c r="M7" s="12" t="inlineStr">
        <is>
          <t>Enter the freeze date only when all of these are true:</t>
        </is>
      </c>
    </row>
    <row r="8">
      <c r="A8" s="5" t="inlineStr">
        <is>
          <t>e8_setting_at_onset</t>
        </is>
      </c>
      <c r="B8" s="6" t="inlineStr">
        <is>
          <t>Whether the site was rural or peri-urban rather than urban at the time of onset.</t>
        </is>
      </c>
      <c r="C8" s="6" t="inlineStr">
        <is>
          <t>rural: dispersed settlement, agricultural surroundings</t>
        </is>
      </c>
      <c r="D8" s="6" t="inlineStr">
        <is>
          <t>peri-urban: at the edge of a built-up area, still with worked land</t>
        </is>
      </c>
      <c r="E8" s="6" t="inlineStr">
        <is>
          <t>urban: inside a continuously built-up area — the community is ineligible</t>
        </is>
      </c>
      <c r="F8" s="6" t="inlineStr">
        <is>
          <t>rural / peri-urban / urban / unclear</t>
        </is>
      </c>
      <c r="G8" s="7" t="n">
        <v>0.8</v>
      </c>
      <c r="H8" s="6" t="inlineStr">
        <is>
          <t>Objectivity tier 1 — settlement pattern at onset is a matter of record and imagery.</t>
        </is>
      </c>
      <c r="I8" s="7" t="inlineStr">
        <is>
          <t>1.0</t>
        </is>
      </c>
      <c r="J8" s="13">
        <f>IF($M$3="","NOT YET FROZEN",TEXT($M$3,"YYYY-MM-DD"))</f>
        <v/>
      </c>
      <c r="M8" s="12" t="inlineStr">
        <is>
          <t xml:space="preserve">  1. Every definition and example is complete.</t>
        </is>
      </c>
    </row>
    <row r="9">
      <c r="A9" s="5" t="inlineStr">
        <is>
          <t>managed_area_ha</t>
        </is>
      </c>
      <c r="B9" s="6" t="inlineStr">
        <is>
          <t>The land the community actively works ecologically, in hectares, as stated by a source. NOT the total landholding.</t>
        </is>
      </c>
      <c r="C9" s="6" t="inlineStr">
        <is>
          <t>'15 hectares under cultivation' in a thesis site description</t>
        </is>
      </c>
      <c r="D9" s="6" t="inlineStr">
        <is>
          <t>A grant application stating the worked area it was funded against</t>
        </is>
      </c>
      <c r="E9" s="6" t="inlineStr">
        <is>
          <t>'our 200 hectares' where the community visibly works twelve — that is total_holding_ha</t>
        </is>
      </c>
      <c r="F9" s="6" t="inlineStr">
        <is>
          <t>hectares, or 'not found'</t>
        </is>
      </c>
      <c r="G9" s="7" t="n">
        <v>0.75</v>
      </c>
      <c r="H9" s="6" t="inlineStr">
        <is>
          <t>Objectivity tier 2 — the figure is stated, but deciding whether a stated figure refers to worked land or to the whole holding is a judgement.</t>
        </is>
      </c>
      <c r="I9" s="7" t="inlineStr">
        <is>
          <t>1.0</t>
        </is>
      </c>
      <c r="J9" s="13">
        <f>IF($M$3="","NOT YET FROZEN",TEXT($M$3,"YYYY-MM-DD"))</f>
        <v/>
      </c>
      <c r="M9" s="12" t="inlineStr">
        <is>
          <t xml:space="preserve">  2. Every agreement_threshold is confirmed.</t>
        </is>
      </c>
    </row>
    <row r="10">
      <c r="A10" s="5" t="inlineStr">
        <is>
          <t>managed_area_basis</t>
        </is>
      </c>
      <c r="B10" s="6" t="inlineStr">
        <is>
          <t>How the documentary area figure was arrived at.</t>
        </is>
      </c>
      <c r="C10" s="6" t="inlineStr">
        <is>
          <t>measured: a thesis, survey, land registry entry, grant application or scaled site plan</t>
        </is>
      </c>
      <c r="D10" s="6" t="inlineStr">
        <is>
          <t>stated: the community gives a figure without saying how it was arrived at</t>
        </is>
      </c>
      <c r="E10" s="6" t="inlineStr">
        <is>
          <t>inferred: you derived it from a stated number of beds, plots or hectares under a named crop — record how in documentary_area_note</t>
        </is>
      </c>
      <c r="F10" s="6" t="inlineStr">
        <is>
          <t>measured / stated / inferred / not found</t>
        </is>
      </c>
      <c r="G10" s="7" t="n">
        <v>0.75</v>
      </c>
      <c r="H10" s="6" t="inlineStr">
        <is>
          <t>Objectivity tier 2 — measured against stated turns on whether the source says how it knows.</t>
        </is>
      </c>
      <c r="I10" s="7" t="inlineStr">
        <is>
          <t>1.0</t>
        </is>
      </c>
      <c r="J10" s="13">
        <f>IF($M$3="","NOT YET FROZEN",TEXT($M$3,"YYYY-MM-DD"))</f>
        <v/>
      </c>
      <c r="M10" s="12" t="inlineStr">
        <is>
          <t xml:space="preserve">  3. Calibration passed and is recorded in Calibration.</t>
        </is>
      </c>
    </row>
    <row r="11">
      <c r="A11" s="5" t="inlineStr">
        <is>
          <t>population_value</t>
        </is>
      </c>
      <c r="B11" s="6" t="inlineStr">
        <is>
          <t>Permanent residents only.</t>
        </is>
      </c>
      <c r="C11" s="6" t="inlineStr">
        <is>
          <t>'twenty-eight adults and nine children live here permanently'</t>
        </is>
      </c>
      <c r="D11" s="6" t="inlineStr">
        <is>
          <t>A census or registry figure for the settlement</t>
        </is>
      </c>
      <c r="E11" s="6" t="inlineStr">
        <is>
          <t>Visitor, volunteer, student or course-participant numbers</t>
        </is>
      </c>
      <c r="F11" s="6" t="inlineStr">
        <is>
          <t>integer, or 'not found'</t>
        </is>
      </c>
      <c r="G11" s="7" t="n">
        <v>0.8</v>
      </c>
      <c r="H11" s="6" t="inlineStr">
        <is>
          <t>Objectivity tier 1 — the number is stated; the judgement is only whom it counts.</t>
        </is>
      </c>
      <c r="I11" s="7" t="inlineStr">
        <is>
          <t>1.0</t>
        </is>
      </c>
      <c r="J11" s="13">
        <f>IF($M$3="","NOT YET FROZEN",TEXT($M$3,"YYYY-MM-DD"))</f>
        <v/>
      </c>
      <c r="M11" s="12" t="inlineStr">
        <is>
          <t xml:space="preserve">  4. This file is committed to your repository.</t>
        </is>
      </c>
    </row>
    <row r="12">
      <c r="A12" s="5" t="inlineStr">
        <is>
          <t>v1_self_documentation</t>
        </is>
      </c>
      <c r="B12" s="6" t="inlineStr">
        <is>
          <t>The community describes PARTICULAR ACTIONS it has taken on the land, not aims it holds.</t>
        </is>
      </c>
      <c r="C12" s="6" t="inlineStr">
        <is>
          <t>'we planted 400 trees along the north boundary in 2014'</t>
        </is>
      </c>
      <c r="D12" s="6" t="inlineStr">
        <is>
          <t>A dated work log or project page describing completed work</t>
        </is>
      </c>
      <c r="E12" s="6" t="inlineStr">
        <is>
          <t>'we are committed to regenerating this land' — an aim, not an action</t>
        </is>
      </c>
      <c r="F12" s="6" t="inlineStr">
        <is>
          <t>yes / no</t>
        </is>
      </c>
      <c r="G12" s="7" t="n">
        <v>0.75</v>
      </c>
      <c r="H12" s="6" t="inlineStr">
        <is>
          <t>Objectivity tier 2 — specificity against aspiration is exactly where two readers differ.</t>
        </is>
      </c>
      <c r="I12" s="7" t="inlineStr">
        <is>
          <t>1.0</t>
        </is>
      </c>
      <c r="J12" s="13">
        <f>IF($M$3="","NOT YET FROZEN",TEXT($M$3,"YYYY-MM-DD"))</f>
        <v/>
      </c>
    </row>
    <row r="13">
      <c r="A13" s="5" t="inlineStr">
        <is>
          <t>v2_external_documentation</t>
        </is>
      </c>
      <c r="B13" s="6" t="inlineStr">
        <is>
          <t>An account of the WORK by someone other than the community: academic paper, thesis, project record, certification, grant award, or media coverage of the work.</t>
        </is>
      </c>
      <c r="C13" s="6" t="inlineStr">
        <is>
          <t>A thesis whose author visited and described the land management</t>
        </is>
      </c>
      <c r="D13" s="6" t="inlineStr">
        <is>
          <t>A LIFE or LEADER grant record naming the community and the project</t>
        </is>
      </c>
      <c r="E13" s="6" t="inlineStr">
        <is>
          <t>A news piece about the community that describes only its philosophy</t>
        </is>
      </c>
      <c r="F13" s="6" t="inlineStr">
        <is>
          <t>yes / no</t>
        </is>
      </c>
      <c r="G13" s="7" t="n">
        <v>0.8</v>
      </c>
      <c r="H13" s="6" t="inlineStr">
        <is>
          <t>Objectivity tier 1 — an external source either exists and describes the work, or does not. This is the channel that separates evidence tier A.</t>
        </is>
      </c>
      <c r="I13" s="7" t="inlineStr">
        <is>
          <t>1.0</t>
        </is>
      </c>
      <c r="J13" s="13">
        <f>IF($M$3="","NOT YET FROZEN",TEXT($M$3,"YYYY-MM-DD"))</f>
        <v/>
      </c>
    </row>
    <row r="14">
      <c r="A14" s="5" t="inlineStr">
        <is>
          <t>v3_substantive_affiliation</t>
        </is>
      </c>
      <c r="B14" s="6" t="inlineStr">
        <is>
          <t>Membership of a body that ASSESSES practice, rather than one that merely lists members.</t>
        </is>
      </c>
      <c r="C14" s="6" t="inlineStr">
        <is>
          <t>An organic certifier with a published client list and inspection regime</t>
        </is>
      </c>
      <c r="D14" s="6" t="inlineStr">
        <is>
          <t>A participatory guarantee system with documented criteria</t>
        </is>
      </c>
      <c r="E14" s="6" t="inlineStr">
        <is>
          <t>A directory that lists any community that submits a form</t>
        </is>
      </c>
      <c r="F14" s="6" t="inlineStr">
        <is>
          <t>yes / no</t>
        </is>
      </c>
      <c r="G14" s="7" t="n">
        <v>0.75</v>
      </c>
      <c r="H14" s="6" t="inlineStr">
        <is>
          <t>Objectivity tier 2 — 'assesses' against 'lists' needs the exclusion example to separate.</t>
        </is>
      </c>
      <c r="I14" s="7" t="inlineStr">
        <is>
          <t>1.0</t>
        </is>
      </c>
      <c r="J14" s="13">
        <f>IF($M$3="","NOT YET FROZEN",TEXT($M$3,"YYYY-MM-DD"))</f>
        <v/>
      </c>
    </row>
    <row r="15">
      <c r="A15" s="5" t="inlineStr">
        <is>
          <t>v4_visual_documentation</t>
        </is>
      </c>
      <c r="B15" s="6" t="inlineStr">
        <is>
          <t>Dated photographs, site plans, design drawings or maps showing the land or its structures.</t>
        </is>
      </c>
      <c r="C15" s="6" t="inlineStr">
        <is>
          <t>A dated photograph of a completed pond, terrace or planted block</t>
        </is>
      </c>
      <c r="D15" s="6" t="inlineStr">
        <is>
          <t>A site plan or design drawing with a date</t>
        </is>
      </c>
      <c r="E15" s="6" t="inlineStr">
        <is>
          <t>An undated photograph, or one whose date is inferred from its position in a feed</t>
        </is>
      </c>
      <c r="F15" s="6" t="inlineStr">
        <is>
          <t>yes / no</t>
        </is>
      </c>
      <c r="G15" s="7" t="n">
        <v>0.75</v>
      </c>
      <c r="H15" s="6" t="inlineStr">
        <is>
          <t>Objectivity tier 2 — the judgement is whether the date is genuinely attached.</t>
        </is>
      </c>
      <c r="I15" s="7" t="inlineStr">
        <is>
          <t>1.0</t>
        </is>
      </c>
      <c r="J15" s="13">
        <f>IF($M$3="","NOT YET FROZEN",TEXT($M$3,"YYYY-MM-DD"))</f>
        <v/>
      </c>
    </row>
    <row r="16">
      <c r="A16" s="5" t="inlineStr">
        <is>
          <t>v5_continuity_evidence</t>
        </is>
      </c>
      <c r="B16" s="6" t="inlineStr">
        <is>
          <t>The work is described consistently across YEARS, rather than announced once.</t>
        </is>
      </c>
      <c r="C16" s="6" t="inlineStr">
        <is>
          <t>Archived snapshots from 2011, 2016 and 2022 all describing the same worked land</t>
        </is>
      </c>
      <c r="D16" s="6" t="inlineStr">
        <is>
          <t>A run of dated posts or reports across several years</t>
        </is>
      </c>
      <c r="E16" s="6" t="inlineStr">
        <is>
          <t>A single announcement, however detailed</t>
        </is>
      </c>
      <c r="F16" s="6" t="inlineStr">
        <is>
          <t>yes / no</t>
        </is>
      </c>
      <c r="G16" s="7" t="n">
        <v>0.75</v>
      </c>
      <c r="H16" s="6" t="inlineStr">
        <is>
          <t>Objectivity tier 2 — how many years and how consistent is a matter of degree.</t>
        </is>
      </c>
      <c r="I16" s="7" t="inlineStr">
        <is>
          <t>1.0</t>
        </is>
      </c>
      <c r="J16" s="13">
        <f>IF($M$3="","NOT YET FROZEN",TEXT($M$3,"YYYY-MM-DD"))</f>
        <v/>
      </c>
    </row>
    <row r="17">
      <c r="A17" s="5" t="inlineStr">
        <is>
          <t>status_current</t>
        </is>
      </c>
      <c r="B17" s="6" t="inlineStr">
        <is>
          <t>The present state of the community.</t>
        </is>
      </c>
      <c r="C17" s="6" t="inlineStr">
        <is>
          <t>active: the site is operating and inhabited</t>
        </is>
      </c>
      <c r="D17" s="6" t="inlineStr">
        <is>
          <t>dormant: activity reduced or suspended, but not dissolved</t>
        </is>
      </c>
      <c r="E17" s="6" t="inlineStr">
        <is>
          <t>dissolved requires POSITIVE evidence. A vanished website is 'unknown', never 'dissolved'</t>
        </is>
      </c>
      <c r="F17" s="6" t="inlineStr">
        <is>
          <t>active / dormant / transformed / relocated / dissolved / unknown</t>
        </is>
      </c>
      <c r="G17" s="7" t="n">
        <v>0.8</v>
      </c>
      <c r="H17" s="6" t="inlineStr">
        <is>
          <t>Objectivity tier 1 by rule, but the unknown-is-not-dissolved discipline is the whole difficulty.</t>
        </is>
      </c>
      <c r="I17" s="7" t="inlineStr">
        <is>
          <t>1.0</t>
        </is>
      </c>
      <c r="J17" s="13">
        <f>IF($M$3="","NOT YET FROZEN",TEXT($M$3,"YYYY-MM-DD"))</f>
        <v/>
      </c>
    </row>
    <row r="18">
      <c r="A18" s="5" t="inlineStr">
        <is>
          <t>polygon_confidence</t>
        </is>
      </c>
      <c r="B18" s="6" t="inlineStr">
        <is>
          <t>How clearly the managed boundary could be read from the imagery.</t>
        </is>
      </c>
      <c r="C18" s="6" t="inlineStr">
        <is>
          <t>clear: field edges, tracks and terrace lines define the boundary unambiguously</t>
        </is>
      </c>
      <c r="D18" s="6" t="inlineStr">
        <is>
          <t>moderate: most of the boundary is structural, part is inferred from field pattern</t>
        </is>
      </c>
      <c r="E18" s="6" t="inlineStr">
        <is>
          <t>poor: the boundary rests substantially on judgement — report these separately</t>
        </is>
      </c>
      <c r="F18" s="6" t="inlineStr">
        <is>
          <t>clear / moderate / poor</t>
        </is>
      </c>
      <c r="G18" s="7" t="n">
        <v>0.7</v>
      </c>
      <c r="H18" s="6" t="inlineStr">
        <is>
          <t>Objectivity tier 3 — it is a self-assessment of a judgement, and is reported beside the redraw overlap rather than instead of it.</t>
        </is>
      </c>
      <c r="I18" s="7" t="inlineStr">
        <is>
          <t>1.0</t>
        </is>
      </c>
      <c r="J18" s="13">
        <f>IF($M$3="","NOT YET FROZEN",TEXT($M$3,"YYYY-MM-DD"))</f>
        <v/>
      </c>
    </row>
    <row r="19">
      <c r="J19" s="11" t="n"/>
    </row>
    <row r="20">
      <c r="J20" s="11" t="n"/>
    </row>
    <row r="21">
      <c r="J21" s="11" t="n"/>
    </row>
    <row r="22">
      <c r="J22" s="11" t="n"/>
    </row>
    <row r="23">
      <c r="J23" s="11" t="n"/>
    </row>
    <row r="24">
      <c r="J24" s="11" t="n"/>
    </row>
    <row r="25">
      <c r="J25" s="11" t="n"/>
    </row>
    <row r="26">
      <c r="J26" s="11" t="n"/>
    </row>
    <row r="27">
      <c r="J27" s="11" t="n"/>
    </row>
    <row r="28">
      <c r="J28" s="11" t="n"/>
    </row>
    <row r="29">
      <c r="J29" s="11" t="n"/>
    </row>
    <row r="30">
      <c r="J30" s="11" t="n"/>
    </row>
    <row r="31">
      <c r="J31" s="11" t="n"/>
    </row>
    <row r="32">
      <c r="J32" s="11" t="n"/>
    </row>
    <row r="33">
      <c r="J33" s="11" t="n"/>
    </row>
    <row r="34">
      <c r="J34" s="11" t="n"/>
    </row>
    <row r="35">
      <c r="J35" s="11" t="n"/>
    </row>
    <row r="36">
      <c r="J36" s="11" t="n"/>
    </row>
    <row r="37">
      <c r="J37" s="11" t="n"/>
    </row>
    <row r="38">
      <c r="J38" s="11" t="n"/>
    </row>
    <row r="39">
      <c r="J39" s="11" t="n"/>
    </row>
    <row r="40">
      <c r="J40" s="11" t="n"/>
    </row>
    <row r="41">
      <c r="J41" s="11" t="n"/>
    </row>
    <row r="42">
      <c r="J42" s="11" t="n"/>
    </row>
    <row r="43">
      <c r="J43" s="11" t="n"/>
    </row>
    <row r="44">
      <c r="J44" s="11" t="n"/>
    </row>
    <row r="45">
      <c r="J45" s="11" t="n"/>
    </row>
    <row r="46">
      <c r="J46" s="11" t="n"/>
    </row>
    <row r="47">
      <c r="J47" s="11" t="n"/>
    </row>
    <row r="48">
      <c r="J48" s="11" t="n"/>
    </row>
    <row r="49">
      <c r="J49" s="11" t="n"/>
    </row>
    <row r="50">
      <c r="J50" s="11" t="n"/>
    </row>
    <row r="51">
      <c r="J51" s="11" t="n"/>
    </row>
    <row r="52">
      <c r="J52" s="11" t="n"/>
    </row>
    <row r="53">
      <c r="J53" s="11" t="n"/>
    </row>
    <row r="54">
      <c r="J54" s="11" t="n"/>
    </row>
    <row r="55">
      <c r="J55" s="11" t="n"/>
    </row>
    <row r="56">
      <c r="J56" s="11" t="n"/>
    </row>
    <row r="57">
      <c r="J57" s="11" t="n"/>
    </row>
    <row r="58">
      <c r="J58" s="11" t="n"/>
    </row>
    <row r="59">
      <c r="J59" s="11" t="n"/>
    </row>
    <row r="60">
      <c r="J60" s="11" t="n"/>
    </row>
    <row r="61">
      <c r="J61" s="11" t="n"/>
    </row>
    <row r="62">
      <c r="J62" s="11" t="n"/>
    </row>
    <row r="63">
      <c r="J63" s="11" t="n"/>
    </row>
    <row r="64">
      <c r="J64" s="11" t="n"/>
    </row>
    <row r="65">
      <c r="J65" s="11" t="n"/>
    </row>
    <row r="66">
      <c r="J66" s="11" t="n"/>
    </row>
    <row r="67">
      <c r="J67" s="11" t="n"/>
    </row>
    <row r="68">
      <c r="J68" s="11" t="n"/>
    </row>
    <row r="69">
      <c r="J69" s="11" t="n"/>
    </row>
    <row r="70">
      <c r="J70" s="11" t="n"/>
    </row>
    <row r="71">
      <c r="J71" s="11" t="n"/>
    </row>
    <row r="72">
      <c r="J72" s="11" t="n"/>
    </row>
    <row r="73">
      <c r="J73" s="11" t="n"/>
    </row>
    <row r="74">
      <c r="J74" s="11" t="n"/>
    </row>
    <row r="75">
      <c r="J75" s="11" t="n"/>
    </row>
    <row r="76">
      <c r="J76" s="11" t="n"/>
    </row>
    <row r="77">
      <c r="J77" s="11" t="n"/>
    </row>
    <row r="78">
      <c r="J78" s="11" t="n"/>
    </row>
    <row r="79">
      <c r="J79" s="11" t="n"/>
    </row>
    <row r="80">
      <c r="J80" s="11" t="n"/>
    </row>
    <row r="81">
      <c r="J81" s="11" t="n"/>
    </row>
    <row r="82">
      <c r="J82" s="11" t="n"/>
    </row>
    <row r="83">
      <c r="J83" s="11" t="n"/>
    </row>
    <row r="84">
      <c r="J84" s="11" t="n"/>
    </row>
    <row r="85">
      <c r="J85" s="11" t="n"/>
    </row>
    <row r="86">
      <c r="J86" s="11" t="n"/>
    </row>
    <row r="87">
      <c r="J87" s="11" t="n"/>
    </row>
    <row r="88">
      <c r="J88" s="11" t="n"/>
    </row>
    <row r="89">
      <c r="J89" s="11" t="n"/>
    </row>
    <row r="90">
      <c r="J90" s="11" t="n"/>
    </row>
    <row r="91">
      <c r="J91" s="11" t="n"/>
    </row>
    <row r="92">
      <c r="J92" s="11" t="n"/>
    </row>
    <row r="93">
      <c r="J93" s="11" t="n"/>
    </row>
    <row r="94">
      <c r="J94" s="11" t="n"/>
    </row>
    <row r="95">
      <c r="J95" s="11" t="n"/>
    </row>
    <row r="96">
      <c r="J96" s="11" t="n"/>
    </row>
    <row r="97">
      <c r="J97" s="11" t="n"/>
    </row>
    <row r="98">
      <c r="J98" s="11" t="n"/>
    </row>
    <row r="99">
      <c r="J99" s="11" t="n"/>
    </row>
    <row r="100">
      <c r="J100" s="11" t="n"/>
    </row>
    <row r="101">
      <c r="J101" s="11" t="n"/>
    </row>
    <row r="102">
      <c r="J102" s="11" t="n"/>
    </row>
    <row r="103">
      <c r="J103" s="11" t="n"/>
    </row>
    <row r="104">
      <c r="J104" s="11" t="n"/>
    </row>
    <row r="105">
      <c r="J105" s="11" t="n"/>
    </row>
    <row r="106">
      <c r="J106" s="11" t="n"/>
    </row>
    <row r="107">
      <c r="J107" s="11" t="n"/>
    </row>
    <row r="108">
      <c r="J108" s="11" t="n"/>
    </row>
    <row r="109">
      <c r="J109" s="11" t="n"/>
    </row>
    <row r="110">
      <c r="J110" s="11" t="n"/>
    </row>
    <row r="111">
      <c r="J111" s="11" t="n"/>
    </row>
    <row r="112">
      <c r="J112" s="11" t="n"/>
    </row>
    <row r="113">
      <c r="J113" s="11" t="n"/>
    </row>
    <row r="114">
      <c r="J114" s="11" t="n"/>
    </row>
    <row r="115">
      <c r="J115" s="11" t="n"/>
    </row>
    <row r="116">
      <c r="J116" s="11" t="n"/>
    </row>
    <row r="117">
      <c r="J117" s="11" t="n"/>
    </row>
    <row r="118">
      <c r="J118" s="11" t="n"/>
    </row>
    <row r="119">
      <c r="J119" s="11" t="n"/>
    </row>
    <row r="120">
      <c r="J120" s="11" t="n"/>
    </row>
    <row r="121">
      <c r="J121" s="11" t="n"/>
    </row>
    <row r="122">
      <c r="J122" s="11" t="n"/>
    </row>
    <row r="123">
      <c r="J123" s="11" t="n"/>
    </row>
    <row r="124">
      <c r="J124" s="11" t="n"/>
    </row>
    <row r="125">
      <c r="J125" s="11" t="n"/>
    </row>
    <row r="126">
      <c r="J126" s="11" t="n"/>
    </row>
    <row r="127">
      <c r="J127" s="11" t="n"/>
    </row>
    <row r="128">
      <c r="J128" s="11" t="n"/>
    </row>
    <row r="129">
      <c r="J129" s="11" t="n"/>
    </row>
    <row r="130">
      <c r="J130" s="11" t="n"/>
    </row>
    <row r="131">
      <c r="J131" s="11" t="n"/>
    </row>
    <row r="132">
      <c r="J132" s="11" t="n"/>
    </row>
    <row r="133">
      <c r="J133" s="11" t="n"/>
    </row>
    <row r="134">
      <c r="J134" s="11" t="n"/>
    </row>
    <row r="135">
      <c r="J135" s="11" t="n"/>
    </row>
    <row r="136">
      <c r="J136" s="11" t="n"/>
    </row>
    <row r="137">
      <c r="J137" s="11" t="n"/>
    </row>
    <row r="138">
      <c r="J138" s="11" t="n"/>
    </row>
    <row r="139">
      <c r="J139" s="11" t="n"/>
    </row>
    <row r="140">
      <c r="J140" s="11" t="n"/>
    </row>
    <row r="141">
      <c r="J141" s="11" t="n"/>
    </row>
    <row r="142">
      <c r="J142" s="11" t="n"/>
    </row>
    <row r="143">
      <c r="J143" s="11" t="n"/>
    </row>
    <row r="144">
      <c r="J144" s="11" t="n"/>
    </row>
    <row r="145">
      <c r="J145" s="11" t="n"/>
    </row>
    <row r="146">
      <c r="J146" s="11" t="n"/>
    </row>
    <row r="147">
      <c r="J147" s="11" t="n"/>
    </row>
    <row r="148">
      <c r="J148" s="11" t="n"/>
    </row>
    <row r="149">
      <c r="J149" s="11" t="n"/>
    </row>
    <row r="150">
      <c r="J150" s="11" t="n"/>
    </row>
    <row r="151">
      <c r="J151" s="11" t="n"/>
    </row>
    <row r="152">
      <c r="J152" s="11" t="n"/>
    </row>
    <row r="153">
      <c r="J153" s="11" t="n"/>
    </row>
    <row r="154">
      <c r="J154" s="11" t="n"/>
    </row>
    <row r="155">
      <c r="J155" s="11" t="n"/>
    </row>
    <row r="156">
      <c r="J156" s="11" t="n"/>
    </row>
    <row r="157">
      <c r="J157" s="11" t="n"/>
    </row>
    <row r="158">
      <c r="J158" s="11" t="n"/>
    </row>
    <row r="159">
      <c r="J159" s="11" t="n"/>
    </row>
    <row r="160">
      <c r="J160" s="11" t="n"/>
    </row>
    <row r="161">
      <c r="J161" s="11" t="n"/>
    </row>
    <row r="162">
      <c r="J162" s="11" t="n"/>
    </row>
    <row r="163">
      <c r="J163" s="11" t="n"/>
    </row>
    <row r="164">
      <c r="J164" s="11" t="n"/>
    </row>
    <row r="165">
      <c r="J165" s="11" t="n"/>
    </row>
    <row r="166">
      <c r="J166" s="11" t="n"/>
    </row>
    <row r="167">
      <c r="J167" s="11" t="n"/>
    </row>
    <row r="168">
      <c r="J168" s="11" t="n"/>
    </row>
    <row r="169">
      <c r="J169" s="11" t="n"/>
    </row>
    <row r="170">
      <c r="J170" s="11" t="n"/>
    </row>
    <row r="171">
      <c r="J171" s="11" t="n"/>
    </row>
    <row r="172">
      <c r="J172" s="11" t="n"/>
    </row>
    <row r="173">
      <c r="J173" s="11" t="n"/>
    </row>
    <row r="174">
      <c r="J174" s="11" t="n"/>
    </row>
    <row r="175">
      <c r="J175" s="11" t="n"/>
    </row>
    <row r="176">
      <c r="J176" s="11" t="n"/>
    </row>
    <row r="177">
      <c r="J177" s="11" t="n"/>
    </row>
    <row r="178">
      <c r="J178" s="11" t="n"/>
    </row>
    <row r="179">
      <c r="J179" s="11" t="n"/>
    </row>
    <row r="180">
      <c r="J180" s="11" t="n"/>
    </row>
    <row r="181">
      <c r="J181" s="11" t="n"/>
    </row>
    <row r="182">
      <c r="J182" s="11" t="n"/>
    </row>
    <row r="183">
      <c r="J183" s="11" t="n"/>
    </row>
    <row r="184">
      <c r="J184" s="11" t="n"/>
    </row>
    <row r="185">
      <c r="J185" s="11" t="n"/>
    </row>
    <row r="186">
      <c r="J186" s="11" t="n"/>
    </row>
    <row r="187">
      <c r="J187" s="11" t="n"/>
    </row>
    <row r="188">
      <c r="J188" s="11" t="n"/>
    </row>
    <row r="189">
      <c r="J189" s="11" t="n"/>
    </row>
    <row r="190">
      <c r="J190" s="11" t="n"/>
    </row>
    <row r="191">
      <c r="J191" s="11" t="n"/>
    </row>
    <row r="192">
      <c r="J192" s="11" t="n"/>
    </row>
    <row r="193">
      <c r="J193" s="11" t="n"/>
    </row>
    <row r="194">
      <c r="J194" s="11" t="n"/>
    </row>
    <row r="195">
      <c r="J195" s="11" t="n"/>
    </row>
    <row r="196">
      <c r="J196" s="11" t="n"/>
    </row>
    <row r="197">
      <c r="J197" s="11" t="n"/>
    </row>
    <row r="198">
      <c r="J198" s="11" t="n"/>
    </row>
    <row r="199">
      <c r="J199" s="11" t="n"/>
    </row>
    <row r="200">
      <c r="J200" s="11" t="n"/>
    </row>
    <row r="201">
      <c r="J201" s="11" t="n"/>
    </row>
    <row r="202">
      <c r="J202" s="11" t="n"/>
    </row>
    <row r="203">
      <c r="J203" s="11" t="n"/>
    </row>
    <row r="204">
      <c r="J204" s="11" t="n"/>
    </row>
    <row r="205">
      <c r="J205" s="11" t="n"/>
    </row>
    <row r="206">
      <c r="J206" s="11" t="n"/>
    </row>
    <row r="207">
      <c r="J207" s="11" t="n"/>
    </row>
    <row r="208">
      <c r="J208" s="11" t="n"/>
    </row>
    <row r="209">
      <c r="J209" s="11" t="n"/>
    </row>
    <row r="210">
      <c r="J210" s="11" t="n"/>
    </row>
    <row r="211">
      <c r="J211" s="11" t="n"/>
    </row>
    <row r="212">
      <c r="J212" s="11" t="n"/>
    </row>
    <row r="213">
      <c r="J213" s="11" t="n"/>
    </row>
    <row r="214">
      <c r="J214" s="11" t="n"/>
    </row>
    <row r="215">
      <c r="J215" s="11" t="n"/>
    </row>
    <row r="216">
      <c r="J216" s="11" t="n"/>
    </row>
    <row r="217">
      <c r="J217" s="11" t="n"/>
    </row>
    <row r="218">
      <c r="J218" s="11" t="n"/>
    </row>
    <row r="219">
      <c r="J219" s="11" t="n"/>
    </row>
    <row r="220">
      <c r="J220" s="11" t="n"/>
    </row>
    <row r="221">
      <c r="J221" s="11" t="n"/>
    </row>
    <row r="222">
      <c r="J222" s="11" t="n"/>
    </row>
    <row r="223">
      <c r="J223" s="11" t="n"/>
    </row>
    <row r="224">
      <c r="J224" s="11" t="n"/>
    </row>
    <row r="225">
      <c r="J225" s="11" t="n"/>
    </row>
    <row r="226">
      <c r="J226" s="11" t="n"/>
    </row>
    <row r="227">
      <c r="J227" s="11" t="n"/>
    </row>
    <row r="228">
      <c r="J228" s="11" t="n"/>
    </row>
    <row r="229">
      <c r="J229" s="11" t="n"/>
    </row>
    <row r="230">
      <c r="J230" s="11" t="n"/>
    </row>
    <row r="231">
      <c r="J231" s="11" t="n"/>
    </row>
    <row r="232">
      <c r="J232" s="11" t="n"/>
    </row>
    <row r="233">
      <c r="J233" s="11" t="n"/>
    </row>
    <row r="234">
      <c r="J234" s="11" t="n"/>
    </row>
    <row r="235">
      <c r="J235" s="11" t="n"/>
    </row>
    <row r="236">
      <c r="J236" s="11" t="n"/>
    </row>
    <row r="237">
      <c r="J237" s="11" t="n"/>
    </row>
    <row r="238">
      <c r="J238" s="11" t="n"/>
    </row>
    <row r="239">
      <c r="J239" s="11" t="n"/>
    </row>
    <row r="240">
      <c r="J240" s="11" t="n"/>
    </row>
    <row r="241">
      <c r="J241" s="11" t="n"/>
    </row>
    <row r="242">
      <c r="J242" s="11" t="n"/>
    </row>
    <row r="243">
      <c r="J243" s="11" t="n"/>
    </row>
    <row r="244">
      <c r="J244" s="11" t="n"/>
    </row>
    <row r="245">
      <c r="J245" s="11" t="n"/>
    </row>
    <row r="246">
      <c r="J246" s="11" t="n"/>
    </row>
    <row r="247">
      <c r="J247" s="11" t="n"/>
    </row>
    <row r="248">
      <c r="J248" s="11" t="n"/>
    </row>
    <row r="249">
      <c r="J249" s="11" t="n"/>
    </row>
    <row r="250">
      <c r="J250" s="11" t="n"/>
    </row>
    <row r="251">
      <c r="J251" s="11" t="n"/>
    </row>
    <row r="252">
      <c r="J252" s="11" t="n"/>
    </row>
    <row r="253">
      <c r="J253" s="11" t="n"/>
    </row>
    <row r="254">
      <c r="J254" s="11" t="n"/>
    </row>
    <row r="255">
      <c r="J255" s="11" t="n"/>
    </row>
    <row r="256">
      <c r="J256" s="11" t="n"/>
    </row>
    <row r="257">
      <c r="J257" s="11" t="n"/>
    </row>
    <row r="258">
      <c r="J258" s="11" t="n"/>
    </row>
    <row r="259">
      <c r="J259" s="11" t="n"/>
    </row>
    <row r="260">
      <c r="J260" s="11" t="n"/>
    </row>
    <row r="261">
      <c r="J261" s="11" t="n"/>
    </row>
    <row r="262">
      <c r="J262" s="11" t="n"/>
    </row>
    <row r="263">
      <c r="J263" s="11" t="n"/>
    </row>
    <row r="264">
      <c r="J264" s="11" t="n"/>
    </row>
    <row r="265">
      <c r="J265" s="11" t="n"/>
    </row>
    <row r="266">
      <c r="J266" s="11" t="n"/>
    </row>
    <row r="267">
      <c r="J267" s="11" t="n"/>
    </row>
    <row r="268">
      <c r="J268" s="11" t="n"/>
    </row>
    <row r="269">
      <c r="J269" s="11" t="n"/>
    </row>
    <row r="270">
      <c r="J270" s="11" t="n"/>
    </row>
    <row r="271">
      <c r="J271" s="11" t="n"/>
    </row>
    <row r="272">
      <c r="J272" s="11" t="n"/>
    </row>
    <row r="273">
      <c r="J273" s="11" t="n"/>
    </row>
    <row r="274">
      <c r="J274" s="11" t="n"/>
    </row>
    <row r="275">
      <c r="J275" s="11" t="n"/>
    </row>
    <row r="276">
      <c r="J276" s="11" t="n"/>
    </row>
    <row r="277">
      <c r="J277" s="11" t="n"/>
    </row>
    <row r="278">
      <c r="J278" s="11" t="n"/>
    </row>
    <row r="279">
      <c r="J279" s="11" t="n"/>
    </row>
    <row r="280">
      <c r="J280" s="11" t="n"/>
    </row>
    <row r="281">
      <c r="J281" s="11" t="n"/>
    </row>
    <row r="282">
      <c r="J282" s="11" t="n"/>
    </row>
    <row r="283">
      <c r="J283" s="11" t="n"/>
    </row>
    <row r="284">
      <c r="J284" s="11" t="n"/>
    </row>
    <row r="285">
      <c r="J285" s="11" t="n"/>
    </row>
    <row r="286">
      <c r="J286" s="11" t="n"/>
    </row>
    <row r="287">
      <c r="J287" s="11" t="n"/>
    </row>
    <row r="288">
      <c r="J288" s="11" t="n"/>
    </row>
    <row r="289">
      <c r="J289" s="11" t="n"/>
    </row>
    <row r="290">
      <c r="J290" s="11" t="n"/>
    </row>
    <row r="291">
      <c r="J291" s="11" t="n"/>
    </row>
    <row r="292">
      <c r="J292" s="11" t="n"/>
    </row>
    <row r="293">
      <c r="J293" s="11" t="n"/>
    </row>
    <row r="294">
      <c r="J294" s="11" t="n"/>
    </row>
    <row r="295">
      <c r="J295" s="11" t="n"/>
    </row>
    <row r="296">
      <c r="J296" s="11" t="n"/>
    </row>
    <row r="297">
      <c r="J297" s="11" t="n"/>
    </row>
    <row r="298">
      <c r="J298" s="11" t="n"/>
    </row>
    <row r="299">
      <c r="J299" s="11" t="n"/>
    </row>
    <row r="300">
      <c r="J300" s="11" t="n"/>
    </row>
    <row r="301">
      <c r="J301" s="11" t="n"/>
    </row>
    <row r="302">
      <c r="J302" s="11" t="n"/>
    </row>
    <row r="303">
      <c r="J303" s="11" t="n"/>
    </row>
    <row r="304">
      <c r="J304" s="11" t="n"/>
    </row>
    <row r="305">
      <c r="J305" s="11" t="n"/>
    </row>
    <row r="306">
      <c r="J306" s="11" t="n"/>
    </row>
    <row r="307">
      <c r="J307" s="11" t="n"/>
    </row>
    <row r="308">
      <c r="J308" s="11" t="n"/>
    </row>
    <row r="309">
      <c r="J309" s="11" t="n"/>
    </row>
    <row r="310">
      <c r="J310" s="11" t="n"/>
    </row>
    <row r="311">
      <c r="J311" s="11" t="n"/>
    </row>
    <row r="312">
      <c r="J312" s="11" t="n"/>
    </row>
    <row r="313">
      <c r="J313" s="11" t="n"/>
    </row>
    <row r="314">
      <c r="J314" s="11" t="n"/>
    </row>
    <row r="315">
      <c r="J315" s="11" t="n"/>
    </row>
    <row r="316">
      <c r="J316" s="11" t="n"/>
    </row>
    <row r="317">
      <c r="J317" s="11" t="n"/>
    </row>
    <row r="318">
      <c r="J318" s="11" t="n"/>
    </row>
    <row r="319">
      <c r="J319" s="11" t="n"/>
    </row>
    <row r="320">
      <c r="J320" s="11" t="n"/>
    </row>
    <row r="321">
      <c r="J321" s="11" t="n"/>
    </row>
    <row r="322">
      <c r="J322" s="11" t="n"/>
    </row>
    <row r="323">
      <c r="J323" s="11" t="n"/>
    </row>
    <row r="324">
      <c r="J324" s="11" t="n"/>
    </row>
    <row r="325">
      <c r="J325" s="11" t="n"/>
    </row>
    <row r="326">
      <c r="J326" s="11" t="n"/>
    </row>
    <row r="327">
      <c r="J327" s="11" t="n"/>
    </row>
    <row r="328">
      <c r="J328" s="11" t="n"/>
    </row>
    <row r="329">
      <c r="J329" s="11" t="n"/>
    </row>
    <row r="330">
      <c r="J330" s="11" t="n"/>
    </row>
    <row r="331">
      <c r="J331" s="11" t="n"/>
    </row>
    <row r="332">
      <c r="J332" s="11" t="n"/>
    </row>
    <row r="333">
      <c r="J333" s="11" t="n"/>
    </row>
    <row r="334">
      <c r="J334" s="11" t="n"/>
    </row>
    <row r="335">
      <c r="J335" s="11" t="n"/>
    </row>
    <row r="336">
      <c r="J336" s="11" t="n"/>
    </row>
    <row r="337">
      <c r="J337" s="11" t="n"/>
    </row>
    <row r="338">
      <c r="J338" s="11" t="n"/>
    </row>
    <row r="339">
      <c r="J339" s="11" t="n"/>
    </row>
    <row r="340">
      <c r="J340" s="11" t="n"/>
    </row>
    <row r="341">
      <c r="J341" s="11" t="n"/>
    </row>
    <row r="342">
      <c r="J342" s="11" t="n"/>
    </row>
    <row r="343">
      <c r="J343" s="11" t="n"/>
    </row>
    <row r="344">
      <c r="J344" s="11" t="n"/>
    </row>
    <row r="345">
      <c r="J345" s="11" t="n"/>
    </row>
    <row r="346">
      <c r="J346" s="11" t="n"/>
    </row>
    <row r="347">
      <c r="J347" s="11" t="n"/>
    </row>
    <row r="348">
      <c r="J348" s="11" t="n"/>
    </row>
    <row r="349">
      <c r="J349" s="11" t="n"/>
    </row>
    <row r="350">
      <c r="J350" s="11" t="n"/>
    </row>
    <row r="351">
      <c r="J351" s="11" t="n"/>
    </row>
    <row r="352">
      <c r="J352" s="11" t="n"/>
    </row>
    <row r="353">
      <c r="J353" s="11" t="n"/>
    </row>
    <row r="354">
      <c r="J354" s="11" t="n"/>
    </row>
    <row r="355">
      <c r="J355" s="11" t="n"/>
    </row>
    <row r="356">
      <c r="J356" s="11" t="n"/>
    </row>
    <row r="357">
      <c r="J357" s="11" t="n"/>
    </row>
    <row r="358">
      <c r="J358" s="11" t="n"/>
    </row>
    <row r="359">
      <c r="J359" s="11" t="n"/>
    </row>
    <row r="360">
      <c r="J360" s="11" t="n"/>
    </row>
    <row r="361">
      <c r="J361" s="11" t="n"/>
    </row>
    <row r="362">
      <c r="J362" s="11" t="n"/>
    </row>
    <row r="363">
      <c r="J363" s="11" t="n"/>
    </row>
    <row r="364">
      <c r="J364" s="11" t="n"/>
    </row>
    <row r="365">
      <c r="J365" s="11" t="n"/>
    </row>
    <row r="366">
      <c r="J366" s="11" t="n"/>
    </row>
    <row r="367">
      <c r="J367" s="11" t="n"/>
    </row>
    <row r="368">
      <c r="J368" s="11" t="n"/>
    </row>
    <row r="369">
      <c r="J369" s="11" t="n"/>
    </row>
    <row r="370">
      <c r="J370" s="11" t="n"/>
    </row>
    <row r="371">
      <c r="J371" s="11" t="n"/>
    </row>
    <row r="372">
      <c r="J372" s="11" t="n"/>
    </row>
    <row r="373">
      <c r="J373" s="11" t="n"/>
    </row>
    <row r="374">
      <c r="J374" s="11" t="n"/>
    </row>
    <row r="375">
      <c r="J375" s="11" t="n"/>
    </row>
    <row r="376">
      <c r="J376" s="11" t="n"/>
    </row>
    <row r="377">
      <c r="J377" s="11" t="n"/>
    </row>
    <row r="378">
      <c r="J378" s="11" t="n"/>
    </row>
    <row r="379">
      <c r="J379" s="11" t="n"/>
    </row>
    <row r="380">
      <c r="J380" s="11" t="n"/>
    </row>
    <row r="381">
      <c r="J381" s="11" t="n"/>
    </row>
    <row r="382">
      <c r="J382" s="11" t="n"/>
    </row>
    <row r="383">
      <c r="J383" s="11" t="n"/>
    </row>
    <row r="384">
      <c r="J384" s="11" t="n"/>
    </row>
    <row r="385">
      <c r="J385" s="11" t="n"/>
    </row>
    <row r="386">
      <c r="J386" s="11" t="n"/>
    </row>
    <row r="387">
      <c r="J387" s="11" t="n"/>
    </row>
    <row r="388">
      <c r="J388" s="11" t="n"/>
    </row>
    <row r="389">
      <c r="J389" s="11" t="n"/>
    </row>
    <row r="390">
      <c r="J390" s="11" t="n"/>
    </row>
    <row r="391">
      <c r="J391" s="11" t="n"/>
    </row>
    <row r="392">
      <c r="J392" s="11" t="n"/>
    </row>
    <row r="393">
      <c r="J393" s="11" t="n"/>
    </row>
    <row r="394">
      <c r="J394" s="11" t="n"/>
    </row>
    <row r="395">
      <c r="J395" s="11" t="n"/>
    </row>
    <row r="396">
      <c r="J396" s="11" t="n"/>
    </row>
    <row r="397">
      <c r="J397" s="11" t="n"/>
    </row>
    <row r="398">
      <c r="J398" s="11" t="n"/>
    </row>
    <row r="399">
      <c r="J399" s="11" t="n"/>
    </row>
    <row r="400">
      <c r="J400" s="11" t="n"/>
    </row>
    <row r="401">
      <c r="J401" s="11" t="n"/>
    </row>
    <row r="402">
      <c r="J402" s="11" t="n"/>
    </row>
  </sheetData>
  <autoFilter ref="A1:K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44" customWidth="1" min="12" max="12"/>
    <col width="96" customWidth="1" min="14" max="14"/>
  </cols>
  <sheetData>
    <row r="1" ht="30" customHeight="1">
      <c r="A1" s="9" t="inlineStr">
        <is>
          <t>calibration_round</t>
        </is>
      </c>
      <c r="B1" s="9" t="inlineStr">
        <is>
          <t>calibration_date</t>
        </is>
      </c>
      <c r="C1" s="9" t="inlineStr">
        <is>
          <t>coder_id</t>
        </is>
      </c>
      <c r="D1" s="9" t="inlineStr">
        <is>
          <t>calibration_set_size</t>
        </is>
      </c>
      <c r="E1" s="9" t="inlineStr">
        <is>
          <t>variable</t>
        </is>
      </c>
      <c r="F1" s="9" t="inlineStr">
        <is>
          <t>agreement_with_reference</t>
        </is>
      </c>
      <c r="G1" s="9" t="inlineStr">
        <is>
          <t>threshold_required</t>
        </is>
      </c>
      <c r="H1" s="9" t="inlineStr">
        <is>
          <t>passed</t>
        </is>
      </c>
      <c r="I1" s="9" t="inlineStr">
        <is>
          <t>drift_vs_initial</t>
        </is>
      </c>
      <c r="J1" s="9" t="inlineStr">
        <is>
          <t>action_taken</t>
        </is>
      </c>
      <c r="K1" s="9" t="inlineStr">
        <is>
          <t>cleared_for_production</t>
        </is>
      </c>
      <c r="L1" s="9" t="inlineStr">
        <is>
          <t>notes</t>
        </is>
      </c>
      <c r="N1" s="10" t="inlineStr">
        <is>
          <t>A coder proceeds to production coding only after meeting the declared threshold on a calibration set drawn from communities NOT in the study sample.</t>
        </is>
      </c>
    </row>
    <row r="2">
      <c r="N2" s="12" t="inlineStr"/>
    </row>
    <row r="3">
      <c r="N3" s="12" t="inlineStr">
        <is>
          <t>Run the round again at the midpoint and at the end. Drift between rounds is a real and reportable finding about the coding, not a nuisance.</t>
        </is>
      </c>
    </row>
  </sheetData>
  <autoFilter ref="A1:L1"/>
  <dataValidations count="2">
    <dataValidation sqref="A2:A402" showDropDown="0" showInputMessage="0" showErrorMessage="0" allowBlank="1" errorTitle="Value not in the controlled vocabulary" error="Use the dropdown. Free-typed variants corrupt every count." type="list">
      <formula1>"initial,midpoint,final"</formula1>
    </dataValidation>
    <dataValidation sqref="H2:H402 K2:K402" showDropDown="0" showInputMessage="0" showErrorMessage="0" allowBlank="1" errorTitle="Value not in the controlled vocabulary" error="Use the dropdown. Free-typed variants corrupt every count."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40" customWidth="1" min="4" max="4"/>
    <col width="40" customWidth="1" min="5" max="5"/>
    <col width="18" customWidth="1" min="6" max="6"/>
    <col width="44" customWidth="1" min="7" max="7"/>
    <col width="18" customWidth="1" min="8" max="8"/>
    <col width="18" customWidth="1" min="9" max="9"/>
    <col width="18" customWidth="1" min="10" max="10"/>
    <col width="18" customWidth="1" min="11" max="11"/>
    <col width="30" customWidth="1" min="12" max="12"/>
    <col width="96" customWidth="1" min="14" max="14"/>
  </cols>
  <sheetData>
    <row r="1" ht="30" customHeight="1">
      <c r="A1" s="9" t="inlineStr">
        <is>
          <t>decision_id</t>
        </is>
      </c>
      <c r="B1" s="9" t="inlineStr">
        <is>
          <t>date</t>
        </is>
      </c>
      <c r="C1" s="9" t="inlineStr">
        <is>
          <t>stage</t>
        </is>
      </c>
      <c r="D1" s="9" t="inlineStr">
        <is>
          <t>issue</t>
        </is>
      </c>
      <c r="E1" s="9" t="inlineStr">
        <is>
          <t>decision</t>
        </is>
      </c>
      <c r="F1" s="9" t="inlineStr">
        <is>
          <t>rule_or_plan_section</t>
        </is>
      </c>
      <c r="G1" s="9" t="inlineStr">
        <is>
          <t>reason</t>
        </is>
      </c>
      <c r="H1" s="9" t="inlineStr">
        <is>
          <t>impact</t>
        </is>
      </c>
      <c r="I1" s="9" t="inlineStr">
        <is>
          <t>requires_recode</t>
        </is>
      </c>
      <c r="J1" s="9" t="inlineStr">
        <is>
          <t>affects_frozen_output</t>
        </is>
      </c>
      <c r="K1" s="9" t="inlineStr">
        <is>
          <t>changes_results</t>
        </is>
      </c>
      <c r="L1" s="9" t="inlineStr">
        <is>
          <t>notes</t>
        </is>
      </c>
      <c r="N1" s="10" t="inlineStr">
        <is>
          <t>Appendix A of the plan. One spreadsheet tab, one row per decision, WITH A DATE. This is the entirety of what remains of the old integrity architecture, and it takes a few minutes a week.</t>
        </is>
      </c>
    </row>
    <row r="2">
      <c r="N2" s="12" t="inlineStr"/>
    </row>
    <row r="3">
      <c r="N3" s="12" t="inlineStr">
        <is>
          <t>Log the decisions you later REVERSED as well. A log showing only what survived is a tidied story, and a reader who suspects tidying discounts all of it. The reversals are what make it credible.</t>
        </is>
      </c>
    </row>
    <row r="4">
      <c r="N4" s="12" t="inlineStr"/>
    </row>
    <row r="5">
      <c r="N5" s="12" t="inlineStr">
        <is>
          <t>Seed values belong here too: the reference-pool draw, the semi-urban split, the double-coding subsample, and any permutation or bootstrap seed. Record each on the day you set it.</t>
        </is>
      </c>
    </row>
  </sheetData>
  <autoFilter ref="A1:L1"/>
  <dataValidations count="3">
    <dataValidation sqref="C2:C402" showDropDown="0" showInputMessage="0" showErrorMessage="0" allowBlank="1" errorTitle="Value not in the controlled vocabulary" error="Use the dropdown. Free-typed variants corrupt every count." type="list">
      <formula1>"Stage 1,Stage 2,Stage 3,Stage 3b,Stage 4,Stage 5,Stage 6,Stage 7,Stage 8"</formula1>
    </dataValidation>
    <dataValidation sqref="I2:I402 J2:J402" showDropDown="0" showInputMessage="0" showErrorMessage="0" allowBlank="1" errorTitle="Value not in the controlled vocabulary" error="Use the dropdown. Free-typed variants corrupt every count." type="list">
      <formula1>"yes,no"</formula1>
    </dataValidation>
    <dataValidation sqref="K2:K402" showDropDown="0" showInputMessage="0" showErrorMessage="0" allowBlank="1" errorTitle="Value not in the controlled vocabulary" error="Use the dropdown. Free-typed variants corrupt every count." type="list">
      <formula1>"no,yes,unknown"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09"/>
  <sheetViews>
    <sheetView workbookViewId="0">
      <pane ySplit="1" topLeftCell="A2" activePane="bottomLeft" state="frozen"/>
      <selection pane="bottomLeft" activeCell="A1" sqref="A1"/>
    </sheetView>
  </sheetViews>
  <sheetFormatPr baseColWidth="8" defaultRowHeight="15"/>
  <cols>
    <col width="34" customWidth="1" min="1" max="1"/>
    <col width="74" customWidth="1" min="2" max="2"/>
    <col width="74" customWidth="1" min="3" max="3"/>
  </cols>
  <sheetData>
    <row r="1">
      <c r="A1" s="1" t="inlineStr">
        <is>
          <t>REFERENCE CODES — the full vocabulary, with the rule behind each value</t>
        </is>
      </c>
    </row>
    <row r="2">
      <c r="A2" s="3" t="inlineStr">
        <is>
          <t>Source classes (S1 strongest ... S8 weakest)</t>
        </is>
      </c>
      <c r="B2" s="4" t="n"/>
      <c r="C2" s="4" t="n"/>
    </row>
    <row r="3">
      <c r="A3" s="5" t="inlineStr">
        <is>
          <t>S1</t>
        </is>
      </c>
      <c r="B3" s="6" t="inlineStr">
        <is>
          <t>ACADEMIC — peer-reviewed papers, THESES AND DISSERTATIONS, conference papers, preprints</t>
        </is>
      </c>
      <c r="C3" s="6" t="inlineStr">
        <is>
          <t>Where most RANK 1 onset evidence lives</t>
        </is>
      </c>
    </row>
    <row r="4">
      <c r="A4" s="5" t="inlineStr">
        <is>
          <t>S2</t>
        </is>
      </c>
      <c r="B4" s="6" t="inlineStr">
        <is>
          <t>INSTITUTIONAL — government, NGO, certification, land registry, GRANT AND FUNDING RECORDS</t>
        </is>
      </c>
      <c r="C4" s="6" t="inlineStr">
        <is>
          <t>A grant record is dated, independent and public</t>
        </is>
      </c>
    </row>
    <row r="5">
      <c r="A5" s="5" t="inlineStr">
        <is>
          <t>S3</t>
        </is>
      </c>
      <c r="B5" s="6" t="inlineStr">
        <is>
          <t>External network or directory profile</t>
        </is>
      </c>
      <c r="C5" s="6" t="inlineStr">
        <is>
          <t>Externally hosted, usually self-submitted — often a COPY of S4</t>
        </is>
      </c>
    </row>
    <row r="6">
      <c r="A6" s="5" t="inlineStr">
        <is>
          <t>S4</t>
        </is>
      </c>
      <c r="B6" s="6" t="inlineStr">
        <is>
          <t>The community's own current published material</t>
        </is>
      </c>
      <c r="C6" s="6" t="inlineStr">
        <is>
          <t>Richest and least independent</t>
        </is>
      </c>
    </row>
    <row r="7">
      <c r="A7" s="5" t="inlineStr">
        <is>
          <t>S5</t>
        </is>
      </c>
      <c r="B7" s="6" t="inlineStr">
        <is>
          <t>Archived snapshots of community material</t>
        </is>
      </c>
      <c r="C7" s="6" t="inlineStr">
        <is>
          <t>Uniquely valuable for DATING</t>
        </is>
      </c>
    </row>
    <row r="8">
      <c r="A8" s="5" t="inlineStr">
        <is>
          <t>S6</t>
        </is>
      </c>
      <c r="B8" s="6" t="inlineStr">
        <is>
          <t>Journalism and documentary media</t>
        </is>
      </c>
      <c r="C8" s="6" t="inlineStr">
        <is>
          <t>Independent but often uncritical</t>
        </is>
      </c>
    </row>
    <row r="9">
      <c r="A9" s="5" t="inlineStr">
        <is>
          <t>S7</t>
        </is>
      </c>
      <c r="B9" s="6" t="inlineStr">
        <is>
          <t>Community social media and member accounts</t>
        </is>
      </c>
      <c r="C9" s="6" t="inlineStr">
        <is>
          <t>Supporting evidence only; never the sole basis</t>
        </is>
      </c>
    </row>
    <row r="10">
      <c r="A10" s="5" t="inlineStr">
        <is>
          <t>S8</t>
        </is>
      </c>
      <c r="B10" s="6" t="inlineStr">
        <is>
          <t>Direct communication with the community</t>
        </is>
      </c>
      <c r="C10" s="6" t="inlineStr">
        <is>
          <t>Authoritative on facts the community knows; needs ethics clearance</t>
        </is>
      </c>
    </row>
    <row r="11">
      <c r="A11" s="3" t="inlineStr">
        <is>
          <t>Onset evidence ranks and their typical uncertainty bands</t>
        </is>
      </c>
      <c r="B11" s="4" t="n"/>
      <c r="C11" s="4" t="n"/>
    </row>
    <row r="12">
      <c r="A12" s="5" t="inlineStr">
        <is>
          <t>1</t>
        </is>
      </c>
      <c r="B12" s="6" t="inlineStr">
        <is>
          <t>Dated independent record — permit, GRANT AWARD OR REPORT, project report, registry entry, ACADEMIC PAPER OR THESIS</t>
        </is>
      </c>
      <c r="C12" s="6" t="inlineStr">
        <is>
          <t>0 to +/-1 year</t>
        </is>
      </c>
    </row>
    <row r="13">
      <c r="A13" s="5" t="inlineStr">
        <is>
          <t>2</t>
        </is>
      </c>
      <c r="B13" s="6" t="inlineStr">
        <is>
          <t>Dated archived snapshot describing work ALREADY under way</t>
        </is>
      </c>
      <c r="C13" s="6" t="inlineStr">
        <is>
          <t>+/-1 to +/-3 years; firm UPPER bound</t>
        </is>
      </c>
    </row>
    <row r="14">
      <c r="A14" s="5" t="inlineStr">
        <is>
          <t>3</t>
        </is>
      </c>
      <c r="B14" s="6" t="inlineStr">
        <is>
          <t>The community's own dated retrospective statement</t>
        </is>
      </c>
      <c r="C14" s="6" t="inlineStr">
        <is>
          <t>+/-2 to +/-5 years; drifts to round numbers</t>
        </is>
      </c>
    </row>
    <row r="15">
      <c r="A15" s="5" t="inlineStr">
        <is>
          <t>4</t>
        </is>
      </c>
      <c r="B15" s="6" t="inlineStr">
        <is>
          <t>Undated community statement, onset inferred from context</t>
        </is>
      </c>
      <c r="C15" s="6" t="inlineStr">
        <is>
          <t>+/-5 years or wider; flagged</t>
        </is>
      </c>
    </row>
    <row r="16">
      <c r="A16" s="5" t="inlineStr">
        <is>
          <t>5</t>
        </is>
      </c>
      <c r="B16" s="6" t="inlineStr">
        <is>
          <t>Directory founding year used as a proxy</t>
        </is>
      </c>
      <c r="C16" s="6" t="inlineStr">
        <is>
          <t>NOT an onset. Set onset_proxy_flag = yes. Excluded from analysis A4</t>
        </is>
      </c>
    </row>
    <row r="17">
      <c r="A17" s="3" t="inlineStr">
        <is>
          <t>Onset confidence tier — gates cohort admission</t>
        </is>
      </c>
      <c r="B17" s="4" t="n"/>
      <c r="C17" s="4" t="n"/>
    </row>
    <row r="18">
      <c r="A18" s="5" t="inlineStr">
        <is>
          <t>A</t>
        </is>
      </c>
      <c r="B18" s="6" t="inlineStr">
        <is>
          <t>Precise year, rank 1 or 2 evidence</t>
        </is>
      </c>
      <c r="C18" s="6" t="inlineStr">
        <is>
          <t>Usable in the cohort without qualification</t>
        </is>
      </c>
    </row>
    <row r="19">
      <c r="A19" s="5" t="inlineStr">
        <is>
          <t>B</t>
        </is>
      </c>
      <c r="B19" s="6" t="inlineStr">
        <is>
          <t>Plus or minus one year</t>
        </is>
      </c>
      <c r="C19" s="6" t="inlineStr">
        <is>
          <t>Usable in the cohort</t>
        </is>
      </c>
    </row>
    <row r="20">
      <c r="A20" s="5" t="inlineStr">
        <is>
          <t>C</t>
        </is>
      </c>
      <c r="B20" s="6" t="inlineStr">
        <is>
          <t>Uncertain beyond +/-1 year</t>
        </is>
      </c>
      <c r="C20" s="6" t="inlineStr">
        <is>
          <t>NOT usable to anchor a before-and-after window</t>
        </is>
      </c>
    </row>
    <row r="21">
      <c r="A21" s="3" t="inlineStr">
        <is>
          <t>Cohort candidacy</t>
        </is>
      </c>
      <c r="B21" s="4" t="n"/>
      <c r="C21" s="4" t="n"/>
    </row>
    <row r="22">
      <c r="A22" s="5" t="inlineStr">
        <is>
          <t>core (2020-2021)</t>
        </is>
      </c>
      <c r="B22" s="6" t="inlineStr">
        <is>
          <t>Onset in 2020 or 2021</t>
        </is>
      </c>
      <c r="C22" s="6" t="inlineStr">
        <is>
          <t>3 pre-onset years and 4 post-onset years inside 2017-2025</t>
        </is>
      </c>
    </row>
    <row r="23">
      <c r="A23" s="5" t="inlineStr">
        <is>
          <t>extension (2019)</t>
        </is>
      </c>
      <c r="B23" s="6" t="inlineStr">
        <is>
          <t>Onset in 2019</t>
        </is>
      </c>
      <c r="C23" s="6" t="inlineStr">
        <is>
          <t>Only 2 pre-years, and 2017 is half a single-satellite year</t>
        </is>
      </c>
    </row>
    <row r="24">
      <c r="A24" s="5" t="inlineStr">
        <is>
          <t>no</t>
        </is>
      </c>
      <c r="B24" s="6" t="inlineStr">
        <is>
          <t>Onset outside 2019-2021</t>
        </is>
      </c>
      <c r="C24" s="6" t="inlineStr">
        <is>
          <t>The large majority</t>
        </is>
      </c>
    </row>
    <row r="25">
      <c r="A25" s="5" t="inlineStr">
        <is>
          <t>uncertain</t>
        </is>
      </c>
      <c r="B25" s="6" t="inlineStr">
        <is>
          <t>Onset band straddles the boundary</t>
        </is>
      </c>
      <c r="C25" s="6" t="inlineStr">
        <is>
          <t>Resolve before decision D4</t>
        </is>
      </c>
    </row>
    <row r="26">
      <c r="A26" s="3" t="inlineStr">
        <is>
          <t>Evidence verification channels — HOW WELL DOCUMENTED, not how much is done</t>
        </is>
      </c>
      <c r="B26" s="4" t="n"/>
      <c r="C26" s="4" t="n"/>
    </row>
    <row r="27">
      <c r="A27" s="5" t="inlineStr">
        <is>
          <t>V1</t>
        </is>
      </c>
      <c r="B27" s="6" t="inlineStr">
        <is>
          <t>Community self-documentation of SPECIFIC work</t>
        </is>
      </c>
      <c r="C27" s="6" t="inlineStr">
        <is>
          <t>Specificity distinguishes this from an aspiration</t>
        </is>
      </c>
    </row>
    <row r="28">
      <c r="A28" s="5" t="inlineStr">
        <is>
          <t>V2</t>
        </is>
      </c>
      <c r="B28" s="6" t="inlineStr">
        <is>
          <t>External documentation of the work itself — INCLUDING A THESIS OR GRANT RECORD</t>
        </is>
      </c>
      <c r="C28" s="6" t="inlineStr">
        <is>
          <t>Independent of the community's account. The channel that separates tier A</t>
        </is>
      </c>
    </row>
    <row r="29">
      <c r="A29" s="5" t="inlineStr">
        <is>
          <t>V3</t>
        </is>
      </c>
      <c r="B29" s="6" t="inlineStr">
        <is>
          <t>Affiliation with a body applying substantive criteria</t>
        </is>
      </c>
      <c r="C29" s="6" t="inlineStr">
        <is>
          <t>Record the body and its criteria</t>
        </is>
      </c>
    </row>
    <row r="30">
      <c r="A30" s="5" t="inlineStr">
        <is>
          <t>V4</t>
        </is>
      </c>
      <c r="B30" s="6" t="inlineStr">
        <is>
          <t>Visual documentation: dated photos, plans, design drawings</t>
        </is>
      </c>
      <c r="C30" s="6" t="inlineStr">
        <is>
          <t>The date must be genuinely attached</t>
        </is>
      </c>
    </row>
    <row r="31">
      <c r="A31" s="5" t="inlineStr">
        <is>
          <t>V5</t>
        </is>
      </c>
      <c r="B31" s="6" t="inlineStr">
        <is>
          <t>Continuity across years in snapshots or publications</t>
        </is>
      </c>
      <c r="C31" s="6" t="inlineStr">
        <is>
          <t>Distinguishes sustained practice from one announcement</t>
        </is>
      </c>
    </row>
    <row r="32">
      <c r="A32" s="3" t="inlineStr">
        <is>
          <t>Evidence tiers — computed from V1..V5, counting INDEPENDENCE GROUPS</t>
        </is>
      </c>
      <c r="B32" s="4" t="n"/>
      <c r="C32" s="4" t="n"/>
    </row>
    <row r="33">
      <c r="A33" s="5" t="inlineStr">
        <is>
          <t>EXTERNAL CHANNELS</t>
        </is>
      </c>
      <c r="B33" s="6" t="inlineStr">
        <is>
          <t>V2 and V3 are the external channels</t>
        </is>
      </c>
      <c r="C33" s="6" t="inlineStr">
        <is>
          <t>Both rest on somebody other than the community: a researcher, a funder, a certifier. V1, V4 and V5 are the community's own voice</t>
        </is>
      </c>
    </row>
    <row r="34">
      <c r="A34" s="5" t="inlineStr">
        <is>
          <t>A</t>
        </is>
      </c>
      <c r="B34" s="6" t="inlineStr">
        <is>
          <t>At least one EXTERNAL channel, and 3 or more channels in total</t>
        </is>
      </c>
      <c r="C34" s="6" t="inlineStr">
        <is>
          <t>Externally documented and corroborated. The strongest available assurance</t>
        </is>
      </c>
    </row>
    <row r="35">
      <c r="A35" s="5" t="inlineStr">
        <is>
          <t>B</t>
        </is>
      </c>
      <c r="B35" s="6" t="inlineStr">
        <is>
          <t>At least one EXTERNAL channel, and 2 channels in total</t>
        </is>
      </c>
      <c r="C35" s="6" t="inlineStr">
        <is>
          <t>Externally documented but thin</t>
        </is>
      </c>
    </row>
    <row r="36">
      <c r="A36" s="5" t="inlineStr">
        <is>
          <t>C</t>
        </is>
      </c>
      <c r="B36" s="6" t="inlineStr">
        <is>
          <t>NO external channel, and 2 or more channels</t>
        </is>
      </c>
      <c r="C36" s="6" t="inlineStr">
        <is>
          <t>Community-documented only. However many forms the community's own material takes, it is one voice</t>
        </is>
      </c>
    </row>
    <row r="37">
      <c r="A37" s="5" t="inlineStr">
        <is>
          <t>Fail</t>
        </is>
      </c>
      <c r="B37" s="6" t="inlineStr">
        <is>
          <t>Fewer than 2 channels, or aims without specific actions</t>
        </is>
      </c>
      <c r="C37" s="6" t="inlineStr">
        <is>
          <t>Not eligible</t>
        </is>
      </c>
    </row>
    <row r="38">
      <c r="A38" s="5" t="inlineStr">
        <is>
          <t>Why this ladder and not v2.4's</t>
        </is>
      </c>
      <c r="B38" s="6" t="inlineStr">
        <is>
          <t>v2.4 ordered the tiers by CHANNEL COUNT first and independence second</t>
        </is>
      </c>
      <c r="C38" s="6" t="inlineStr">
        <is>
          <t>That made tier C unreachable — the only channel that is neither external nor visual nor continuity is V1, and no community can have two of V1 — and it ranked three self-documented channels above two including a thesis. v4.0 orders by independence first. Every tier is now reachable</t>
        </is>
      </c>
    </row>
    <row r="39">
      <c r="A39" s="5" t="inlineStr">
        <is>
          <t>SC18 restriction</t>
        </is>
      </c>
      <c r="B39" s="6" t="inlineStr">
        <is>
          <t>Sensitivity check SC18 restricts to evidence_tier A or B — sites with at least one external channel</t>
        </is>
      </c>
      <c r="C39" s="6" t="inlineStr">
        <is>
          <t>Tier A alone is reported as a stricter variant</t>
        </is>
      </c>
    </row>
    <row r="40">
      <c r="A40" s="5" t="inlineStr">
        <is>
          <t>WHAT THIS TIER IS NOT</t>
        </is>
      </c>
      <c r="B40" s="6" t="inlineStr">
        <is>
          <t>It is NOT a measure of ecological activity, quality or performance.</t>
        </is>
      </c>
      <c r="C40" s="6" t="inlineStr">
        <is>
          <t>It measures how well a community documents itself, which correlates with size, age and organisational capacity. Use it as a confounder, a sample descriptor and a restriction. Never as an outcome, and never disaggregated by kind of activity.</t>
        </is>
      </c>
    </row>
    <row r="41">
      <c r="A41" s="3" t="inlineStr">
        <is>
          <t>Status and persistence</t>
        </is>
      </c>
      <c r="B41" s="4" t="n"/>
      <c r="C41" s="4" t="n"/>
    </row>
    <row r="42">
      <c r="A42" s="5" t="inlineStr">
        <is>
          <t>active</t>
        </is>
      </c>
      <c r="B42" s="6" t="inlineStr">
        <is>
          <t>Operating and inhabited</t>
        </is>
      </c>
      <c r="C42" s="6" t="inlineStr"/>
    </row>
    <row r="43">
      <c r="A43" s="5" t="inlineStr">
        <is>
          <t>dormant</t>
        </is>
      </c>
      <c r="B43" s="6" t="inlineStr">
        <is>
          <t>Reduced or suspended activity, not dissolved</t>
        </is>
      </c>
      <c r="C43" s="6" t="inlineStr"/>
    </row>
    <row r="44">
      <c r="A44" s="5" t="inlineStr">
        <is>
          <t>transformed</t>
        </is>
      </c>
      <c r="B44" s="6" t="inlineStr">
        <is>
          <t>Continues under a materially different form or purpose</t>
        </is>
      </c>
      <c r="C44" s="6" t="inlineStr"/>
    </row>
    <row r="45">
      <c r="A45" s="5" t="inlineStr">
        <is>
          <t>relocated</t>
        </is>
      </c>
      <c r="B45" s="6" t="inlineStr">
        <is>
          <t>The community moved to a different site</t>
        </is>
      </c>
      <c r="C45" s="6" t="inlineStr"/>
    </row>
    <row r="46">
      <c r="A46" s="5" t="inlineStr">
        <is>
          <t>dissolved</t>
        </is>
      </c>
      <c r="B46" s="6" t="inlineStr">
        <is>
          <t>The community ceased to exist</t>
        </is>
      </c>
      <c r="C46" s="6" t="inlineStr">
        <is>
          <t>Requires POSITIVE evidence</t>
        </is>
      </c>
    </row>
    <row r="47">
      <c r="A47" s="5" t="inlineStr">
        <is>
          <t>unknown</t>
        </is>
      </c>
      <c r="B47" s="6" t="inlineStr">
        <is>
          <t>Cannot be determined</t>
        </is>
      </c>
      <c r="C47" s="6" t="inlineStr">
        <is>
          <t>UNKNOWN IS NOT DISSOLVED</t>
        </is>
      </c>
    </row>
    <row r="48">
      <c r="A48" s="3" t="inlineStr">
        <is>
          <t>Area types</t>
        </is>
      </c>
      <c r="B48" s="4" t="n"/>
      <c r="C48" s="4" t="n"/>
    </row>
    <row r="49">
      <c r="A49" s="5" t="inlineStr">
        <is>
          <t>actively managed</t>
        </is>
      </c>
      <c r="B49" s="6" t="inlineStr">
        <is>
          <t>Land the community actually works ecologically</t>
        </is>
      </c>
      <c r="C49" s="6" t="inlineStr">
        <is>
          <t>CORROBORATES the drawn polygon. It does not set geometry</t>
        </is>
      </c>
    </row>
    <row r="50">
      <c r="A50" s="5" t="inlineStr">
        <is>
          <t>total holding only</t>
        </is>
      </c>
      <c r="B50" s="6" t="inlineStr">
        <is>
          <t>Source gives the whole holding and no managed extent</t>
        </is>
      </c>
      <c r="C50" s="6" t="inlineStr">
        <is>
          <t>Record it as total_holding_ha. NEVER substitute one for the other</t>
        </is>
      </c>
    </row>
    <row r="51">
      <c r="A51" s="5" t="inlineStr">
        <is>
          <t>both recorded</t>
        </is>
      </c>
      <c r="B51" s="6" t="inlineStr">
        <is>
          <t>Both figures available and recorded separately</t>
        </is>
      </c>
      <c r="C51" s="6" t="inlineStr"/>
    </row>
    <row r="52">
      <c r="A52" s="5" t="inlineStr">
        <is>
          <t>not stated</t>
        </is>
      </c>
      <c r="B52" s="6" t="inlineStr">
        <is>
          <t>Neither figure available</t>
        </is>
      </c>
      <c r="C52" s="6" t="inlineStr">
        <is>
          <t>area_agreement_tier becomes B; the polygon still gives full geometry</t>
        </is>
      </c>
    </row>
    <row r="53">
      <c r="A53" s="3" t="inlineStr">
        <is>
          <t>Managed-area basis — how the documentary figure was arrived at</t>
        </is>
      </c>
      <c r="B53" s="4" t="n"/>
      <c r="C53" s="4" t="n"/>
    </row>
    <row r="54">
      <c r="A54" s="5" t="inlineStr">
        <is>
          <t>measured</t>
        </is>
      </c>
      <c r="B54" s="6" t="inlineStr">
        <is>
          <t>Someone actually measured it</t>
        </is>
      </c>
      <c r="C54" s="6" t="inlineStr">
        <is>
          <t>Thesis, survey, land registry, grant application, scaled site plan</t>
        </is>
      </c>
    </row>
    <row r="55">
      <c r="A55" s="5" t="inlineStr">
        <is>
          <t>stated</t>
        </is>
      </c>
      <c r="B55" s="6" t="inlineStr">
        <is>
          <t>The community gives a figure without saying how</t>
        </is>
      </c>
      <c r="C55" s="6" t="inlineStr">
        <is>
          <t>Commonest case; frequently the TOTAL HOLDING</t>
        </is>
      </c>
    </row>
    <row r="56">
      <c r="A56" s="5" t="inlineStr">
        <is>
          <t>inferred</t>
        </is>
      </c>
      <c r="B56" s="6" t="inlineStr">
        <is>
          <t>You derived it from something else</t>
        </is>
      </c>
      <c r="C56" s="6" t="inlineStr">
        <is>
          <t>Number of beds, plots, hectares under a named crop. Say how in the note</t>
        </is>
      </c>
    </row>
    <row r="57">
      <c r="A57" s="5" t="inlineStr">
        <is>
          <t>not found</t>
        </is>
      </c>
      <c r="B57" s="6" t="inlineStr">
        <is>
          <t>No figure anywhere</t>
        </is>
      </c>
      <c r="C57" s="6" t="inlineStr">
        <is>
          <t>A complete and correct answer. Tier B, and the polygon is unaffected</t>
        </is>
      </c>
    </row>
    <row r="58">
      <c r="A58" s="3" t="inlineStr">
        <is>
          <t>Reference circle — matched to the POLYGON's area, filled by formula</t>
        </is>
      </c>
      <c r="B58" s="4" t="n"/>
      <c r="C58" s="4" t="n"/>
    </row>
    <row r="59">
      <c r="A59" s="5" t="inlineStr">
        <is>
          <t>r75</t>
        </is>
      </c>
      <c r="B59" s="6" t="inlineStr">
        <is>
          <t>polygon under 2.6 ha</t>
        </is>
      </c>
      <c r="C59" s="6" t="inlineStr">
        <is>
          <t>75 m radius, 1.77 ha. Also the fallback where a polygon is under the 1.0 ha minimum</t>
        </is>
      </c>
    </row>
    <row r="60">
      <c r="A60" s="5" t="inlineStr">
        <is>
          <t>r110</t>
        </is>
      </c>
      <c r="B60" s="6" t="inlineStr">
        <is>
          <t>2.6 to 5.2 ha</t>
        </is>
      </c>
      <c r="C60" s="6" t="inlineStr">
        <is>
          <t>110 m radius, 3.80 ha</t>
        </is>
      </c>
    </row>
    <row r="61">
      <c r="A61" s="5" t="inlineStr">
        <is>
          <t>r150</t>
        </is>
      </c>
      <c r="B61" s="6" t="inlineStr">
        <is>
          <t>5.2 to 9.9 ha</t>
        </is>
      </c>
      <c r="C61" s="6" t="inlineStr">
        <is>
          <t>150 m radius, 7.07 ha</t>
        </is>
      </c>
    </row>
    <row r="62">
      <c r="A62" s="5" t="inlineStr">
        <is>
          <t>r210</t>
        </is>
      </c>
      <c r="B62" s="6" t="inlineStr">
        <is>
          <t>9.9 to 19.8 ha</t>
        </is>
      </c>
      <c r="C62" s="6" t="inlineStr">
        <is>
          <t>210 m radius, 13.85 ha</t>
        </is>
      </c>
    </row>
    <row r="63">
      <c r="A63" s="5" t="inlineStr">
        <is>
          <t>r300</t>
        </is>
      </c>
      <c r="B63" s="6" t="inlineStr">
        <is>
          <t>over 19.8 ha</t>
        </is>
      </c>
      <c r="C63" s="6" t="inlineStr">
        <is>
          <t>300 m radius, 28.27 ha</t>
        </is>
      </c>
    </row>
    <row r="64">
      <c r="A64" s="3" t="inlineStr">
        <is>
          <t>Area agreement tier — drawn polygon against the documentary figure</t>
        </is>
      </c>
      <c r="B64" s="4" t="n"/>
      <c r="C64" s="4" t="n"/>
    </row>
    <row r="65">
      <c r="A65" s="5" t="inlineStr">
        <is>
          <t>A</t>
        </is>
      </c>
      <c r="B65" s="6" t="inlineStr">
        <is>
          <t>Documentary area within 30% of the polygon area</t>
        </is>
      </c>
      <c r="C65" s="6" t="inlineStr">
        <is>
          <t>The two agree. SC16 restricts to these</t>
        </is>
      </c>
    </row>
    <row r="66">
      <c r="A66" s="5" t="inlineStr">
        <is>
          <t>B</t>
        </is>
      </c>
      <c r="B66" s="6" t="inlineStr">
        <is>
          <t>NO documentary figure, OR the two differ by 30 to 100%</t>
        </is>
      </c>
      <c r="C66" s="6" t="inlineStr">
        <is>
          <t>The polygon stands and both numbers are kept</t>
        </is>
      </c>
    </row>
    <row r="67">
      <c r="A67" s="5" t="inlineStr">
        <is>
          <t>C</t>
        </is>
      </c>
      <c r="B67" s="6" t="inlineStr">
        <is>
          <t>They differ by more than a factor of two</t>
        </is>
      </c>
      <c r="C67" s="6" t="inlineStr">
        <is>
          <t>The polygon still stands. Investigate: usually the source quoted the TOTAL HOLDING, sometimes the holding is genuinely non-contiguous</t>
        </is>
      </c>
    </row>
    <row r="68">
      <c r="A68" s="3" t="inlineStr">
        <is>
          <t>Platform type — Source_Set</t>
        </is>
      </c>
      <c r="B68" s="4" t="n"/>
      <c r="C68" s="4" t="n"/>
    </row>
    <row r="69">
      <c r="A69" s="5" t="inlineStr">
        <is>
          <t>own website</t>
        </is>
      </c>
      <c r="B69" s="6" t="inlineStr">
        <is>
          <t>The community's current primary site</t>
        </is>
      </c>
      <c r="C69" s="6" t="inlineStr">
        <is>
          <t>Richest, least independent. Start here</t>
        </is>
      </c>
    </row>
    <row r="70">
      <c r="A70" s="5" t="inlineStr">
        <is>
          <t>secondary or former website</t>
        </is>
      </c>
      <c r="B70" s="6" t="inlineStr">
        <is>
          <t>An older domain, a project microsite, a second-language site</t>
        </is>
      </c>
      <c r="C70" s="6" t="inlineStr">
        <is>
          <t>Old domains hold the OLDEST material and are the best dating source on the open web</t>
        </is>
      </c>
    </row>
    <row r="71">
      <c r="A71" s="5" t="inlineStr">
        <is>
          <t>Facebook</t>
        </is>
      </c>
      <c r="B71" s="6" t="inlineStr">
        <is>
          <t>Page or group</t>
        </is>
      </c>
      <c r="C71" s="6" t="inlineStr">
        <is>
          <t>About tab carries a creation date; albums and events are dated</t>
        </is>
      </c>
    </row>
    <row r="72">
      <c r="A72" s="5" t="inlineStr">
        <is>
          <t>Instagram</t>
        </is>
      </c>
      <c r="B72" s="6" t="inlineStr">
        <is>
          <t>Profile</t>
        </is>
      </c>
      <c r="C72" s="6" t="inlineStr">
        <is>
          <t>Rarely readable without an account. Report BLOCKED rather than guessing</t>
        </is>
      </c>
    </row>
    <row r="73">
      <c r="A73" s="5" t="inlineStr">
        <is>
          <t>YouTube</t>
        </is>
      </c>
      <c r="B73" s="6" t="inlineStr">
        <is>
          <t>Channel</t>
        </is>
      </c>
      <c r="C73" s="6" t="inlineStr">
        <is>
          <t>Sort videos OLDEST FIRST. An upload date is a dated record</t>
        </is>
      </c>
    </row>
    <row r="74">
      <c r="A74" s="5" t="inlineStr">
        <is>
          <t>Vimeo</t>
        </is>
      </c>
      <c r="B74" s="6" t="inlineStr">
        <is>
          <t>Channel</t>
        </is>
      </c>
      <c r="C74" s="6" t="inlineStr">
        <is>
          <t>Same use as YouTube</t>
        </is>
      </c>
    </row>
    <row r="75">
      <c r="A75" s="5" t="inlineStr">
        <is>
          <t>blog platform</t>
        </is>
      </c>
      <c r="B75" s="6" t="inlineStr">
        <is>
          <t>WordPress, Blogspot, Medium, Substack</t>
        </is>
      </c>
      <c r="C75" s="6" t="inlineStr">
        <is>
          <t>The RSS feed and sitemap give the full dated post list in one request</t>
        </is>
      </c>
    </row>
    <row r="76">
      <c r="A76" s="5" t="inlineStr">
        <is>
          <t>directory listing</t>
        </is>
      </c>
      <c r="B76" s="6" t="inlineStr">
        <is>
          <t>GEN, FIC, NuMundo, WWOOF, Workaway, national networks</t>
        </is>
      </c>
      <c r="C76" s="6" t="inlineStr">
        <is>
          <t>Self-submitted, so usually the SAME independence group as the website. Its archive gives last_listing_year</t>
        </is>
      </c>
    </row>
    <row r="77">
      <c r="A77" s="5" t="inlineStr">
        <is>
          <t>crowdfunding</t>
        </is>
      </c>
      <c r="B77" s="6" t="inlineStr">
        <is>
          <t>Kickstarter, GoFundMe, Ulule, Betterplace and similar</t>
        </is>
      </c>
      <c r="C77" s="6" t="inlineStr">
        <is>
          <t>A dated campaign page describing a specific project — often rank 1 or 2 onset evidence</t>
        </is>
      </c>
    </row>
    <row r="78">
      <c r="A78" s="5" t="inlineStr">
        <is>
          <t>LinkedIn</t>
        </is>
      </c>
      <c r="B78" s="6" t="inlineStr">
        <is>
          <t>Organisation page</t>
        </is>
      </c>
      <c r="C78" s="6" t="inlineStr">
        <is>
          <t>Carries a founded year</t>
        </is>
      </c>
    </row>
    <row r="79">
      <c r="A79" s="5" t="inlineStr">
        <is>
          <t>booking or hosting</t>
        </is>
      </c>
      <c r="B79" s="6" t="inlineStr">
        <is>
          <t>Airbnb, Hostelworld, retreat and volunteer platforms</t>
        </is>
      </c>
      <c r="C79" s="6" t="inlineStr">
        <is>
          <t>Often describes the LAND in detail where the website does not</t>
        </is>
      </c>
    </row>
    <row r="80">
      <c r="A80" s="5" t="inlineStr">
        <is>
          <t>news outlet</t>
        </is>
      </c>
      <c r="B80" s="6" t="inlineStr">
        <is>
          <t>A local or national outlet's page about the community</t>
        </is>
      </c>
      <c r="C80" s="6" t="inlineStr">
        <is>
          <t>S6. Dated, independent, frequently uncritical</t>
        </is>
      </c>
    </row>
    <row r="81">
      <c r="A81" s="5" t="inlineStr">
        <is>
          <t>other</t>
        </is>
      </c>
      <c r="B81" s="6" t="inlineStr">
        <is>
          <t>Anything else</t>
        </is>
      </c>
      <c r="C81" s="6" t="inlineStr">
        <is>
          <t>Say what it is in notes</t>
        </is>
      </c>
    </row>
    <row r="82">
      <c r="A82" s="3" t="inlineStr">
        <is>
          <t>Crawl status — Source_Set</t>
        </is>
      </c>
      <c r="B82" s="4" t="n"/>
      <c r="C82" s="4" t="n"/>
    </row>
    <row r="83">
      <c r="A83" s="5" t="inlineStr">
        <is>
          <t>crawled</t>
        </is>
      </c>
      <c r="B83" s="6" t="inlineStr">
        <is>
          <t>Opened and worked through to the depth the protocol asks for</t>
        </is>
      </c>
      <c r="C83" s="6" t="inlineStr"/>
    </row>
    <row r="84">
      <c r="A84" s="5" t="inlineStr">
        <is>
          <t>partial</t>
        </is>
      </c>
      <c r="B84" s="6" t="inlineStr">
        <is>
          <t>Opened, but the enumeration was cut short</t>
        </is>
      </c>
      <c r="C84" s="6" t="inlineStr">
        <is>
          <t>Say why in notes and set crawl_truncated = yes</t>
        </is>
      </c>
    </row>
    <row r="85">
      <c r="A85" s="5" t="inlineStr">
        <is>
          <t>blocked</t>
        </is>
      </c>
      <c r="B85" s="6" t="inlineStr">
        <is>
          <t>Requires an account, or refused automated reading</t>
        </is>
      </c>
      <c r="C85" s="6" t="inlineStr">
        <is>
          <t>A REPORTED block is data. A guess about its content is fabrication</t>
        </is>
      </c>
    </row>
    <row r="86">
      <c r="A86" s="5" t="inlineStr">
        <is>
          <t>dead link</t>
        </is>
      </c>
      <c r="B86" s="6" t="inlineStr">
        <is>
          <t>The address no longer resolves</t>
        </is>
      </c>
      <c r="C86" s="6" t="inlineStr">
        <is>
          <t>Go to the Wayback Machine — a dead domain is often the richest one</t>
        </is>
      </c>
    </row>
    <row r="87">
      <c r="A87" s="5" t="inlineStr">
        <is>
          <t>not attempted</t>
        </is>
      </c>
      <c r="B87" s="6" t="inlineStr">
        <is>
          <t>Not reached in this run</t>
        </is>
      </c>
      <c r="C87" s="6" t="inlineStr">
        <is>
          <t>Every address must end at something other than this before the community is closed</t>
        </is>
      </c>
    </row>
    <row r="88">
      <c r="A88" s="3" t="inlineStr">
        <is>
          <t>Independence group — Source_Index and Source_Set</t>
        </is>
      </c>
      <c r="B88" s="4" t="n"/>
      <c r="C88" s="4" t="n"/>
    </row>
    <row r="89">
      <c r="A89" s="5" t="inlineStr">
        <is>
          <t>What it is</t>
        </is>
      </c>
      <c r="B89" s="6" t="inlineStr">
        <is>
          <t>A short id (G1, G2, G3) shared by every source deriving from the same underlying statement</t>
        </is>
      </c>
      <c r="C89" s="6" t="inlineStr">
        <is>
          <t>Assign it as you read, not afterwards</t>
        </is>
      </c>
    </row>
    <row r="90">
      <c r="A90" s="5" t="inlineStr">
        <is>
          <t>The test</t>
        </is>
      </c>
      <c r="B90" s="6" t="inlineStr">
        <is>
          <t>Could this source be wrong in the same way as that one, for the same reason?</t>
        </is>
      </c>
      <c r="C90" s="6" t="inlineStr">
        <is>
          <t>If yes, same group</t>
        </is>
      </c>
    </row>
    <row r="91">
      <c r="A91" s="5" t="inlineStr">
        <is>
          <t>Same group</t>
        </is>
      </c>
      <c r="B91" s="6" t="inlineStr">
        <is>
          <t>A website, its own Facebook page, and a directory listing copied from it</t>
        </is>
      </c>
      <c r="C91" s="6" t="inlineStr">
        <is>
          <t>One voice, however many URLs</t>
        </is>
      </c>
    </row>
    <row r="92">
      <c r="A92" s="5" t="inlineStr">
        <is>
          <t>Different groups</t>
        </is>
      </c>
      <c r="B92" s="6" t="inlineStr">
        <is>
          <t>The community's own account; a thesis; a grant record; a newspaper</t>
        </is>
      </c>
      <c r="C92" s="6" t="inlineStr">
        <is>
          <t>These can contradict each other, which is what makes agreement worth something</t>
        </is>
      </c>
    </row>
    <row r="93">
      <c r="A93" s="5" t="inlineStr">
        <is>
          <t>What it changes</t>
        </is>
      </c>
      <c r="B93" s="6" t="inlineStr">
        <is>
          <t>channel_count, evidence_tier, and any claim that sources corroborate</t>
        </is>
      </c>
      <c r="C93" s="6" t="inlineStr">
        <is>
          <t>All count GROUPS, never URLs</t>
        </is>
      </c>
    </row>
    <row r="94">
      <c r="A94" s="3" t="inlineStr">
        <is>
          <t>The three search outcomes — never represent them identically</t>
        </is>
      </c>
      <c r="B94" s="4" t="n"/>
      <c r="C94" s="4" t="n"/>
    </row>
    <row r="95">
      <c r="A95" s="5" t="inlineStr">
        <is>
          <t>EVIDENCE FOUND</t>
        </is>
      </c>
      <c r="B95" s="6" t="inlineStr">
        <is>
          <t>A source states the value</t>
        </is>
      </c>
      <c r="C95" s="6" t="inlineStr">
        <is>
          <t>Record the value and the source id</t>
        </is>
      </c>
    </row>
    <row r="96">
      <c r="A96" s="5" t="inlineStr">
        <is>
          <t>EVIDENCE ABSENT</t>
        </is>
      </c>
      <c r="B96" s="6" t="inlineStr">
        <is>
          <t>An adequately exhaustive search found nothing</t>
        </is>
      </c>
      <c r="C96" s="6" t="inlineStr">
        <is>
          <t>Record 'not found' AND the negative consultations in Search_Log. This is a finding</t>
        </is>
      </c>
    </row>
    <row r="97">
      <c r="A97" s="5" t="inlineStr">
        <is>
          <t>SEARCH INCOMPLETE</t>
        </is>
      </c>
      <c r="B97" s="6" t="inlineStr">
        <is>
          <t>The run was truncated, blocked or cut short</t>
        </is>
      </c>
      <c r="C97" s="6" t="inlineStr">
        <is>
          <t>Set crawl_truncated = yes and say in stages_completed where it stopped. This is NOT a finding</t>
        </is>
      </c>
    </row>
    <row r="98">
      <c r="A98" s="3" t="inlineStr">
        <is>
          <t>WHAT NOT TO SEARCH FOR — these come from Google Earth Engine or from your own drawing</t>
        </is>
      </c>
      <c r="B98" s="4" t="n"/>
      <c r="C98" s="4" t="n"/>
    </row>
    <row r="99">
      <c r="A99" s="5" t="inlineStr">
        <is>
          <t>VM1-VM14, PM1-PM3, FC1-FC4, CA</t>
        </is>
      </c>
      <c r="B99" s="6" t="inlineStr">
        <is>
          <t>All vegetation, provisioning, flag and contour metrics</t>
        </is>
      </c>
      <c r="C99" s="6" t="inlineStr">
        <is>
          <t>Sentinel-2 and SRTM, computed in the pipeline</t>
        </is>
      </c>
    </row>
    <row r="100">
      <c r="A100" s="5" t="inlineStr">
        <is>
          <t>VCI, VCI-P/S/T/C, PCI, MDS, LCC</t>
        </is>
      </c>
      <c r="B100" s="6" t="inlineStr">
        <is>
          <t>The index and its components</t>
        </is>
      </c>
      <c r="C100" s="6" t="inlineStr">
        <is>
          <t>Derived from the above</t>
        </is>
      </c>
    </row>
    <row r="101">
      <c r="A101" s="5" t="inlineStr">
        <is>
          <t>built_fraction, tree_cover_pct</t>
        </is>
      </c>
      <c r="B101" s="6" t="inlineStr">
        <is>
          <t>Land-cover fractions</t>
        </is>
      </c>
      <c r="C101" s="6" t="inlineStr">
        <is>
          <t>Dynamic World</t>
        </is>
      </c>
    </row>
    <row r="102">
      <c r="A102" s="5" t="inlineStr">
        <is>
          <t>elevation_m, slope_deg, terrain class</t>
        </is>
      </c>
      <c r="B102" s="6" t="inlineStr">
        <is>
          <t>Terrain</t>
        </is>
      </c>
      <c r="C102" s="6" t="inlineStr">
        <is>
          <t>SRTM</t>
        </is>
      </c>
    </row>
    <row r="103">
      <c r="A103" s="5" t="inlineStr">
        <is>
          <t>water_dist_m</t>
        </is>
      </c>
      <c r="B103" s="6" t="inlineStr">
        <is>
          <t>Distance to permanent water</t>
        </is>
      </c>
      <c r="C103" s="6" t="inlineStr">
        <is>
          <t>Global Surface Water — a matching criterion, but satellite-derived</t>
        </is>
      </c>
    </row>
    <row r="104">
      <c r="A104" s="5" t="inlineStr">
        <is>
          <t>koppen_group, biome</t>
        </is>
      </c>
      <c r="B104" s="6" t="inlineStr">
        <is>
          <t>Stratifiers</t>
        </is>
      </c>
      <c r="C104" s="6" t="inlineStr">
        <is>
          <t>Beck et al. / RESOLVE ecoregions</t>
        </is>
      </c>
    </row>
    <row r="105">
      <c r="A105" s="5" t="inlineStr">
        <is>
          <t>rainfall, driest month, drought year</t>
        </is>
      </c>
      <c r="B105" s="6" t="inlineStr">
        <is>
          <t>Climate</t>
        </is>
      </c>
      <c r="C105" s="6" t="inlineStr">
        <is>
          <t>CHIRPS</t>
        </is>
      </c>
    </row>
    <row r="106">
      <c r="A106" s="5" t="inlineStr">
        <is>
          <t>n_clear</t>
        </is>
      </c>
      <c r="B106" s="6" t="inlineStr">
        <is>
          <t>Clear-observation count</t>
        </is>
      </c>
      <c r="C106" s="6" t="inlineStr">
        <is>
          <t>Extraction output</t>
        </is>
      </c>
    </row>
    <row r="107">
      <c r="A107" s="5" t="inlineStr">
        <is>
          <t>control_distance_km</t>
        </is>
      </c>
      <c r="B107" s="6" t="inlineStr">
        <is>
          <t>How far each control sits from its settlement</t>
        </is>
      </c>
      <c r="C107" s="6" t="inlineStr">
        <is>
          <t>A Stage 2 MATCHING output, not documentary coding</t>
        </is>
      </c>
    </row>
    <row r="108">
      <c r="A108" s="5" t="inlineStr">
        <is>
          <t>polygon_area_ha, polygon_iou</t>
        </is>
      </c>
      <c r="B108" s="6" t="inlineStr">
        <is>
          <t>The drawn geometry and its reliability</t>
        </is>
      </c>
      <c r="C108" s="6" t="inlineStr">
        <is>
          <t>YOUR measurement, on Polygon_Geometry. Never estimated from imagery by a search assistant</t>
        </is>
      </c>
    </row>
    <row r="109">
      <c r="A109" s="5" t="inlineStr">
        <is>
          <t>reference_circle, equal_area_circle_radius_m</t>
        </is>
      </c>
      <c r="B109" s="6" t="inlineStr">
        <is>
          <t>Derived from the polygon area</t>
        </is>
      </c>
      <c r="C109" s="6" t="inlineStr">
        <is>
          <t>Computed by formula. NEVER derived from Earth Engine — that would set the measurement zone from the very signal measured inside it, which is circular and breaks blindness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2026-08-31T18:40:25Z</dcterms:created>
  <dcterms:modified xmlns:dcterms="http://purl.org/dc/terms/" xmlns:xsi="http://www.w3.org/2001/XMLSchema-instance" xsi:type="dcterms:W3CDTF">2026-08-31T18:40:25Z</dcterms:modified>
</cp:coreProperties>
</file>